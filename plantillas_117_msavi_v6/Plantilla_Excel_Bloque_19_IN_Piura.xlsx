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sumen" sheetId="1" state="visible" r:id="rId1"/>
    <sheet name="Cobertura MSAVI-NDVI" sheetId="2" state="visible" r:id="rId2"/>
    <sheet name="Estaciones fotográficas" sheetId="3" state="visible" r:id="rId3"/>
    <sheet name="Microcuenca" sheetId="4" state="visible" r:id="rId4"/>
    <sheet name="Control de consistencia" sheetId="5" state="visible" r:id="rId5"/>
  </sheets>
  <definedNames/>
  <calcPr calcId="124519" fullCalcOnLoad="1"/>
</workbook>
</file>

<file path=xl/styles.xml><?xml version="1.0" encoding="utf-8"?>
<styleSheet xmlns="http://schemas.openxmlformats.org/spreadsheetml/2006/main">
  <numFmts count="2">
    <numFmt numFmtId="164" formatCode="0.0000"/>
    <numFmt numFmtId="165" formatCode="0.000"/>
  </numFmts>
  <fonts count="9">
    <font>
      <name val="Calibri"/>
      <family val="2"/>
      <color theme="1"/>
      <sz val="11"/>
      <scheme val="minor"/>
    </font>
    <font>
      <name val="Arial"/>
      <b val="1"/>
      <color rgb="00FFFFFF"/>
      <sz val="10"/>
    </font>
    <font>
      <name val="Arial"/>
      <color rgb="00FFFFFF"/>
      <sz val="8"/>
    </font>
    <font>
      <name val="Arial"/>
      <b val="1"/>
      <color rgb="001B4D2E"/>
      <sz val="12"/>
    </font>
    <font>
      <name val="Arial"/>
      <i val="1"/>
      <color rgb="00555555"/>
      <sz val="8"/>
    </font>
    <font>
      <name val="Arial"/>
      <b val="1"/>
      <sz val="9"/>
    </font>
    <font>
      <name val="Arial"/>
      <sz val="9"/>
    </font>
    <font>
      <name val="Arial"/>
      <i val="1"/>
      <color rgb="00333333"/>
      <sz val="8"/>
    </font>
    <font>
      <name val="Arial"/>
      <b val="1"/>
      <color rgb="00FFFFFF"/>
      <sz val="9"/>
    </font>
  </fonts>
  <fills count="9">
    <fill>
      <patternFill/>
    </fill>
    <fill>
      <patternFill patternType="gray125"/>
    </fill>
    <fill>
      <patternFill patternType="solid">
        <fgColor rgb="001B4D2E"/>
      </patternFill>
    </fill>
    <fill>
      <patternFill patternType="solid">
        <fgColor rgb="001B4F72"/>
      </patternFill>
    </fill>
    <fill>
      <patternFill patternType="solid">
        <fgColor rgb="00E8F0EA"/>
      </patternFill>
    </fill>
    <fill>
      <patternFill patternType="solid">
        <fgColor rgb="00F2F2F2"/>
      </patternFill>
    </fill>
    <fill>
      <patternFill patternType="solid">
        <fgColor rgb="00FFF2CC"/>
      </patternFill>
    </fill>
    <fill>
      <patternFill patternType="solid">
        <fgColor rgb="00F8CBAD"/>
      </patternFill>
    </fill>
    <fill>
      <patternFill patternType="solid">
        <fgColor rgb="00D9E1F2"/>
      </patternFill>
    </fill>
  </fills>
  <borders count="7">
    <border>
      <left/>
      <right/>
      <top/>
      <bottom/>
      <diagonal/>
    </border>
    <border>
      <left style="thin">
        <color rgb="009C9C9C"/>
      </left>
      <right style="thin">
        <color rgb="009C9C9C"/>
      </right>
      <top style="thin">
        <color rgb="009C9C9C"/>
      </top>
      <bottom style="thin">
        <color rgb="009C9C9C"/>
      </bottom>
    </border>
    <border>
      <left/>
      <right/>
      <top style="thin">
        <color rgb="009C9C9C"/>
      </top>
      <bottom/>
      <diagonal/>
    </border>
    <border>
      <left/>
      <right style="thin">
        <color rgb="009C9C9C"/>
      </right>
      <top style="thin">
        <color rgb="009C9C9C"/>
      </top>
      <bottom/>
      <diagonal/>
    </border>
    <border>
      <left/>
      <right/>
      <top style="thin">
        <color rgb="009C9C9C"/>
      </top>
      <bottom style="thin">
        <color rgb="009C9C9C"/>
      </bottom>
      <diagonal/>
    </border>
    <border>
      <left/>
      <right style="thin">
        <color rgb="009C9C9C"/>
      </right>
      <top style="thin">
        <color rgb="009C9C9C"/>
      </top>
      <bottom style="thin">
        <color rgb="009C9C9C"/>
      </bottom>
      <diagonal/>
    </border>
    <border>
      <left style="thin">
        <color rgb="00B7C4BA"/>
      </left>
      <right style="thin">
        <color rgb="00B7C4BA"/>
      </right>
      <top style="thin">
        <color rgb="00B7C4BA"/>
      </top>
      <bottom style="thin">
        <color rgb="00B7C4BA"/>
      </bottom>
    </border>
  </borders>
  <cellStyleXfs count="1">
    <xf numFmtId="0" fontId="0" fillId="0" borderId="0"/>
  </cellStyleXfs>
  <cellXfs count="50">
    <xf numFmtId="0" fontId="0" fillId="0" borderId="0" pivotButton="0" quotePrefix="0" xfId="0"/>
    <xf numFmtId="0" fontId="1" fillId="2" borderId="0" applyAlignment="1" pivotButton="0" quotePrefix="0" xfId="0">
      <alignment horizontal="center" vertical="center" wrapText="1"/>
    </xf>
    <xf numFmtId="0" fontId="2" fillId="3" borderId="0" applyAlignment="1" pivotButton="0" quotePrefix="0" xfId="0">
      <alignment horizontal="center" vertical="center" wrapText="1"/>
    </xf>
    <xf numFmtId="0" fontId="3" fillId="4" borderId="0" applyAlignment="1" pivotButton="0" quotePrefix="0" xfId="0">
      <alignment horizontal="center" vertical="center"/>
    </xf>
    <xf numFmtId="0" fontId="4" fillId="0" borderId="0" applyAlignment="1" pivotButton="0" quotePrefix="0" xfId="0">
      <alignment horizontal="center" vertical="center" wrapText="1"/>
    </xf>
    <xf numFmtId="0" fontId="1" fillId="2" borderId="0" applyAlignment="1" pivotButton="0" quotePrefix="0" xfId="0">
      <alignment horizontal="left" vertical="center" indent="1"/>
    </xf>
    <xf numFmtId="0" fontId="5" fillId="5" borderId="1" applyAlignment="1" pivotButton="0" quotePrefix="0" xfId="0">
      <alignment horizontal="left" vertical="center" wrapText="1" indent="1"/>
    </xf>
    <xf numFmtId="0" fontId="6" fillId="0" borderId="1" applyAlignment="1" pivotButton="0" quotePrefix="0" xfId="0">
      <alignment horizontal="left" vertical="center" wrapText="1" indent="1"/>
    </xf>
    <xf numFmtId="0" fontId="0" fillId="0" borderId="1" pivotButton="0" quotePrefix="0" xfId="0"/>
    <xf numFmtId="0" fontId="7" fillId="0" borderId="1" applyAlignment="1" pivotButton="0" quotePrefix="0" xfId="0">
      <alignment horizontal="justify" vertical="top" wrapText="1"/>
    </xf>
    <xf numFmtId="0" fontId="8" fillId="2" borderId="1" applyAlignment="1" pivotButton="0" quotePrefix="0" xfId="0">
      <alignment horizontal="center" vertical="center" wrapText="1"/>
    </xf>
    <xf numFmtId="0" fontId="6" fillId="0" borderId="1" applyAlignment="1" pivotButton="0" quotePrefix="0" xfId="0">
      <alignment horizontal="center" vertical="center" wrapText="1"/>
    </xf>
    <xf numFmtId="0" fontId="5" fillId="6" borderId="1" applyAlignment="1" pivotButton="0" quotePrefix="0" xfId="0">
      <alignment horizontal="left" vertical="center" wrapText="1" indent="1"/>
    </xf>
    <xf numFmtId="0" fontId="5" fillId="6" borderId="1" applyAlignment="1" pivotButton="0" quotePrefix="0" xfId="0">
      <alignment horizontal="center" vertical="center" wrapText="1"/>
    </xf>
    <xf numFmtId="0" fontId="6" fillId="4" borderId="1" applyAlignment="1" pivotButton="0" quotePrefix="0" xfId="0">
      <alignment horizontal="left" vertical="center" wrapText="1" indent="1"/>
    </xf>
    <xf numFmtId="0" fontId="6" fillId="4" borderId="1" applyAlignment="1" pivotButton="0" quotePrefix="0" xfId="0">
      <alignment horizontal="center" vertical="center" wrapText="1"/>
    </xf>
    <xf numFmtId="0" fontId="5" fillId="4" borderId="1" applyAlignment="1" pivotButton="0" quotePrefix="0" xfId="0">
      <alignment horizontal="left" vertical="center" wrapText="1" indent="1"/>
    </xf>
    <xf numFmtId="0" fontId="5" fillId="4" borderId="1" applyAlignment="1" pivotButton="0" quotePrefix="0" xfId="0">
      <alignment horizontal="center" vertical="center" wrapText="1"/>
    </xf>
    <xf numFmtId="164" fontId="6" fillId="0" borderId="1" applyAlignment="1" pivotButton="0" quotePrefix="0" xfId="0">
      <alignment horizontal="center" vertical="center" wrapText="1"/>
    </xf>
    <xf numFmtId="2" fontId="6" fillId="0" borderId="1" applyAlignment="1" pivotButton="0" quotePrefix="0" xfId="0">
      <alignment horizontal="center" vertical="center" wrapText="1"/>
    </xf>
    <xf numFmtId="164" fontId="6" fillId="4" borderId="1" applyAlignment="1" pivotButton="0" quotePrefix="0" xfId="0">
      <alignment horizontal="center" vertical="center" wrapText="1"/>
    </xf>
    <xf numFmtId="2" fontId="6" fillId="4" borderId="1" applyAlignment="1" pivotButton="0" quotePrefix="0" xfId="0">
      <alignment horizontal="center" vertical="center" wrapText="1"/>
    </xf>
    <xf numFmtId="164" fontId="5" fillId="4" borderId="1" applyAlignment="1" pivotButton="0" quotePrefix="0" xfId="0">
      <alignment horizontal="center" vertical="center" wrapText="1"/>
    </xf>
    <xf numFmtId="2" fontId="5" fillId="4" borderId="1" applyAlignment="1" pivotButton="0" quotePrefix="0" xfId="0">
      <alignment horizontal="center" vertical="center" wrapText="1"/>
    </xf>
    <xf numFmtId="0" fontId="5" fillId="0" borderId="1" applyAlignment="1" pivotButton="0" quotePrefix="0" xfId="0">
      <alignment horizontal="left" vertical="center" wrapText="1" indent="1"/>
    </xf>
    <xf numFmtId="0" fontId="5" fillId="0" borderId="1" applyAlignment="1" pivotButton="0" quotePrefix="0" xfId="0">
      <alignment horizontal="center" vertical="center" wrapText="1"/>
    </xf>
    <xf numFmtId="3" fontId="6" fillId="0" borderId="1" applyAlignment="1" pivotButton="0" quotePrefix="0" xfId="0">
      <alignment horizontal="center" vertical="center" wrapText="1"/>
    </xf>
    <xf numFmtId="3" fontId="6" fillId="4" borderId="1" applyAlignment="1" pivotButton="0" quotePrefix="0" xfId="0">
      <alignment horizontal="center" vertical="center" wrapText="1"/>
    </xf>
    <xf numFmtId="165" fontId="6" fillId="0" borderId="1" applyAlignment="1" pivotButton="0" quotePrefix="0" xfId="0">
      <alignment horizontal="center" vertical="center" wrapText="1"/>
    </xf>
    <xf numFmtId="165" fontId="5" fillId="6" borderId="1" applyAlignment="1" pivotButton="0" quotePrefix="0" xfId="0">
      <alignment horizontal="center" vertical="center" wrapText="1"/>
    </xf>
    <xf numFmtId="2" fontId="5" fillId="6" borderId="1" applyAlignment="1" pivotButton="0" quotePrefix="0" xfId="0">
      <alignment horizontal="center" vertical="center" wrapText="1"/>
    </xf>
    <xf numFmtId="164" fontId="5" fillId="6" borderId="1" applyAlignment="1" pivotButton="0" quotePrefix="0" xfId="0">
      <alignment horizontal="center" vertical="center" wrapText="1"/>
    </xf>
    <xf numFmtId="165" fontId="6" fillId="4" borderId="1" applyAlignment="1" pivotButton="0" quotePrefix="0" xfId="0">
      <alignment horizontal="center" vertical="center" wrapText="1"/>
    </xf>
    <xf numFmtId="165" fontId="5" fillId="4" borderId="1" applyAlignment="1" pivotButton="0" quotePrefix="0" xfId="0">
      <alignment horizontal="center" vertical="center" wrapText="1"/>
    </xf>
    <xf numFmtId="0" fontId="6" fillId="0" borderId="1" applyAlignment="1" pivotButton="0" quotePrefix="0" xfId="0">
      <alignment horizontal="left" vertical="top" wrapText="1" indent="1"/>
    </xf>
    <xf numFmtId="0" fontId="5" fillId="7" borderId="1" applyAlignment="1" pivotButton="0" quotePrefix="0" xfId="0">
      <alignment horizontal="center" vertical="center" wrapText="1"/>
    </xf>
    <xf numFmtId="0" fontId="6" fillId="4" borderId="1" applyAlignment="1" pivotButton="0" quotePrefix="0" xfId="0">
      <alignment horizontal="left" vertical="top" wrapText="1" indent="1"/>
    </xf>
    <xf numFmtId="0" fontId="5" fillId="8" borderId="1" applyAlignment="1" pivotButton="0" quotePrefix="0" xfId="0">
      <alignment horizontal="center" vertical="center" wrapText="1"/>
    </xf>
    <xf numFmtId="165" fontId="6" fillId="0" borderId="1" applyAlignment="1" pivotButton="0" quotePrefix="0" xfId="0">
      <alignment horizontal="left" vertical="center" wrapText="1" indent="1"/>
    </xf>
    <xf numFmtId="2" fontId="6" fillId="0" borderId="1" applyAlignment="1" pivotButton="0" quotePrefix="0" xfId="0">
      <alignment horizontal="left" vertical="center" wrapText="1" indent="1"/>
    </xf>
    <xf numFmtId="1" fontId="6" fillId="0" borderId="1" applyAlignment="1" pivotButton="0" quotePrefix="0" xfId="0">
      <alignment horizontal="left" vertical="center" wrapText="1" indent="1"/>
    </xf>
    <xf numFmtId="0" fontId="0" fillId="0" borderId="4" pivotButton="0" quotePrefix="0" xfId="0"/>
    <xf numFmtId="0" fontId="0" fillId="0" borderId="5" pivotButton="0" quotePrefix="0" xfId="0"/>
    <xf numFmtId="0" fontId="5" fillId="4" borderId="6" applyAlignment="1" pivotButton="0" quotePrefix="0" xfId="0">
      <alignment horizontal="left" vertical="center" wrapText="1"/>
    </xf>
    <xf numFmtId="164" fontId="5" fillId="4" borderId="6" applyAlignment="1" pivotButton="0" quotePrefix="0" xfId="0">
      <alignment horizontal="center" vertical="center" wrapText="1"/>
    </xf>
    <xf numFmtId="2" fontId="5" fillId="4" borderId="6" applyAlignment="1" pivotButton="0" quotePrefix="0" xfId="0">
      <alignment horizontal="center" vertical="center" wrapText="1"/>
    </xf>
    <xf numFmtId="0" fontId="6" fillId="0" borderId="6" applyAlignment="1" pivotButton="0" quotePrefix="0" xfId="0">
      <alignment horizontal="left" vertical="center" wrapText="1"/>
    </xf>
    <xf numFmtId="164" fontId="6" fillId="0" borderId="6" applyAlignment="1" pivotButton="0" quotePrefix="0" xfId="0">
      <alignment horizontal="center" vertical="center" wrapText="1"/>
    </xf>
    <xf numFmtId="2" fontId="6" fillId="0" borderId="6" applyAlignment="1" pivotButton="0" quotePrefix="0" xfId="0">
      <alignment horizontal="center" vertical="center" wrapText="1"/>
    </xf>
    <xf numFmtId="0" fontId="6" fillId="0" borderId="6" applyAlignment="1" pivotButton="0" quotePrefix="0" xfId="0">
      <alignment horizontal="center" vertical="center"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F57"/>
  <sheetViews>
    <sheetView showGridLines="0" workbookViewId="0">
      <pane ySplit="6" topLeftCell="A7" activePane="bottomLeft" state="frozen"/>
      <selection pane="bottomLeft" activeCell="A1" sqref="A1"/>
    </sheetView>
  </sheetViews>
  <sheetFormatPr baseColWidth="8" defaultRowHeight="15"/>
  <cols>
    <col width="26" customWidth="1" min="1" max="1"/>
    <col width="30" customWidth="1" min="2" max="2"/>
    <col width="26" customWidth="1" min="3" max="3"/>
    <col width="30" customWidth="1" min="4" max="4"/>
    <col width="14" customWidth="1" min="5" max="5"/>
    <col width="14" customWidth="1" min="6" max="6"/>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FICHA RESUMEN — BLOQUE PRELIMINAR DE INTERVENCIÓN 19</t>
        </is>
      </c>
    </row>
    <row r="6" ht="24" customHeight="1">
      <c r="A6" s="4" t="inlineStr">
        <is>
          <t>Diagnóstico Territorial — Plantilla DT Campo Check Validada V5 | Sistema de referencia: UTM WGS 84 Zona 17S (EPSG:32717)</t>
        </is>
      </c>
    </row>
    <row r="7"/>
    <row r="8" ht="18" customHeight="1">
      <c r="A8" s="5" t="inlineStr">
        <is>
          <t>1. IDENTIFICACIÓN Y LOCALIZACIÓN</t>
        </is>
      </c>
    </row>
    <row r="9">
      <c r="A9" s="6" t="inlineStr">
        <is>
          <t>Código del bloque</t>
        </is>
      </c>
      <c r="B9" s="7" t="inlineStr">
        <is>
          <t>19</t>
        </is>
      </c>
      <c r="C9" s="6" t="inlineStr">
        <is>
          <t>Microcuenca (catálogo)</t>
        </is>
      </c>
      <c r="D9" s="7" t="inlineStr">
        <is>
          <t>C1076-Q9592</t>
        </is>
      </c>
      <c r="E9" s="8" t="n"/>
      <c r="F9" s="8" t="n"/>
    </row>
    <row r="10">
      <c r="A10" s="6" t="inlineStr">
        <is>
          <t>Zona de planificación</t>
        </is>
      </c>
      <c r="B10" s="7" t="inlineStr">
        <is>
          <t>Z13</t>
        </is>
      </c>
      <c r="C10" s="6" t="inlineStr">
        <is>
          <t>Microcuenca declarada en ficha DT</t>
        </is>
      </c>
      <c r="D10" s="7" t="inlineStr">
        <is>
          <t>C1076-Q9584</t>
        </is>
      </c>
      <c r="E10" s="8" t="n"/>
      <c r="F10" s="8" t="n"/>
    </row>
    <row r="11">
      <c r="A11" s="6" t="inlineStr">
        <is>
          <t>Departamento</t>
        </is>
      </c>
      <c r="B11" s="7" t="inlineStr">
        <is>
          <t>Piura</t>
        </is>
      </c>
      <c r="C11" s="6" t="inlineStr">
        <is>
          <t>Provincia</t>
        </is>
      </c>
      <c r="D11" s="7" t="inlineStr">
        <is>
          <t>Huancabamba</t>
        </is>
      </c>
      <c r="E11" s="8" t="n"/>
      <c r="F11" s="8" t="n"/>
    </row>
    <row r="12">
      <c r="A12" s="6" t="inlineStr">
        <is>
          <t>Distrito</t>
        </is>
      </c>
      <c r="B12" s="7" t="inlineStr">
        <is>
          <t>Huarmaca</t>
        </is>
      </c>
      <c r="C12" s="6" t="inlineStr">
        <is>
          <t>Capital distrital</t>
        </is>
      </c>
      <c r="D12" s="7" t="inlineStr">
        <is>
          <t>Huarmaca</t>
        </is>
      </c>
      <c r="E12" s="8" t="n"/>
      <c r="F12" s="8" t="n"/>
    </row>
    <row r="13">
      <c r="A13" s="6" t="inlineStr">
        <is>
          <t>Centro poblado asociado</t>
        </is>
      </c>
      <c r="B13" s="7" t="inlineStr">
        <is>
          <t>Nuevo Progreso</t>
        </is>
      </c>
      <c r="C13" s="6" t="inlineStr">
        <is>
          <t>Comunidad campesina</t>
        </is>
      </c>
      <c r="D13" s="7" t="inlineStr">
        <is>
          <t>Por verificar en la fase social</t>
        </is>
      </c>
      <c r="E13" s="8" t="n"/>
      <c r="F13" s="8" t="n"/>
    </row>
    <row r="14">
      <c r="A14" s="6" t="inlineStr">
        <is>
          <t>Superficie de catálogo (V5/V6), ha</t>
        </is>
      </c>
      <c r="B14" s="7" t="n">
        <v>82.09</v>
      </c>
      <c r="C14" s="6" t="inlineStr">
        <is>
          <t>Fuente de superficie</t>
        </is>
      </c>
      <c r="D14" s="7" t="inlineStr">
        <is>
          <t>Catálogo maestro Bloques V5/V6</t>
        </is>
      </c>
      <c r="E14" s="8" t="n"/>
      <c r="F14" s="8" t="n"/>
    </row>
    <row r="15">
      <c r="A15" s="6" t="inlineStr">
        <is>
          <t>Centroide UTM ESTE (m)</t>
        </is>
      </c>
      <c r="B15" s="7" t="n">
        <v>665942</v>
      </c>
      <c r="C15" s="6" t="inlineStr">
        <is>
          <t>Centroide UTM NORTE (m)</t>
        </is>
      </c>
      <c r="D15" s="7" t="n">
        <v>9391144</v>
      </c>
      <c r="E15" s="8" t="n"/>
      <c r="F15" s="8" t="n"/>
    </row>
    <row r="16">
      <c r="A16" s="6" t="inlineStr">
        <is>
          <t>Sistema de coordenadas</t>
        </is>
      </c>
      <c r="B16" s="7" t="inlineStr">
        <is>
          <t>UTM WGS 84 Zona 17S (EPSG:32717)</t>
        </is>
      </c>
      <c r="C16" s="6" t="inlineStr">
        <is>
          <t>Tipo de intervención</t>
        </is>
      </c>
      <c r="D16" s="7" t="inlineStr">
        <is>
          <t>Restauración</t>
        </is>
      </c>
      <c r="E16" s="8" t="n"/>
      <c r="F16" s="8" t="n"/>
    </row>
    <row r="17"/>
    <row r="18" ht="18" customHeight="1">
      <c r="A18" s="5" t="inlineStr">
        <is>
          <t>2. PARÁMETROS FÍSICOS (ESTADÍSTICA ZONAL SOBRE MDE)</t>
        </is>
      </c>
    </row>
    <row r="19">
      <c r="A19" s="6" t="inlineStr">
        <is>
          <t>Altitud mínima (msnm)</t>
        </is>
      </c>
      <c r="B19" s="7" t="n">
        <v>2064</v>
      </c>
      <c r="C19" s="6" t="inlineStr">
        <is>
          <t>Altitud máxima (msnm)</t>
        </is>
      </c>
      <c r="D19" s="7" t="n">
        <v>2503</v>
      </c>
      <c r="E19" s="8" t="n"/>
      <c r="F19" s="8" t="n"/>
    </row>
    <row r="20">
      <c r="A20" s="6" t="inlineStr">
        <is>
          <t>Amplitud altitudinal (m)</t>
        </is>
      </c>
      <c r="B20" s="7" t="n">
        <v>439</v>
      </c>
      <c r="C20" s="6" t="inlineStr">
        <is>
          <t>Piso altitudinal dominante</t>
        </is>
      </c>
      <c r="D20" s="7" t="inlineStr">
        <is>
          <t>2000-2500 m (Quechua alta)</t>
        </is>
      </c>
      <c r="E20" s="8" t="n"/>
      <c r="F20" s="8" t="n"/>
    </row>
    <row r="21">
      <c r="A21" s="6" t="inlineStr">
        <is>
          <t>Pendiente promedio (%)</t>
        </is>
      </c>
      <c r="B21" s="7" t="n">
        <v>31.01</v>
      </c>
      <c r="C21" s="6" t="inlineStr">
        <is>
          <t>Pendiente promedio (grados)</t>
        </is>
      </c>
      <c r="D21" s="7" t="n">
        <v>17.2</v>
      </c>
      <c r="E21" s="8" t="n"/>
      <c r="F21" s="8" t="n"/>
    </row>
    <row r="22">
      <c r="A22" s="6" t="inlineStr">
        <is>
          <t>Clase de pendiente equivalente</t>
        </is>
      </c>
      <c r="B22" s="7" t="inlineStr">
        <is>
          <t>25-50% (Mod. escarpado)</t>
        </is>
      </c>
      <c r="C22" s="6" t="inlineStr">
        <is>
          <t>Rango de pendiente declarado en campo</t>
        </is>
      </c>
      <c r="D22" s="7" t="inlineStr">
        <is>
          <t>25-50% (Mod. escarpado)</t>
        </is>
      </c>
      <c r="E22" s="8" t="n"/>
      <c r="F22" s="8" t="n"/>
    </row>
    <row r="23">
      <c r="A23" s="6" t="inlineStr">
        <is>
          <t>Forma predominante del terreno</t>
        </is>
      </c>
      <c r="B23" s="7" t="inlineStr">
        <is>
          <t>Montañoso</t>
        </is>
      </c>
      <c r="C23" s="6" t="inlineStr">
        <is>
          <t>Posición fisiográfica</t>
        </is>
      </c>
      <c r="D23" s="7" t="inlineStr">
        <is>
          <t>Ladera media</t>
        </is>
      </c>
      <c r="E23" s="8" t="n"/>
      <c r="F23" s="8" t="n"/>
    </row>
    <row r="24">
      <c r="A24" s="6" t="inlineStr">
        <is>
          <t>Exposición / orientación</t>
        </is>
      </c>
      <c r="B24" s="7" t="inlineStr">
        <is>
          <t>Noroeste</t>
        </is>
      </c>
      <c r="C24" s="6" t="inlineStr">
        <is>
          <t>Afloramientos rocosos</t>
        </is>
      </c>
      <c r="D24" s="7" t="inlineStr">
        <is>
          <t>Sí</t>
        </is>
      </c>
      <c r="E24" s="8" t="n"/>
      <c r="F24" s="8" t="n"/>
    </row>
    <row r="25">
      <c r="A25" s="6" t="inlineStr">
        <is>
          <t>Escarpes activos</t>
        </is>
      </c>
      <c r="B25" s="7" t="inlineStr">
        <is>
          <t>Sí</t>
        </is>
      </c>
      <c r="C25" s="6" t="inlineStr">
        <is>
          <t>Remociones en masa activas</t>
        </is>
      </c>
      <c r="D25" s="7" t="inlineStr">
        <is>
          <t>Sí</t>
        </is>
      </c>
      <c r="E25" s="8" t="n"/>
      <c r="F25" s="8" t="n"/>
    </row>
    <row r="26"/>
    <row r="27" ht="18" customHeight="1">
      <c r="A27" s="5" t="inlineStr">
        <is>
          <t>3. ÍNDICES DE VEGETACIÓN (SENTINEL-2)</t>
        </is>
      </c>
    </row>
    <row r="28">
      <c r="A28" s="6" t="inlineStr">
        <is>
          <t>MSAVI 2024 — media del bloque</t>
        </is>
      </c>
      <c r="B28" s="7" t="n">
        <v>0.5372</v>
      </c>
      <c r="C28" s="6" t="inlineStr">
        <is>
          <t>MSAVI 2024 — clase de la media</t>
        </is>
      </c>
      <c r="D28" s="7" t="inlineStr">
        <is>
          <t>0.4976 - 0.6139 (Vigor moderado)</t>
        </is>
      </c>
      <c r="E28" s="8" t="n"/>
      <c r="F28" s="8" t="n"/>
    </row>
    <row r="29">
      <c r="A29" s="6" t="inlineStr">
        <is>
          <t>Condición frente al umbral 0.4976</t>
        </is>
      </c>
      <c r="B29" s="7" t="inlineStr">
        <is>
          <t>Sobre umbral</t>
        </is>
      </c>
      <c r="C29" s="6" t="inlineStr">
        <is>
          <t>NDVI mediana 2025 — clase modal</t>
        </is>
      </c>
      <c r="D29" s="7" t="inlineStr">
        <is>
          <t>Vegetación alta (60.33 %)</t>
        </is>
      </c>
      <c r="E29" s="8" t="n"/>
      <c r="F29" s="8" t="n"/>
    </row>
    <row r="30">
      <c r="A30" s="6" t="inlineStr">
        <is>
          <t>Superficie clasificada NDVI 2025 (ha)</t>
        </is>
      </c>
      <c r="B30" s="7" t="n">
        <v>82.098</v>
      </c>
      <c r="C30" s="6" t="inlineStr">
        <is>
          <t>Desviación frente al catálogo (%)</t>
        </is>
      </c>
      <c r="D30" s="7" t="n">
        <v>0.01</v>
      </c>
      <c r="E30" s="8" t="n"/>
      <c r="F30" s="8" t="n"/>
    </row>
    <row r="31">
      <c r="A31" s="6" t="inlineStr">
        <is>
          <t>Superficie clasificada MSAVI 2024 (ha)</t>
        </is>
      </c>
      <c r="B31" s="38" t="n">
        <v>82.08799999999999</v>
      </c>
      <c r="C31" s="6" t="inlineStr">
        <is>
          <t>Desviación MSAVI frente al catálogo (%)</t>
        </is>
      </c>
      <c r="D31" s="39" t="n">
        <v>0</v>
      </c>
      <c r="E31" s="8" t="n"/>
      <c r="F31" s="8" t="n"/>
    </row>
    <row r="32">
      <c r="A32" s="6" t="inlineStr">
        <is>
          <t>Superficie bajo umbral MSAVI 0.4976 (ha)</t>
        </is>
      </c>
      <c r="B32" s="38" t="n">
        <v>34.997</v>
      </c>
      <c r="C32" s="6" t="inlineStr">
        <is>
          <t>% del bloque bajo umbral (brecha espectral)</t>
        </is>
      </c>
      <c r="D32" s="39" t="n">
        <v>42.63</v>
      </c>
      <c r="E32" s="8" t="n"/>
      <c r="F32" s="8" t="n"/>
    </row>
    <row r="33">
      <c r="A33" s="6" t="inlineStr">
        <is>
          <t>Clase DN dominante (MSAVI 2024)</t>
        </is>
      </c>
      <c r="B33" s="7" t="inlineStr">
        <is>
          <t>DN 3 · 0.3813 - 0.4976 (Vigor bajo)</t>
        </is>
      </c>
      <c r="C33" s="6" t="inlineStr">
        <is>
          <t>N.° de polígonos MSAVI del bloque</t>
        </is>
      </c>
      <c r="D33" s="40" t="n">
        <v>292</v>
      </c>
      <c r="E33" s="8" t="n"/>
      <c r="F33" s="8" t="n"/>
    </row>
    <row r="34"/>
    <row r="35" ht="18" customHeight="1">
      <c r="A35" s="5" t="inlineStr">
        <is>
          <t>4. ECOSISTEMA Y ESTADO DE CONSERVACIÓN</t>
        </is>
      </c>
    </row>
    <row r="36">
      <c r="A36" s="6" t="inlineStr">
        <is>
          <t>Tipo de ecosistema (UP)</t>
        </is>
      </c>
      <c r="B36" s="7" t="inlineStr">
        <is>
          <t>Agroecosistema / Mosaico</t>
        </is>
      </c>
      <c r="C36" s="6" t="inlineStr">
        <is>
          <t>Superficie de ecosistema (ha)</t>
        </is>
      </c>
      <c r="D36" s="7" t="inlineStr">
        <is>
          <t>82.09 ha</t>
        </is>
      </c>
      <c r="E36" s="8" t="n"/>
      <c r="F36" s="8" t="n"/>
    </row>
    <row r="37">
      <c r="A37" s="6" t="inlineStr">
        <is>
          <t>Estado de conservación</t>
        </is>
      </c>
      <c r="B37" s="7" t="inlineStr">
        <is>
          <t>Alterado (intervención marcada)</t>
        </is>
      </c>
      <c r="C37" s="6" t="inlineStr">
        <is>
          <t>Uso actual dominante del suelo</t>
        </is>
      </c>
      <c r="D37" s="7" t="inlineStr">
        <is>
          <t>Uso mixto</t>
        </is>
      </c>
      <c r="E37" s="8" t="n"/>
      <c r="F37" s="8" t="n"/>
    </row>
    <row r="38">
      <c r="A38" s="6" t="inlineStr">
        <is>
          <t>Tipo de cobertura dominante</t>
        </is>
      </c>
      <c r="B38" s="7" t="inlineStr">
        <is>
          <t>Mixto / Mosaico</t>
        </is>
      </c>
      <c r="C38" s="6" t="inlineStr">
        <is>
          <t>Cobertura vegetal total — campo (%)</t>
        </is>
      </c>
      <c r="D38" s="7" t="n">
        <v>85</v>
      </c>
      <c r="E38" s="8" t="n"/>
      <c r="F38" s="8" t="n"/>
    </row>
    <row r="39">
      <c r="A39" s="6" t="inlineStr">
        <is>
          <t>Suelo desnudo — campo (%)</t>
        </is>
      </c>
      <c r="B39" s="7" t="n">
        <v>15</v>
      </c>
      <c r="C39" s="6" t="inlineStr">
        <is>
          <t>Regeneración natural</t>
        </is>
      </c>
      <c r="D39" s="7" t="inlineStr">
        <is>
          <t>Escasa (&lt;10 pl./100m²)</t>
        </is>
      </c>
      <c r="E39" s="8" t="n"/>
      <c r="F39" s="8" t="n"/>
    </row>
    <row r="40">
      <c r="A40" s="6" t="inlineStr">
        <is>
          <t>Nivel general de erosión</t>
        </is>
      </c>
      <c r="B40" s="7" t="inlineStr">
        <is>
          <t>Moderada (surcos)</t>
        </is>
      </c>
      <c r="C40" s="6" t="inlineStr">
        <is>
          <t>N.° de cárcavas registradas</t>
        </is>
      </c>
      <c r="D40" s="7" t="n">
        <v>3</v>
      </c>
      <c r="E40" s="8" t="n"/>
      <c r="F40" s="8" t="n"/>
    </row>
    <row r="41">
      <c r="A41" s="6" t="inlineStr">
        <is>
          <t>Elenco florístico (n.° de taxones)</t>
        </is>
      </c>
      <c r="B41" s="7" t="n">
        <v>7</v>
      </c>
      <c r="C41" s="6" t="inlineStr">
        <is>
          <t>Estado sanitario</t>
        </is>
      </c>
      <c r="D41" s="7" t="inlineStr">
        <is>
          <t>Sano</t>
        </is>
      </c>
      <c r="E41" s="8" t="n"/>
      <c r="F41" s="8" t="n"/>
    </row>
    <row r="42"/>
    <row r="43" ht="18" customHeight="1">
      <c r="A43" s="5" t="inlineStr">
        <is>
          <t>5. RESPONSABLE Y MODALIDAD DE LA EVALUACIÓN</t>
        </is>
      </c>
    </row>
    <row r="44">
      <c r="A44" s="6" t="inlineStr">
        <is>
          <t>Responsable de la evaluación</t>
        </is>
      </c>
      <c r="B44" s="7" t="inlineStr">
        <is>
          <t>Ing. Héctor Cahuas Miller</t>
        </is>
      </c>
      <c r="C44" s="6" t="inlineStr">
        <is>
          <t>Fecha de evaluación</t>
        </is>
      </c>
      <c r="D44" s="7" t="inlineStr">
        <is>
          <t>2026-08-12</t>
        </is>
      </c>
      <c r="E44" s="8" t="n"/>
      <c r="F44" s="8" t="n"/>
    </row>
    <row r="45">
      <c r="A45" s="6" t="inlineStr">
        <is>
          <t>Hora de registro</t>
        </is>
      </c>
      <c r="B45" s="7" t="inlineStr">
        <is>
          <t>10:13 - 10:20 h</t>
        </is>
      </c>
      <c r="C45" s="6" t="inlineStr">
        <is>
          <t>Correlativo de ficha</t>
        </is>
      </c>
      <c r="D45" s="7" t="inlineStr">
        <is>
          <t>F-DT-19-2026</t>
        </is>
      </c>
      <c r="E45" s="8" t="n"/>
      <c r="F45" s="8" t="n"/>
    </row>
    <row r="46">
      <c r="A46" s="6" t="inlineStr">
        <is>
          <t>Entidad</t>
        </is>
      </c>
      <c r="B46" s="7" t="inlineStr">
        <is>
          <t>ANIN - DIME - SESDI</t>
        </is>
      </c>
      <c r="C46" s="6" t="inlineStr">
        <is>
          <t>Fase del estudio</t>
        </is>
      </c>
      <c r="D46" s="7" t="inlineStr">
        <is>
          <t>Preinversión (Perfil) · Invierte.pe</t>
        </is>
      </c>
      <c r="E46" s="8" t="n"/>
      <c r="F46" s="8" t="n"/>
    </row>
    <row r="47">
      <c r="A47" s="6" t="inlineStr">
        <is>
          <t>Instrumento aplicado</t>
        </is>
      </c>
      <c r="B47" s="7" t="inlineStr">
        <is>
          <t>Fichas F-DT-01 a F-DT-05 (Plantilla V5)</t>
        </is>
      </c>
      <c r="C47" s="6" t="inlineStr">
        <is>
          <t>Parcela de muestreo</t>
        </is>
      </c>
      <c r="D47" s="7" t="inlineStr">
        <is>
          <t>Recorrido de observación (no se instaló parcela permanente)</t>
        </is>
      </c>
      <c r="E47" s="8" t="n"/>
      <c r="F47" s="8" t="n"/>
    </row>
    <row r="48">
      <c r="A48" s="6" t="inlineStr">
        <is>
          <t>Estaciones fotográficas georreferenciadas</t>
        </is>
      </c>
      <c r="B48" s="7" t="n">
        <v>11</v>
      </c>
      <c r="C48" s="6" t="inlineStr">
        <is>
          <t>Modalidad de acceso</t>
        </is>
      </c>
      <c r="D48" s="7" t="inlineStr">
        <is>
          <t>Vehicular 4x4 hasta el bloque</t>
        </is>
      </c>
      <c r="E48" s="8" t="n"/>
      <c r="F48" s="8" t="n"/>
    </row>
    <row r="49"/>
    <row r="50" ht="18" customHeight="1">
      <c r="A50" s="5" t="inlineStr">
        <is>
          <t>6. SÍNTESIS PARA LA GESTIÓN DEL RIESGO EN CONTEXTO DE CAMBIO CLIMÁTICO</t>
        </is>
      </c>
    </row>
    <row r="51">
      <c r="A51" s="6" t="inlineStr">
        <is>
          <t>Causa subyacente principal</t>
        </is>
      </c>
      <c r="B51" s="7" t="inlineStr">
        <is>
          <t>Economía familiar de subsistencia basada en agricultura de secano y ganadería en ladera, sin ordenamiento del uso</t>
        </is>
      </c>
      <c r="C51" s="6" t="inlineStr">
        <is>
          <t>Velocidad de degradación</t>
        </is>
      </c>
      <c r="D51" s="7" t="inlineStr">
        <is>
          <t>Moderada</t>
        </is>
      </c>
      <c r="E51" s="8" t="n"/>
      <c r="F51" s="8" t="n"/>
    </row>
    <row r="52">
      <c r="A52" s="6" t="inlineStr">
        <is>
          <t>Reversibilidad técnica</t>
        </is>
      </c>
      <c r="B52" s="7" t="inlineStr">
        <is>
          <t>Parcialmente reversible</t>
        </is>
      </c>
      <c r="C52" s="6" t="inlineStr">
        <is>
          <t>Urgencia de intervención</t>
        </is>
      </c>
      <c r="D52" s="7" t="inlineStr">
        <is>
          <t>Alta</t>
        </is>
      </c>
      <c r="E52" s="8" t="n"/>
      <c r="F52" s="8" t="n"/>
    </row>
    <row r="53">
      <c r="A53" s="6" t="inlineStr">
        <is>
          <t>Urgencia de control de erosión</t>
        </is>
      </c>
      <c r="B53" s="7" t="inlineStr">
        <is>
          <t>Media</t>
        </is>
      </c>
      <c r="C53" s="6" t="inlineStr">
        <is>
          <t>Zona de recarga hídrica</t>
        </is>
      </c>
      <c r="D53" s="7" t="inlineStr">
        <is>
          <t>Sí</t>
        </is>
      </c>
      <c r="E53" s="8" t="n"/>
      <c r="F53" s="8" t="n"/>
    </row>
    <row r="54">
      <c r="A54" s="6" t="inlineStr">
        <is>
          <t>Peligro integrado preliminar (MCA-AHP)</t>
        </is>
      </c>
      <c r="B54" s="7" t="inlineStr">
        <is>
          <t>No disponible en los insumos; debe tomarse del modelamiento de mesolocalización</t>
        </is>
      </c>
      <c r="C54" s="6" t="inlineStr">
        <is>
          <t>Prioridad de intervención</t>
        </is>
      </c>
      <c r="D54" s="7" t="inlineStr">
        <is>
          <t>Por definir en mesolocalización</t>
        </is>
      </c>
      <c r="E54" s="8" t="n"/>
      <c r="F54" s="8" t="n"/>
    </row>
    <row r="55">
      <c r="A55" s="6" t="inlineStr">
        <is>
          <t>Estado de verificación de campo</t>
        </is>
      </c>
      <c r="B55" s="7" t="inlineStr">
        <is>
          <t>VERIFICADO</t>
        </is>
      </c>
      <c r="C55" s="6" t="inlineStr">
        <is>
          <t>Marco del indicador de brecha</t>
        </is>
      </c>
      <c r="D55" s="7" t="inlineStr">
        <is>
          <t>R.M. N.° 00213-2024-MINAM</t>
        </is>
      </c>
      <c r="E55" s="8" t="n"/>
      <c r="F55" s="8" t="n"/>
    </row>
    <row r="56"/>
    <row r="57" ht="72" customHeight="1">
      <c r="A57" s="9" t="inlineStr">
        <is>
          <t>DECLARACIÓN DE INTEGRIDAD DE DATOS. Ningún valor ausente ha sido estimado o inferido sin declararlo. Los campos que no pudieron sustentarse en observación de campo, estadística zonal o catálogo oficial se consignan como «Por determinar» o «Por verificar». La altitud y la pendiente proceden de estadística zonal sobre el modelo digital de elevación; el MSAVI 2024 y el NDVI mediana 2025 proceden de compuestos Sentinel-2. Las discrepancias detectadas entre campo, gabinete y catálogo se listan en la hoja «Control de consistencia». La distribución areal por clase de MSAVI 2024 procede de la estadística zonal del ráster MSAVI clasificado (AREAS_MSAVI_BLOQUES_V6_REV_HSCM) y se detalla en la hoja «Cobertura MSAVI-NDVI»; la equivalencia entre el valor de clase DN y los umbrales del proyecto se declara en la nota metodológica de esa hoja.</t>
        </is>
      </c>
      <c r="B57" s="41" t="n"/>
      <c r="C57" s="41" t="n"/>
      <c r="D57" s="41" t="n"/>
      <c r="E57" s="41" t="n"/>
      <c r="F57" s="42" t="n"/>
    </row>
  </sheetData>
  <mergeCells count="13">
    <mergeCell ref="A2:F2"/>
    <mergeCell ref="A3:F3"/>
    <mergeCell ref="A1:F1"/>
    <mergeCell ref="A5:F5"/>
    <mergeCell ref="A27:F27"/>
    <mergeCell ref="A8:F8"/>
    <mergeCell ref="A6:F6"/>
    <mergeCell ref="A50:F50"/>
    <mergeCell ref="A35:F35"/>
    <mergeCell ref="A18:F18"/>
    <mergeCell ref="A4:F4"/>
    <mergeCell ref="A43:F43"/>
    <mergeCell ref="A57:F57"/>
  </mergeCell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E31"/>
  <sheetViews>
    <sheetView showGridLines="0" workbookViewId="0">
      <pane ySplit="6" topLeftCell="A7" activePane="bottomLeft" state="frozen"/>
      <selection pane="bottomLeft" activeCell="A1" sqref="A1"/>
    </sheetView>
  </sheetViews>
  <sheetFormatPr baseColWidth="8" defaultRowHeight="15"/>
  <cols>
    <col width="24" customWidth="1" min="1" max="1"/>
    <col width="16" customWidth="1" min="2" max="2"/>
    <col width="20" customWidth="1" min="3" max="3"/>
    <col width="30" customWidth="1" min="4" max="4"/>
    <col width="28"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DISTRIBUCIÓN AREAL DE CLASES ESPECTRALES — BLOQUE 19</t>
        </is>
      </c>
    </row>
    <row r="6" ht="24" customHeight="1">
      <c r="A6" s="4" t="inlineStr">
        <is>
          <t>MSAVI 2024 y NDVI mediana 2025 (Sentinel-2, mosaico Piura) · Umbral de brecha del proyecto: MSAVI = 0.4976</t>
        </is>
      </c>
    </row>
    <row r="7"/>
    <row r="8" ht="18" customHeight="1">
      <c r="A8" s="5" t="inlineStr">
        <is>
          <t>A. MSAVI 2024 — CLASIFICACIÓN POR UMBRALES DEL PROYECTO</t>
        </is>
      </c>
    </row>
    <row r="9" ht="28" customHeight="1">
      <c r="A9" s="10" t="inlineStr">
        <is>
          <t>Clase MSAVI</t>
        </is>
      </c>
      <c r="B9" s="10" t="inlineStr">
        <is>
          <t>Superficie (ha)</t>
        </is>
      </c>
      <c r="C9" s="10" t="inlineStr">
        <is>
          <t>% del área clasificada</t>
        </is>
      </c>
      <c r="D9" s="10" t="inlineStr">
        <is>
          <t>Interpretación</t>
        </is>
      </c>
      <c r="E9" s="10" t="inlineStr">
        <is>
          <t>Condición frente al umbral 0.4976</t>
        </is>
      </c>
    </row>
    <row r="10">
      <c r="A10" s="7" t="inlineStr">
        <is>
          <t>&gt; 0.6139 · DN 5</t>
        </is>
      </c>
      <c r="B10" s="18" t="n">
        <v>22.0028</v>
      </c>
      <c r="C10" s="19">
        <f>ROUND(B10/$B$15*100,2)</f>
        <v/>
      </c>
      <c r="D10" s="11" t="inlineStr">
        <is>
          <t>Vigor alto</t>
        </is>
      </c>
      <c r="E10" s="11" t="inlineStr">
        <is>
          <t>Sobre umbral</t>
        </is>
      </c>
    </row>
    <row r="11">
      <c r="A11" s="12" t="inlineStr">
        <is>
          <t>0.4976 - 0.6139 · DN 4</t>
        </is>
      </c>
      <c r="B11" s="31" t="n">
        <v>25.0883</v>
      </c>
      <c r="C11" s="30">
        <f>ROUND(B11/$B$15*100,2)</f>
        <v/>
      </c>
      <c r="D11" s="13" t="inlineStr">
        <is>
          <t>Vigor moderado</t>
        </is>
      </c>
      <c r="E11" s="13" t="inlineStr">
        <is>
          <t>Sobre umbral</t>
        </is>
      </c>
    </row>
    <row r="12">
      <c r="A12" s="7" t="inlineStr">
        <is>
          <t>0.3813 - 0.4976 · DN 3</t>
        </is>
      </c>
      <c r="B12" s="18" t="n">
        <v>32.1089</v>
      </c>
      <c r="C12" s="19">
        <f>ROUND(B12/$B$15*100,2)</f>
        <v/>
      </c>
      <c r="D12" s="11" t="inlineStr">
        <is>
          <t>Vigor bajo</t>
        </is>
      </c>
      <c r="E12" s="11" t="inlineStr">
        <is>
          <t>BAJO umbral 0.4976</t>
        </is>
      </c>
    </row>
    <row r="13">
      <c r="A13" s="14" t="inlineStr">
        <is>
          <t>0.2650 - 0.3813 · DN 2</t>
        </is>
      </c>
      <c r="B13" s="20" t="n">
        <v>2.8818</v>
      </c>
      <c r="C13" s="21">
        <f>ROUND(B13/$B$15*100,2)</f>
        <v/>
      </c>
      <c r="D13" s="15" t="inlineStr">
        <is>
          <t>Vigor muy bajo</t>
        </is>
      </c>
      <c r="E13" s="15" t="inlineStr">
        <is>
          <t>BAJO umbral 0.4976</t>
        </is>
      </c>
    </row>
    <row r="14">
      <c r="A14" s="7" t="inlineStr">
        <is>
          <t>&lt;= 0.2650 · DN 1</t>
        </is>
      </c>
      <c r="B14" s="18" t="n">
        <v>0.0061</v>
      </c>
      <c r="C14" s="19">
        <f>ROUND(B14/$B$15*100,2)</f>
        <v/>
      </c>
      <c r="D14" s="11" t="inlineStr">
        <is>
          <t>Suelo desnudo / no vegetal</t>
        </is>
      </c>
      <c r="E14" s="11" t="inlineStr">
        <is>
          <t>BAJO umbral 0.4976</t>
        </is>
      </c>
    </row>
    <row r="15" ht="30" customHeight="1">
      <c r="A15" s="43" t="inlineStr">
        <is>
          <t>TOTAL CLASIFICADO MSAVI 2024</t>
        </is>
      </c>
      <c r="B15" s="44">
        <f>SUM(B10:B14)</f>
        <v/>
      </c>
      <c r="C15" s="45">
        <f>SUM(C10:C14)</f>
        <v/>
      </c>
      <c r="D15" s="43" t="inlineStr">
        <is>
          <t>Suma de la distribución areal · 292 polígonos</t>
        </is>
      </c>
      <c r="E15" s="43" t="inlineStr">
        <is>
          <t>—</t>
        </is>
      </c>
    </row>
    <row r="16" ht="30" customHeight="1">
      <c r="A16" s="46" t="inlineStr">
        <is>
          <t>Superficie SOBRE umbral 0.4976 (ha)</t>
        </is>
      </c>
      <c r="B16" s="47">
        <f>SUM(B10:B11)</f>
        <v/>
      </c>
      <c r="C16" s="48">
        <f>ROUND(B16/B15*100,2)</f>
        <v/>
      </c>
      <c r="D16" s="46" t="inlineStr">
        <is>
          <t>Vigor alto y moderado (DN 4 y DN 5)</t>
        </is>
      </c>
      <c r="E16" s="46" t="inlineStr">
        <is>
          <t>Sobre umbral 0.4976</t>
        </is>
      </c>
    </row>
    <row r="17" ht="30" customHeight="1">
      <c r="A17" s="46" t="inlineStr">
        <is>
          <t>Superficie BAJO umbral 0.4976 (ha) — brecha</t>
        </is>
      </c>
      <c r="B17" s="47">
        <f>SUM(B12:B14)</f>
        <v/>
      </c>
      <c r="C17" s="48">
        <f>ROUND(B17/B15*100,2)</f>
        <v/>
      </c>
      <c r="D17" s="46" t="inlineStr">
        <is>
          <t>Vigor bajo, muy bajo y suelo desnudo (DN 1 a DN 3)</t>
        </is>
      </c>
      <c r="E17" s="46" t="inlineStr">
        <is>
          <t>Base para el indicador de brecha (R.M. N.° 00213-2024-MINAM)</t>
        </is>
      </c>
    </row>
    <row r="18" ht="30" customHeight="1">
      <c r="A18" s="46" t="inlineStr">
        <is>
          <t>Superficie de catálogo (V5/V6) — contraste MSAVI</t>
        </is>
      </c>
      <c r="B18" s="47" t="n">
        <v>82.09</v>
      </c>
      <c r="C18" s="49" t="inlineStr">
        <is>
          <t>—</t>
        </is>
      </c>
      <c r="D18" s="46" t="inlineStr">
        <is>
          <t>Desviación planimétrica frente al catálogo</t>
        </is>
      </c>
      <c r="E18" s="46" t="inlineStr">
        <is>
          <t>+0.00 %</t>
        </is>
      </c>
    </row>
    <row r="19">
      <c r="A19" s="16" t="inlineStr">
        <is>
          <t>MSAVI 2024 — MEDIA DEL BLOQUE</t>
        </is>
      </c>
      <c r="B19" s="17" t="n">
        <v>0.537184</v>
      </c>
      <c r="C19" s="17" t="inlineStr">
        <is>
          <t>—</t>
        </is>
      </c>
      <c r="D19" s="17" t="inlineStr">
        <is>
          <t>Vigor moderado · clase 0.4976 - 0.6139</t>
        </is>
      </c>
      <c r="E19" s="17" t="inlineStr">
        <is>
          <t>Sobre umbral</t>
        </is>
      </c>
    </row>
    <row r="20"/>
    <row r="21" ht="72" customHeight="1">
      <c r="A21" s="9" t="inlineStr">
        <is>
          <t>NOTA METODOLÓGICA. La distribución areal por clase de MSAVI 2024 procede de la estadística zonal por polígono del ráster MSAVI clasificado (archivo AREAS_MSAVI_BLOQUES_V6_REV_HSCM.xlsx, hojas «Datos_Detalle» y «Resumen_por_Bloque»): 292 polígonos agregados para este bloque, con superficies obtenidas como Area_m2 / 10 000. El archivo fuente no documenta la semántica del valor de clase DN; la equivalencia DN 1 = clase inferior … DN 5 = clase superior se estableció por contraste con la media MSAVI 2024 del catálogo maestro de los 117 bloques (coeficiente de correlación 0.9965 y error absoluto medio 0.0091 al reconstruir la media con los puntos medios de clase; el orden inverso arroja correlación negativa), y debe ser confirmada por el especialista SIG del proyecto. La media del bloque (0.5372) se conserva del catálogo maestro y es dato oficial; la fila resaltada indica la clase en la que cae dicha media. Los totales y porcentajes se calculan con fórmulas sobre las filas del cuadro.</t>
        </is>
      </c>
      <c r="B21" s="41" t="n"/>
      <c r="C21" s="41" t="n"/>
      <c r="D21" s="41" t="n"/>
      <c r="E21" s="42" t="n"/>
    </row>
    <row r="22"/>
    <row r="23" ht="18" customHeight="1">
      <c r="A23" s="5" t="inlineStr">
        <is>
          <t>B. NDVI MEDIANA 2025 — DISTRIBUCIÓN AREAL (ESTADÍSTICA ZONAL)</t>
        </is>
      </c>
    </row>
    <row r="24" ht="28" customHeight="1">
      <c r="A24" s="10" t="inlineStr">
        <is>
          <t>Clase NDVI</t>
        </is>
      </c>
      <c r="B24" s="10" t="inlineStr">
        <is>
          <t>Superficie (ha)</t>
        </is>
      </c>
      <c r="C24" s="10" t="inlineStr">
        <is>
          <t>% del área clasificada</t>
        </is>
      </c>
      <c r="D24" s="10" t="inlineStr">
        <is>
          <t>Interpretación</t>
        </is>
      </c>
      <c r="E24" s="10" t="inlineStr">
        <is>
          <t>Observación</t>
        </is>
      </c>
    </row>
    <row r="25">
      <c r="A25" s="7" t="inlineStr">
        <is>
          <t>Vegetación alta</t>
        </is>
      </c>
      <c r="B25" s="18" t="n">
        <v>49.5333</v>
      </c>
      <c r="C25" s="19" t="n">
        <v>60.33</v>
      </c>
      <c r="D25" s="11" t="inlineStr">
        <is>
          <t>Dosel continuo, matorral denso o mosaico agroforestal</t>
        </is>
      </c>
      <c r="E25" s="11" t="inlineStr"/>
    </row>
    <row r="26">
      <c r="A26" s="14" t="inlineStr">
        <is>
          <t>Vegetación mediana</t>
        </is>
      </c>
      <c r="B26" s="20" t="n">
        <v>31.8676</v>
      </c>
      <c r="C26" s="21" t="n">
        <v>38.82</v>
      </c>
      <c r="D26" s="15" t="inlineStr">
        <is>
          <t>Pastizal cultivado, matorral ralo, parcelas agrícolas</t>
        </is>
      </c>
      <c r="E26" s="15" t="inlineStr"/>
    </row>
    <row r="27">
      <c r="A27" s="7" t="inlineStr">
        <is>
          <t>Vegetación ligera</t>
        </is>
      </c>
      <c r="B27" s="18" t="n">
        <v>0.6967</v>
      </c>
      <c r="C27" s="19" t="n">
        <v>0.85</v>
      </c>
      <c r="D27" s="11" t="inlineStr">
        <is>
          <t>Cobertura discontinua, suelo parcialmente expuesto</t>
        </is>
      </c>
      <c r="E27" s="11" t="inlineStr"/>
    </row>
    <row r="28">
      <c r="A28" s="16" t="inlineStr">
        <is>
          <t>TOTAL CLASIFICADO</t>
        </is>
      </c>
      <c r="B28" s="22">
        <f>SUM(B25:B27)</f>
        <v/>
      </c>
      <c r="C28" s="23">
        <f>SUM(C25:C27)</f>
        <v/>
      </c>
      <c r="D28" s="17" t="inlineStr"/>
      <c r="E28" s="17" t="inlineStr"/>
    </row>
    <row r="29">
      <c r="A29" s="24" t="inlineStr">
        <is>
          <t>Superficie de catálogo (V5/V6)</t>
        </is>
      </c>
      <c r="B29" s="25" t="n">
        <v>82.09</v>
      </c>
      <c r="C29" s="25" t="inlineStr">
        <is>
          <t>—</t>
        </is>
      </c>
      <c r="D29" s="25" t="inlineStr">
        <is>
          <t>Desviación planimétrica frente al catálogo</t>
        </is>
      </c>
      <c r="E29" s="25" t="inlineStr">
        <is>
          <t>+0.01 %</t>
        </is>
      </c>
    </row>
    <row r="30"/>
    <row r="31" ht="108" customHeight="1">
      <c r="A31" s="9" t="inlineStr">
        <is>
          <t>LECTURA CRÍTICA. Los índices MSAVI y NDVI miden vigor y densidad de biomasa, no composición ni integridad ecosistémica. Un valor alto NO equivale a ausencia de degradación: en bloques con mosaico agrícola, pastizal cultivado o plantaciones, la respuesta espectral puede ser alta sobre una unidad productora sustituida en su composición. La diferencia entre ambos productos no debe leerse como mejora entre 2024 y 2025: son índices distintos (el NDVI satura ante biomasa densa, el MSAVI conserva sensibilidad al suelo de fondo) aplicados sobre compuestos temporales distintos. Contraste registrado en este bloque: la cobertura vegetal estimada en campo es 85 % frente a un 60.33 % del polígono clasificado como «Vegetación alta» por el NDVI 2025; la observación de campo corresponde a una parcela o recorrido puntual y no es estadísticamente representativa de las 82.090 ha del bloque.</t>
        </is>
      </c>
      <c r="B31" s="41" t="n"/>
      <c r="C31" s="41" t="n"/>
      <c r="D31" s="41" t="n"/>
      <c r="E31" s="42" t="n"/>
    </row>
  </sheetData>
  <mergeCells count="10">
    <mergeCell ref="A21:E21"/>
    <mergeCell ref="A4:E4"/>
    <mergeCell ref="A2:E2"/>
    <mergeCell ref="A1:E1"/>
    <mergeCell ref="A5:E5"/>
    <mergeCell ref="A23:E23"/>
    <mergeCell ref="A8:E8"/>
    <mergeCell ref="A6:E6"/>
    <mergeCell ref="A31:E31"/>
    <mergeCell ref="A3:E3"/>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H23"/>
  <sheetViews>
    <sheetView showGridLines="0" workbookViewId="0">
      <pane ySplit="6" topLeftCell="A7" activePane="bottomLeft" state="frozen"/>
      <selection pane="bottomLeft" activeCell="A1" sqref="A1"/>
    </sheetView>
  </sheetViews>
  <sheetFormatPr baseColWidth="8" defaultRowHeight="15"/>
  <cols>
    <col width="12" customWidth="1" min="1" max="1"/>
    <col width="34" customWidth="1" min="2" max="2"/>
    <col width="15" customWidth="1" min="3" max="3"/>
    <col width="15" customWidth="1" min="4" max="4"/>
    <col width="18" customWidth="1" min="5" max="5"/>
    <col width="22" customWidth="1" min="6" max="6"/>
    <col width="44" customWidth="1" min="7" max="7"/>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PUNTOS GEORREFERENCIADOS DE VERIFICACIÓN — BLOQUE 19</t>
        </is>
      </c>
    </row>
    <row r="6" ht="24" customHeight="1">
      <c r="A6" s="4" t="inlineStr">
        <is>
          <t>Levantamiento del 2026-08-12 · Sistema de referencia UTM WGS 84 Zona 17S (EPSG:32717)</t>
        </is>
      </c>
    </row>
    <row r="8" ht="18" customHeight="1">
      <c r="A8" s="5" t="inlineStr">
        <is>
          <t>INVENTARIO DE PUNTOS GEORREFERENCIADOS DE LA FICHA DT</t>
        </is>
      </c>
    </row>
    <row r="9" ht="28" customHeight="1">
      <c r="A9" s="10" t="inlineStr">
        <is>
          <t>Código</t>
        </is>
      </c>
      <c r="B9" s="10" t="inlineStr">
        <is>
          <t>Naturaleza del punto</t>
        </is>
      </c>
      <c r="C9" s="10" t="inlineStr">
        <is>
          <t>UTM ESTE (m)</t>
        </is>
      </c>
      <c r="D9" s="10" t="inlineStr">
        <is>
          <t>UTM NORTE (m)</t>
        </is>
      </c>
      <c r="E9" s="10" t="inlineStr">
        <is>
          <t>Dist. al centroide (m)</t>
        </is>
      </c>
      <c r="F9" s="10" t="inlineStr">
        <is>
          <t>Estado / régimen</t>
        </is>
      </c>
      <c r="G9" s="10" t="inlineStr">
        <is>
          <t>Contenido registrado</t>
        </is>
      </c>
    </row>
    <row r="10">
      <c r="A10" s="7" t="inlineStr">
        <is>
          <t>P-00</t>
        </is>
      </c>
      <c r="B10" s="11" t="inlineStr">
        <is>
          <t>Punto de muestreo declarado en ficha DT</t>
        </is>
      </c>
      <c r="C10" s="26" t="n">
        <v>664973</v>
      </c>
      <c r="D10" s="26" t="n">
        <v>9390797</v>
      </c>
      <c r="E10" s="11" t="n">
        <v>1029.3</v>
      </c>
      <c r="F10" s="11" t="inlineStr"/>
      <c r="G10" s="11" t="inlineStr">
        <is>
          <t>Coordenada consignada en F-DT-01</t>
        </is>
      </c>
    </row>
    <row r="11">
      <c r="A11" s="14" t="inlineStr">
        <is>
          <t>C-01</t>
        </is>
      </c>
      <c r="B11" s="15" t="inlineStr">
        <is>
          <t>Rasgo erosivo — Cárcava incipiente (30-50 cm)</t>
        </is>
      </c>
      <c r="C11" s="27" t="n">
        <v>665040</v>
      </c>
      <c r="D11" s="27" t="n">
        <v>9390735</v>
      </c>
      <c r="E11" s="15" t="n">
        <v>990.4</v>
      </c>
      <c r="F11" s="15" t="inlineStr">
        <is>
          <t>Activa</t>
        </is>
      </c>
      <c r="G11" s="15" t="inlineStr">
        <is>
          <t>Concentración natural de escorrentía</t>
        </is>
      </c>
    </row>
    <row r="12">
      <c r="A12" s="7" t="inlineStr">
        <is>
          <t>C-02</t>
        </is>
      </c>
      <c r="B12" s="11" t="inlineStr">
        <is>
          <t>Rasgo erosivo — Surco (&lt;30 cm)</t>
        </is>
      </c>
      <c r="C12" s="26" t="n">
        <v>665030</v>
      </c>
      <c r="D12" s="26" t="n">
        <v>9390737</v>
      </c>
      <c r="E12" s="11" t="n">
        <v>998.7</v>
      </c>
      <c r="F12" s="11" t="inlineStr">
        <is>
          <t>Activa</t>
        </is>
      </c>
      <c r="G12" s="11" t="inlineStr">
        <is>
          <t>Caminos / huellas de ganado</t>
        </is>
      </c>
    </row>
    <row r="13">
      <c r="A13" s="14" t="inlineStr">
        <is>
          <t>C-03</t>
        </is>
      </c>
      <c r="B13" s="15" t="inlineStr">
        <is>
          <t>Rasgo erosivo — Surco (&lt;30 cm)</t>
        </is>
      </c>
      <c r="C13" s="27" t="n">
        <v>664983</v>
      </c>
      <c r="D13" s="27" t="n">
        <v>9390801</v>
      </c>
      <c r="E13" s="15" t="n">
        <v>1018.5</v>
      </c>
      <c r="F13" s="15" t="inlineStr">
        <is>
          <t>Semi-activa</t>
        </is>
      </c>
      <c r="G13" s="15" t="inlineStr">
        <is>
          <t>Surcos de labranza en pendiente</t>
        </is>
      </c>
    </row>
    <row r="14">
      <c r="A14" s="7" t="inlineStr">
        <is>
          <t>H-01</t>
        </is>
      </c>
      <c r="B14" s="11" t="inlineStr">
        <is>
          <t>Fuente de agua — Otro (caja de reunión / válvula)</t>
        </is>
      </c>
      <c r="C14" s="26" t="n">
        <v>664978</v>
      </c>
      <c r="D14" s="26" t="n">
        <v>9390787</v>
      </c>
      <c r="E14" s="11" t="n">
        <v>1028</v>
      </c>
      <c r="F14" s="11" t="inlineStr">
        <is>
          <t>Permanente</t>
        </is>
      </c>
      <c r="G14" s="11" t="inlineStr">
        <is>
          <t>Infraestructura del sistema de agua potable</t>
        </is>
      </c>
    </row>
    <row r="15">
      <c r="A15" s="14" t="inlineStr">
        <is>
          <t>B-01</t>
        </is>
      </c>
      <c r="B15" s="15" t="inlineStr">
        <is>
          <t>Especie clave — Cenchrus clandestinus (kikuyo)</t>
        </is>
      </c>
      <c r="C15" s="27" t="n">
        <v>664973</v>
      </c>
      <c r="D15" s="27" t="n">
        <v>9390797</v>
      </c>
      <c r="E15" s="15" t="n">
        <v>1029.3</v>
      </c>
      <c r="F15" s="15" t="inlineStr">
        <is>
          <t>Indicadora de perturbación</t>
        </is>
      </c>
      <c r="G15" s="15" t="inlineStr"/>
    </row>
    <row r="16">
      <c r="A16" s="7" t="inlineStr">
        <is>
          <t>B-02</t>
        </is>
      </c>
      <c r="B16" s="11" t="inlineStr">
        <is>
          <t>Especie clave — Baccharis latifolia (chilca)</t>
        </is>
      </c>
      <c r="C16" s="26" t="n">
        <v>664983</v>
      </c>
      <c r="D16" s="26" t="n">
        <v>9390801</v>
      </c>
      <c r="E16" s="11" t="n">
        <v>1018.5</v>
      </c>
      <c r="F16" s="11" t="inlineStr">
        <is>
          <t>Indicadora de perturbación</t>
        </is>
      </c>
      <c r="G16" s="11" t="inlineStr"/>
    </row>
    <row r="17">
      <c r="A17" s="14" t="inlineStr">
        <is>
          <t>B-03</t>
        </is>
      </c>
      <c r="B17" s="15" t="inlineStr">
        <is>
          <t>Especie clave — Eucalyptus globulus</t>
        </is>
      </c>
      <c r="C17" s="27" t="n">
        <v>665034</v>
      </c>
      <c r="D17" s="27" t="n">
        <v>9390736</v>
      </c>
      <c r="E17" s="15" t="n">
        <v>995.5</v>
      </c>
      <c r="F17" s="15" t="inlineStr">
        <is>
          <t>Indicadora de perturbación</t>
        </is>
      </c>
      <c r="G17" s="15" t="inlineStr"/>
    </row>
    <row r="18">
      <c r="A18" s="16" t="inlineStr">
        <is>
          <t>TOTAL: 8 puntos</t>
        </is>
      </c>
      <c r="B18" s="17" t="inlineStr"/>
      <c r="C18" s="17" t="inlineStr"/>
      <c r="D18" s="17" t="inlineStr"/>
      <c r="E18" s="17" t="inlineStr"/>
      <c r="F18" s="17" t="inlineStr"/>
      <c r="G18" s="17" t="inlineStr"/>
    </row>
    <row r="20">
      <c r="A20" s="6" t="inlineStr">
        <is>
          <t>Centroide del bloque — UTM ESTE (m)</t>
        </is>
      </c>
      <c r="B20" s="7" t="n">
        <v>665942</v>
      </c>
      <c r="C20" s="6" t="inlineStr">
        <is>
          <t>Centroide del bloque — UTM NORTE (m)</t>
        </is>
      </c>
      <c r="D20" s="7" t="n">
        <v>9391144</v>
      </c>
      <c r="E20" s="8" t="n"/>
      <c r="F20" s="8" t="n"/>
      <c r="G20" s="8" t="n"/>
      <c r="H20" s="8" t="n"/>
    </row>
    <row r="21">
      <c r="A21" s="6" t="inlineStr">
        <is>
          <t>N.° de estaciones fotográficas declaradas</t>
        </is>
      </c>
      <c r="B21" s="7" t="n">
        <v>11</v>
      </c>
      <c r="C21" s="6" t="inlineStr">
        <is>
          <t>Estaciones dentro del polígono</t>
        </is>
      </c>
      <c r="D21" s="7" t="inlineStr">
        <is>
          <t>Por determinar</t>
        </is>
      </c>
      <c r="E21" s="8" t="n"/>
      <c r="F21" s="8" t="n"/>
      <c r="G21" s="8" t="n"/>
      <c r="H21" s="8" t="n"/>
    </row>
    <row r="23" ht="120" customHeight="1">
      <c r="A23" s="9" t="inlineStr">
        <is>
          <t>CONTROL GEOMÉTRICO. Las coordenadas de esta hoja proceden de la ficha DT del bloque (F-DT-01 a F-DT-05) y corresponden a rasgos erosivos, fuentes de agua, especies clave y al punto de muestreo declarado. La distancia al centroide se calcula sobre coordenadas UTM 17S y es referencial: no acredita inclusión ni exclusión respecto del polígono, que exige prueba de inclusión sobre la geometría del bloque. Las estaciones situadas a menos de ~30 m del límite deben considerarse SOBRE EL LÍMITE, dentro del margen de error de la georreferenciación (± 10-15 m). El recorrido cubrió la franja de pie de ladera, entre 2049 y 2057 msnm, accesible desde la trocha del CP Nuevo Progreso (11 estaciones fotográficas georreferenciadas). El sector medio y alto del polígono (hasta ~2500 msnm) no fue recorrido. Los escarpes activos y las remociones en masa corresponden a desprendimientos y derrumbes en taludes de corte de la trocha, con material suelto sobre la plataforma; afectan directamente la vía y las viviendas al pie del talud.</t>
        </is>
      </c>
      <c r="B23" s="41" t="n"/>
      <c r="C23" s="41" t="n"/>
      <c r="D23" s="41" t="n"/>
      <c r="E23" s="41" t="n"/>
      <c r="F23" s="41" t="n"/>
      <c r="G23" s="42" t="n"/>
    </row>
  </sheetData>
  <mergeCells count="8">
    <mergeCell ref="A1:G1"/>
    <mergeCell ref="A8:G8"/>
    <mergeCell ref="A3:G3"/>
    <mergeCell ref="A6:G6"/>
    <mergeCell ref="A4:G4"/>
    <mergeCell ref="A2:G2"/>
    <mergeCell ref="A5:G5"/>
    <mergeCell ref="A23:G23"/>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26"/>
  <sheetViews>
    <sheetView showGridLines="0" workbookViewId="0">
      <pane ySplit="6" topLeftCell="A7" activePane="bottomLeft" state="frozen"/>
      <selection pane="bottomLeft" activeCell="A1" sqref="A1"/>
    </sheetView>
  </sheetViews>
  <sheetFormatPr baseColWidth="8" defaultRowHeight="15"/>
  <cols>
    <col width="14" customWidth="1" min="1" max="1"/>
    <col width="13" customWidth="1" min="2" max="2"/>
    <col width="14" customWidth="1" min="3" max="3"/>
    <col width="24" customWidth="1" min="4" max="4"/>
    <col width="13" customWidth="1" min="5" max="5"/>
    <col width="18" customWidth="1" min="6" max="6"/>
    <col width="13" customWidth="1" min="7" max="7"/>
    <col width="20" customWidth="1" min="8" max="8"/>
    <col width="22" customWidth="1" min="9" max="9"/>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CONTEXTO INTRAMICROCUENCA C1076-Q9592 — BLOQUE 19</t>
        </is>
      </c>
    </row>
    <row r="6" ht="24" customHeight="1">
      <c r="A6" s="4" t="inlineStr">
        <is>
          <t>Distrito de Huarmaca · Provincia de Huancabamba · Comparación de los bloques preliminares de intervención de la misma microcuenca</t>
        </is>
      </c>
    </row>
    <row r="7"/>
    <row r="8" ht="18" customHeight="1">
      <c r="A8" s="5" t="inlineStr">
        <is>
          <t>BLOQUES DE LA MICROCUENCA C1076-Q9592</t>
        </is>
      </c>
    </row>
    <row r="9" ht="28" customHeight="1">
      <c r="A9" s="10" t="inlineStr">
        <is>
          <t>Bloque</t>
        </is>
      </c>
      <c r="B9" s="10" t="inlineStr">
        <is>
          <t>Área (ha)</t>
        </is>
      </c>
      <c r="C9" s="10" t="inlineStr">
        <is>
          <t>% microcuenca</t>
        </is>
      </c>
      <c r="D9" s="10" t="inlineStr">
        <is>
          <t>Rango altitudinal (msnm)</t>
        </is>
      </c>
      <c r="E9" s="10" t="inlineStr">
        <is>
          <t>Amplitud (m)</t>
        </is>
      </c>
      <c r="F9" s="10" t="inlineStr">
        <is>
          <t>Pendiente prom. (%)</t>
        </is>
      </c>
      <c r="G9" s="10" t="inlineStr">
        <is>
          <t>MSAVI 2024</t>
        </is>
      </c>
      <c r="H9" s="10" t="inlineStr">
        <is>
          <t>NDVI 2025 — Veg. alta (%)</t>
        </is>
      </c>
      <c r="I9" s="10" t="inlineStr">
        <is>
          <t>MSAVI — % bajo umbral 0.4976</t>
        </is>
      </c>
    </row>
    <row r="10">
      <c r="A10" s="7" t="inlineStr">
        <is>
          <t>18</t>
        </is>
      </c>
      <c r="B10" s="28" t="n">
        <v>103.62</v>
      </c>
      <c r="C10" s="19" t="n">
        <v>21.54</v>
      </c>
      <c r="D10" s="11" t="inlineStr">
        <is>
          <t>1218 – 1904</t>
        </is>
      </c>
      <c r="E10" s="11" t="n">
        <v>686</v>
      </c>
      <c r="F10" s="11" t="n">
        <v>28.7</v>
      </c>
      <c r="G10" s="18" t="n">
        <v>0.6402</v>
      </c>
      <c r="H10" s="19" t="n">
        <v>96.64</v>
      </c>
      <c r="I10" s="19" t="n">
        <v>3</v>
      </c>
    </row>
    <row r="11">
      <c r="A11" s="12" t="inlineStr">
        <is>
          <t>► 19</t>
        </is>
      </c>
      <c r="B11" s="29" t="n">
        <v>82.09</v>
      </c>
      <c r="C11" s="30" t="n">
        <v>17.06</v>
      </c>
      <c r="D11" s="13" t="inlineStr">
        <is>
          <t>2064 – 2503</t>
        </is>
      </c>
      <c r="E11" s="13" t="n">
        <v>439</v>
      </c>
      <c r="F11" s="13" t="n">
        <v>31.01</v>
      </c>
      <c r="G11" s="31" t="n">
        <v>0.5372</v>
      </c>
      <c r="H11" s="30" t="n">
        <v>60.33</v>
      </c>
      <c r="I11" s="30" t="n">
        <v>42.63</v>
      </c>
    </row>
    <row r="12">
      <c r="A12" s="7" t="inlineStr">
        <is>
          <t>41</t>
        </is>
      </c>
      <c r="B12" s="28" t="n">
        <v>64.92</v>
      </c>
      <c r="C12" s="19" t="n">
        <v>13.49</v>
      </c>
      <c r="D12" s="11" t="inlineStr">
        <is>
          <t>1536 – 1818</t>
        </is>
      </c>
      <c r="E12" s="11" t="n">
        <v>282</v>
      </c>
      <c r="F12" s="11" t="n">
        <v>25.53</v>
      </c>
      <c r="G12" s="18" t="n">
        <v>0.5927</v>
      </c>
      <c r="H12" s="19" t="n">
        <v>98.02</v>
      </c>
      <c r="I12" s="19" t="n">
        <v>12.26</v>
      </c>
    </row>
    <row r="13">
      <c r="A13" s="14" t="inlineStr">
        <is>
          <t>73</t>
        </is>
      </c>
      <c r="B13" s="32" t="n">
        <v>54.29</v>
      </c>
      <c r="C13" s="21" t="n">
        <v>11.28</v>
      </c>
      <c r="D13" s="15" t="inlineStr">
        <is>
          <t>1845 – 2305</t>
        </is>
      </c>
      <c r="E13" s="15" t="n">
        <v>460</v>
      </c>
      <c r="F13" s="15" t="n">
        <v>36.34</v>
      </c>
      <c r="G13" s="20" t="n">
        <v>0.555</v>
      </c>
      <c r="H13" s="21" t="n">
        <v>88.8</v>
      </c>
      <c r="I13" s="21" t="n">
        <v>18.94</v>
      </c>
    </row>
    <row r="14">
      <c r="A14" s="7" t="inlineStr">
        <is>
          <t>31</t>
        </is>
      </c>
      <c r="B14" s="28" t="n">
        <v>47.58</v>
      </c>
      <c r="C14" s="19" t="n">
        <v>9.890000000000001</v>
      </c>
      <c r="D14" s="11" t="inlineStr">
        <is>
          <t>1741 – 2234</t>
        </is>
      </c>
      <c r="E14" s="11" t="n">
        <v>493</v>
      </c>
      <c r="F14" s="11" t="n">
        <v>27.08</v>
      </c>
      <c r="G14" s="18" t="n">
        <v>0.4358</v>
      </c>
      <c r="H14" s="19" t="n">
        <v>18.56</v>
      </c>
      <c r="I14" s="19" t="n">
        <v>78.42</v>
      </c>
    </row>
    <row r="15">
      <c r="A15" s="14" t="inlineStr">
        <is>
          <t>29</t>
        </is>
      </c>
      <c r="B15" s="32" t="n">
        <v>40.1</v>
      </c>
      <c r="C15" s="21" t="n">
        <v>8.33</v>
      </c>
      <c r="D15" s="15" t="inlineStr">
        <is>
          <t>2142 – 2391</t>
        </is>
      </c>
      <c r="E15" s="15" t="n">
        <v>249</v>
      </c>
      <c r="F15" s="15" t="n">
        <v>31.54</v>
      </c>
      <c r="G15" s="20" t="n">
        <v>0.5482</v>
      </c>
      <c r="H15" s="21" t="inlineStr">
        <is>
          <t>Por determinar</t>
        </is>
      </c>
      <c r="I15" s="15" t="inlineStr">
        <is>
          <t>s/d</t>
        </is>
      </c>
    </row>
    <row r="16">
      <c r="A16" s="7" t="inlineStr">
        <is>
          <t>70</t>
        </is>
      </c>
      <c r="B16" s="28" t="n">
        <v>22.39</v>
      </c>
      <c r="C16" s="19" t="n">
        <v>4.65</v>
      </c>
      <c r="D16" s="11" t="inlineStr">
        <is>
          <t>2326 – 2536</t>
        </is>
      </c>
      <c r="E16" s="11" t="n">
        <v>210</v>
      </c>
      <c r="F16" s="11" t="n">
        <v>23.2</v>
      </c>
      <c r="G16" s="18" t="n">
        <v>0.6223</v>
      </c>
      <c r="H16" s="19" t="n">
        <v>98.39</v>
      </c>
      <c r="I16" s="19" t="n">
        <v>4.87</v>
      </c>
    </row>
    <row r="17">
      <c r="A17" s="14" t="inlineStr">
        <is>
          <t>68</t>
        </is>
      </c>
      <c r="B17" s="32" t="n">
        <v>21.29</v>
      </c>
      <c r="C17" s="21" t="n">
        <v>4.42</v>
      </c>
      <c r="D17" s="15" t="inlineStr">
        <is>
          <t>2086 – 2374</t>
        </is>
      </c>
      <c r="E17" s="15" t="n">
        <v>288</v>
      </c>
      <c r="F17" s="15" t="n">
        <v>36.81</v>
      </c>
      <c r="G17" s="20" t="n">
        <v>0.483</v>
      </c>
      <c r="H17" s="21" t="inlineStr">
        <is>
          <t>Por determinar</t>
        </is>
      </c>
      <c r="I17" s="15" t="inlineStr">
        <is>
          <t>s/d</t>
        </is>
      </c>
    </row>
    <row r="18">
      <c r="A18" s="7" t="inlineStr">
        <is>
          <t>69</t>
        </is>
      </c>
      <c r="B18" s="28" t="n">
        <v>19.43</v>
      </c>
      <c r="C18" s="19" t="n">
        <v>4.04</v>
      </c>
      <c r="D18" s="11" t="inlineStr">
        <is>
          <t>1931 – 2205</t>
        </is>
      </c>
      <c r="E18" s="11" t="n">
        <v>274</v>
      </c>
      <c r="F18" s="11" t="n">
        <v>27.95</v>
      </c>
      <c r="G18" s="18" t="n">
        <v>0.4489</v>
      </c>
      <c r="H18" s="19" t="n">
        <v>22.92</v>
      </c>
      <c r="I18" s="19" t="n">
        <v>81.28</v>
      </c>
    </row>
    <row r="19">
      <c r="A19" s="14" t="inlineStr">
        <is>
          <t>53</t>
        </is>
      </c>
      <c r="B19" s="32" t="n">
        <v>13.06</v>
      </c>
      <c r="C19" s="21" t="n">
        <v>2.71</v>
      </c>
      <c r="D19" s="15" t="inlineStr">
        <is>
          <t>2235 – 2540</t>
        </is>
      </c>
      <c r="E19" s="15" t="n">
        <v>305</v>
      </c>
      <c r="F19" s="15" t="n">
        <v>26.89</v>
      </c>
      <c r="G19" s="20" t="n">
        <v>0.5963000000000001</v>
      </c>
      <c r="H19" s="21" t="n">
        <v>86.15000000000001</v>
      </c>
      <c r="I19" s="21" t="n">
        <v>12.45</v>
      </c>
    </row>
    <row r="20">
      <c r="A20" s="7" t="inlineStr">
        <is>
          <t>72</t>
        </is>
      </c>
      <c r="B20" s="28" t="n">
        <v>12.4</v>
      </c>
      <c r="C20" s="19" t="n">
        <v>2.58</v>
      </c>
      <c r="D20" s="11" t="inlineStr">
        <is>
          <t>1538 – 1742</t>
        </is>
      </c>
      <c r="E20" s="11" t="n">
        <v>204</v>
      </c>
      <c r="F20" s="11" t="n">
        <v>28.25</v>
      </c>
      <c r="G20" s="18" t="n">
        <v>0.5185</v>
      </c>
      <c r="H20" s="19" t="n">
        <v>92.44</v>
      </c>
      <c r="I20" s="19" t="n">
        <v>41.35</v>
      </c>
    </row>
    <row r="21">
      <c r="A21" s="16" t="inlineStr">
        <is>
          <t>TOTAL / PROMEDIO</t>
        </is>
      </c>
      <c r="B21" s="33">
        <f>SUM(B10:B20)</f>
        <v/>
      </c>
      <c r="C21" s="23">
        <f>SUM(C10:C20)</f>
        <v/>
      </c>
      <c r="D21" s="17" t="inlineStr">
        <is>
          <t>1218 – 2540</t>
        </is>
      </c>
      <c r="E21" s="17" t="inlineStr"/>
      <c r="F21" s="17">
        <f>ROUND(AVERAGE(F10:F20),2)</f>
        <v/>
      </c>
      <c r="G21" s="22">
        <f>ROUND(AVERAGE(G10:G20),4)</f>
        <v/>
      </c>
      <c r="H21" s="23">
        <f>ROUND(AVERAGE(H10:H20),2)</f>
        <v/>
      </c>
      <c r="I21" s="23">
        <f>ROUND(AVERAGE(I10:I20),2)</f>
        <v/>
      </c>
    </row>
    <row r="22" ht="48" customHeight="1">
      <c r="A22" s="9" t="inlineStr">
        <is>
          <t>ALCANCE DE LOS PROMEDIOS. La fila TOTAL / PROMEDIO omite las celdas «Por determinar»: el promedio de VEGETACIÓN ALTA (NDVI 2025) se calcula sobre 9 de los 11 bloques; los 2 bloques restantes carecen de estadística zonal de NDVI. Los totales de ÁREA y % de microcuenca sí comprenden la totalidad de los 11 bloques. No se estima ningún valor ausente.</t>
        </is>
      </c>
      <c r="B22" s="41" t="n"/>
      <c r="C22" s="41" t="n"/>
      <c r="D22" s="41" t="n"/>
      <c r="E22" s="41" t="n"/>
      <c r="F22" s="41" t="n"/>
      <c r="G22" s="41" t="n"/>
      <c r="H22" s="42" t="n"/>
    </row>
    <row r="23"/>
    <row r="24" ht="84" customHeight="1">
      <c r="A24" s="9" t="inlineStr">
        <is>
          <t>LECTURA INTRAMICROCUENCA. El bloque 19 ocupa el puesto 2 de 11 por superficie dentro de la microcuenca C1076-Q9592 (17.06 % de las 481.17 ha preliminares de la microcuenca). Su pendiente promedio (31.01 %, clase «25-50% (Mod. escarpado)») es la 8.ª más baja de 11 y se sitúa por encima del promedio de la microcuenca (29.39 %). Su MSAVI 2024 (0.5372) es el 7.º de 11 y queda por debajo del promedio local (0.5435). Amplitud altitudinal del bloque: 439 m (2064–2503 msnm). El cuadro conserva todos los bloques catalogados en la microcuenca, incluidos los descartados en el tamizaje, para referencia del conjunto. Los bloques sin ficha DT figuran con sus parámetros de gabinete. BRECHA ESPECTRAL. El 42.63 % de la superficie del bloque (34.997 ha de 82.088 ha) se sitúa bajo el umbral MSAVI 0.4976, por encima del promedio local de la microcuenca (32.80 %) calculado sobre los bloques con dato MSAVI disponible.</t>
        </is>
      </c>
      <c r="B24" s="41" t="n"/>
      <c r="C24" s="41" t="n"/>
      <c r="D24" s="41" t="n"/>
      <c r="E24" s="41" t="n"/>
      <c r="F24" s="41" t="n"/>
      <c r="G24" s="41" t="n"/>
      <c r="H24" s="42" t="n"/>
    </row>
    <row r="25"/>
    <row r="26" ht="60" customHeight="1">
      <c r="A26" s="9" t="inlineStr">
        <is>
          <t>NOTA METODOLÓGICA. Área y MSAVI 2024 proceden del catálogo maestro de bloques V5/V6. El rango altitudinal y la pendiente promedio proceden del reporte de estadística zonal sobre el MDE («Rango de altitud y Pendiente Promedio por Bloques V6»). El porcentaje de «Vegetación alta» procede de la estadística zonal del NDVI mediana 2025 (Sentinel-2). Los totales y promedios se calculan con fórmulas sobre las filas del cuadro. El porcentaje bajo el umbral MSAVI 0.4976 procede de la estadística zonal del ráster MSAVI 2024 clasificado (AREAS_MSAVI_BLOQUES_V6_REV_HSCM) y corresponde a la suma de las clases DN 1 a DN 3 sobre la superficie clasificada de cada bloque; «s/d» indica bloques del catálogo sin cobertura en ese archivo.</t>
        </is>
      </c>
      <c r="B26" s="41" t="n"/>
      <c r="C26" s="41" t="n"/>
      <c r="D26" s="41" t="n"/>
      <c r="E26" s="41" t="n"/>
      <c r="F26" s="41" t="n"/>
      <c r="G26" s="41" t="n"/>
      <c r="H26" s="42" t="n"/>
    </row>
  </sheetData>
  <mergeCells count="10">
    <mergeCell ref="A1:I1"/>
    <mergeCell ref="A4:I4"/>
    <mergeCell ref="A3:I3"/>
    <mergeCell ref="A26:I26"/>
    <mergeCell ref="A24:I24"/>
    <mergeCell ref="A2:I2"/>
    <mergeCell ref="A5:I5"/>
    <mergeCell ref="A8:I8"/>
    <mergeCell ref="A6:I6"/>
    <mergeCell ref="A22:I22"/>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E22"/>
  <sheetViews>
    <sheetView showGridLines="0" workbookViewId="0">
      <pane ySplit="6" topLeftCell="A7" activePane="bottomLeft" state="frozen"/>
      <selection pane="bottomLeft" activeCell="A1" sqref="A1"/>
    </sheetView>
  </sheetViews>
  <sheetFormatPr baseColWidth="8" defaultRowHeight="15"/>
  <cols>
    <col width="9" customWidth="1" min="1" max="1"/>
    <col width="32" customWidth="1" min="2" max="2"/>
    <col width="60" customWidth="1" min="3" max="3"/>
    <col width="18" customWidth="1" min="4" max="4"/>
    <col width="62" customWidth="1" min="5" max="5"/>
  </cols>
  <sheetData>
    <row r="1" ht="15" customHeight="1">
      <c r="A1" s="1" t="inlineStr">
        <is>
          <t>AUTORIDAD NACIONAL DE INFRAESTRUCTURA - ANIN</t>
        </is>
      </c>
    </row>
    <row r="2" ht="15" customHeight="1">
      <c r="A2" s="1" t="inlineStr">
        <is>
          <t>DIRECCIÓN DE INTERVENCIONES MULTISECTORIALES Y DE EMERGENCIA - DIME</t>
        </is>
      </c>
    </row>
    <row r="3" ht="15" customHeight="1">
      <c r="A3" s="1" t="inlineStr">
        <is>
          <t>SUBDIRECCIÓN DE ESTUDIOS DE INVERSIÓN - SESDI</t>
        </is>
      </c>
    </row>
    <row r="4" ht="24" customHeight="1">
      <c r="A4" s="2" t="inlineStr">
        <is>
          <t>PROYECTO IN PIURA | CUI 2669244 | Recuperación del servicio de regulación de riesgos naturales y de ecosistemas degradados - Cuenca Alta del Río Piura</t>
        </is>
      </c>
    </row>
    <row r="5" ht="22" customHeight="1">
      <c r="A5" s="3" t="inlineStr">
        <is>
          <t>CONTROL DE CONSISTENCIA DE LA INFORMACIÓN — BLOQUE 19</t>
        </is>
      </c>
    </row>
    <row r="6" ht="24" customHeight="1">
      <c r="A6" s="4" t="inlineStr">
        <is>
          <t>Discrepancias detectadas entre el registro de campo, los productos de gabinete y el catálogo maestro. Calificación: SUSTANTIVA / NO SUSTANTIVA / CORREGIDO / CONFORME.</t>
        </is>
      </c>
    </row>
    <row r="7"/>
    <row r="8" ht="18" customHeight="1">
      <c r="A8" s="5" t="inlineStr">
        <is>
          <t>DISCREPANCIAS Y VERIFICACIONES</t>
        </is>
      </c>
    </row>
    <row r="9" ht="28" customHeight="1">
      <c r="A9" s="10" t="inlineStr">
        <is>
          <t>Cód.</t>
        </is>
      </c>
      <c r="B9" s="10" t="inlineStr">
        <is>
          <t>Campo afectado</t>
        </is>
      </c>
      <c r="C9" s="10" t="inlineStr">
        <is>
          <t>Discrepancia observada</t>
        </is>
      </c>
      <c r="D9" s="10" t="inlineStr">
        <is>
          <t>Calificación</t>
        </is>
      </c>
      <c r="E9" s="10" t="inlineStr">
        <is>
          <t>Tratamiento adoptado</t>
        </is>
      </c>
    </row>
    <row r="10" ht="48" customHeight="1">
      <c r="A10" s="34" t="inlineStr">
        <is>
          <t>D-01</t>
        </is>
      </c>
      <c r="B10" s="34" t="inlineStr">
        <is>
          <t>Código de microcuenca</t>
        </is>
      </c>
      <c r="C10" s="34" t="inlineStr">
        <is>
          <t>La ficha DT declara «C1076-Q9584»; el catálogo maestro V5/V6 asigna el bloque a «C1076-Q9592»</t>
        </is>
      </c>
      <c r="D10" s="35" t="inlineStr">
        <is>
          <t>SUSTANTIVA</t>
        </is>
      </c>
      <c r="E10" s="34" t="inlineStr">
        <is>
          <t>Se conserva el código del catálogo maestro para todo cálculo intramicrocuenca. La declaración de la ficha debe corregirse en la siguiente versión del formato V5.</t>
        </is>
      </c>
    </row>
    <row r="11" ht="48" customHeight="1">
      <c r="A11" s="36" t="inlineStr">
        <is>
          <t>D-02</t>
        </is>
      </c>
      <c r="B11" s="36" t="inlineStr">
        <is>
          <t>UTM del punto de muestreo</t>
        </is>
      </c>
      <c r="C11" s="36" t="inlineStr">
        <is>
          <t>El punto de muestreo declarado (664973 E / 9390797 N) dista 1,029 m del centroide de catálogo (665942 E / 9391144 N), distancia incompatible con la superficie del bloque (82.09 ha)</t>
        </is>
      </c>
      <c r="D11" s="35" t="inlineStr">
        <is>
          <t>SUSTANTIVA</t>
        </is>
      </c>
      <c r="E11" s="36" t="inlineStr">
        <is>
          <t>Se declara la coordenada como POR VERIFICAR: puede corresponder a otro bloque o a un error de digitación. No se corrige de oficio.</t>
        </is>
      </c>
    </row>
    <row r="12" ht="48" customHeight="1">
      <c r="A12" s="34" t="inlineStr">
        <is>
          <t>D-03</t>
        </is>
      </c>
      <c r="B12" s="34" t="inlineStr">
        <is>
          <t>Superficie del polígono</t>
        </is>
      </c>
      <c r="C12" s="34" t="inlineStr">
        <is>
          <t>La superficie clasificada por el NDVI 2025 (82.098 ha) coincide con la de catálogo (82.09 ha) dentro del ±2 % (+0.01 %)</t>
        </is>
      </c>
      <c r="D12" s="37" t="inlineStr">
        <is>
          <t>CONFORME</t>
        </is>
      </c>
      <c r="E12" s="34" t="inlineStr">
        <is>
          <t>Sin acción: la segmentación valida la geometría del bloque.</t>
        </is>
      </c>
    </row>
    <row r="13" ht="48" customHeight="1">
      <c r="A13" s="36" t="inlineStr">
        <is>
          <t>D-04</t>
        </is>
      </c>
      <c r="B13" s="36" t="inlineStr">
        <is>
          <t>Elenco florístico</t>
        </is>
      </c>
      <c r="C13" s="36" t="inlineStr">
        <is>
          <t>La ficha registra 7 taxones, por debajo del mínimo de 15 que exige el formato V5</t>
        </is>
      </c>
      <c r="D13" s="35" t="inlineStr">
        <is>
          <t>SUSTANTIVA</t>
        </is>
      </c>
      <c r="E13" s="36" t="inlineStr">
        <is>
          <t>Registro florístico preliminar, sin colecta ni determinación botánica formal. Debe cerrarse con colecta botánica en la siguiente campaña.</t>
        </is>
      </c>
    </row>
    <row r="14" ht="48" customHeight="1">
      <c r="A14" s="34" t="inlineStr">
        <is>
          <t>D-05</t>
        </is>
      </c>
      <c r="B14" s="34" t="inlineStr">
        <is>
          <t>Centro poblado asociado</t>
        </is>
      </c>
      <c r="C14" s="34" t="inlineStr">
        <is>
          <t>La ficha DT declara «Nuevo Progreso»; el cruce INEI-Bloques V5 identifica 2 centro(s) poblado(s) en el bloque: NUEVO PROGRESO, TABLURAN</t>
        </is>
      </c>
      <c r="D14" s="37" t="inlineStr">
        <is>
          <t>CONFORME</t>
        </is>
      </c>
      <c r="E14" s="34" t="inlineStr">
        <is>
          <t>Se conserva el registro de campo como referencia y se adopta el listado INEI para el diagnóstico social y el cálculo de población beneficiaria.</t>
        </is>
      </c>
    </row>
    <row r="15" ht="48" customHeight="1">
      <c r="A15" s="36" t="inlineStr">
        <is>
          <t>D-06</t>
        </is>
      </c>
      <c r="B15" s="36" t="inlineStr">
        <is>
          <t>Peligro integrado (MCA-AHP)</t>
        </is>
      </c>
      <c r="C15" s="36" t="inlineStr">
        <is>
          <t>El nivel de peligro integrado no está disponible en los insumos de este entregable</t>
        </is>
      </c>
      <c r="D15" s="35" t="inlineStr">
        <is>
          <t>SUSTANTIVA</t>
        </is>
      </c>
      <c r="E15" s="36" t="inlineStr">
        <is>
          <t>Debe tomarse del modelamiento de mesolocalización (PMM + EPH + PGI ponderados por AHP) antes de fijar la prioridad definitiva de intervención del bloque.</t>
        </is>
      </c>
    </row>
    <row r="16" ht="48" customHeight="1">
      <c r="A16" s="36" t="inlineStr">
        <is>
          <t>D-07</t>
        </is>
      </c>
      <c r="B16" s="36" t="inlineStr">
        <is>
          <t>Distribución areal MSAVI 2024</t>
        </is>
      </c>
      <c r="C16" s="36" t="inlineStr">
        <is>
          <t>La distribución por clase de MSAVI no figuraba en los insumos del entregable y se consignaba «Por determinar»; se incorpora la estadística zonal del ráster MSAVI clasificado (292 polígonos, 82.088 ha)</t>
        </is>
      </c>
      <c r="D16" s="35" t="inlineStr">
        <is>
          <t>CORREGIDO</t>
        </is>
      </c>
      <c r="E16" s="36" t="inlineStr">
        <is>
          <t>Se completó la sección A de la hoja «Cobertura MSAVI-NDVI» con superficie y porcentaje por clase DN 1 a DN 5, totales, superficie sobre y bajo el umbral 0.4976 y contraste con el catálogo. La equivalencia DN → clase se sustenta en la nota metodológica de esa hoja (r = 0.9965, error absoluto medio = 0.0091, n = 117 bloques).</t>
        </is>
      </c>
    </row>
    <row r="17" ht="48" customHeight="1">
      <c r="A17" s="36" t="inlineStr">
        <is>
          <t>D-08</t>
        </is>
      </c>
      <c r="B17" s="36" t="inlineStr">
        <is>
          <t>Superficie MSAVI vs. catálogo</t>
        </is>
      </c>
      <c r="C17" s="36" t="inlineStr">
        <is>
          <t>La superficie total clasificada por el MSAVI 2024 (82.088 ha) frente a la de catálogo V5/V6 (82.090 ha): desviación de +0.00 %</t>
        </is>
      </c>
      <c r="D17" s="35" t="inlineStr">
        <is>
          <t>CONFORME</t>
        </is>
      </c>
      <c r="E17" s="36" t="inlineStr">
        <is>
          <t>Sin acción: la segmentación del ráster valida la geometría del bloque dentro del ±2 %.</t>
        </is>
      </c>
    </row>
    <row r="18" ht="48" customHeight="1">
      <c r="A18" s="36" t="inlineStr">
        <is>
          <t>D-09</t>
        </is>
      </c>
      <c r="B18" s="36" t="inlineStr">
        <is>
          <t>Media MSAVI vs. clase DN dominante</t>
        </is>
      </c>
      <c r="C18" s="36" t="inlineStr">
        <is>
          <t>La media del bloque (0.5372) cae en la clase «DN 4 · 0.4976 - 0.6139 (Vigor moderado)»; la clase de mayor superficie es «DN 3 · 0.3813 - 0.4976 (Vigor bajo)», con 39.12 % del bloque. Superficie bajo el umbral 0.4976: 34.997 ha (42.63 %)</t>
        </is>
      </c>
      <c r="D18" s="35" t="inlineStr">
        <is>
          <t>NO SUSTANTIVA</t>
        </is>
      </c>
      <c r="E18" s="36" t="inlineStr">
        <is>
          <t>Se declara la divergencia: en bloques de distribución asimétrica la media puede caer en una clase distinta de la modal. Para el dimensionamiento de metas físicas debe usarse la distribución areal, no la media.</t>
        </is>
      </c>
    </row>
    <row r="19"/>
    <row r="20">
      <c r="A20" s="16" t="inlineStr">
        <is>
          <t>RESUMEN</t>
        </is>
      </c>
      <c r="B20" s="17" t="inlineStr">
        <is>
          <t>9 verificaciones</t>
        </is>
      </c>
      <c r="C20" s="17" t="inlineStr">
        <is>
          <t>CONFORME: 3 · CORREGIDO: 1 · NO SUSTANTIVA: 1 · SUSTANTIVA: 4</t>
        </is>
      </c>
      <c r="D20" s="17" t="inlineStr"/>
      <c r="E20" s="17" t="inlineStr"/>
    </row>
    <row r="21"/>
    <row r="22" ht="60" customHeight="1">
      <c r="A22" s="9" t="inlineStr">
        <is>
          <t>NOTA METODOLÓGICA. Este control se genera de forma reproducible cruzando la ficha DT del bloque (F-DT-01 a F-DT-05) con el catálogo maestro de bloques V5/V6, la estadística zonal de altitud y pendiente sobre el MDE, la estadística zonal del NDVI mediana 2025 y el cruce INEI-Bloques de centros poblados. Una calificación CONFORME acredita que la verificación se ejecutó y no arrojó discrepancia; no equivale a validación de campo del dato.</t>
        </is>
      </c>
      <c r="B22" s="41" t="n"/>
      <c r="C22" s="41" t="n"/>
      <c r="D22" s="41" t="n"/>
      <c r="E22" s="42" t="n"/>
    </row>
  </sheetData>
  <mergeCells count="8">
    <mergeCell ref="A4:E4"/>
    <mergeCell ref="A2:E2"/>
    <mergeCell ref="A1:E1"/>
    <mergeCell ref="A5:E5"/>
    <mergeCell ref="A8:E8"/>
    <mergeCell ref="A6:E6"/>
    <mergeCell ref="A22:E22"/>
    <mergeCell ref="A3:E3"/>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ANIN - DIME - SESDI | Proyecto IN Piura (CUI 2669244)</dc:creator>
  <dc:title>Plantilla Excel — Bloque 19 — IN Piura</dc:title>
  <dc:subject>Diagnóstico Territorial por bloque de intervención</dc:subject>
  <dcterms:created xsi:type="dcterms:W3CDTF">2026-09-08T03:39:56Z</dcterms:created>
  <dcterms:modified xsi:type="dcterms:W3CDTF">2026-09-09T23:30:50Z</dcterms:modified>
</cp:coreProperties>
</file>