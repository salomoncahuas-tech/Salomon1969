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19</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19</t>
        </is>
      </c>
      <c r="C9" s="6" t="inlineStr">
        <is>
          <t>Microcuenca (catálogo)</t>
        </is>
      </c>
      <c r="D9" s="7" t="inlineStr">
        <is>
          <t>C1076-Q9592</t>
        </is>
      </c>
      <c r="E9" s="8" t="n"/>
      <c r="F9" s="8" t="n"/>
    </row>
    <row r="10">
      <c r="A10" s="6" t="inlineStr">
        <is>
          <t>Zona de planificación</t>
        </is>
      </c>
      <c r="B10" s="7" t="inlineStr">
        <is>
          <t>Z13</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Nuevo Progreso</t>
        </is>
      </c>
      <c r="C13" s="6" t="inlineStr">
        <is>
          <t>Comunidad campesina</t>
        </is>
      </c>
      <c r="D13" s="7" t="inlineStr">
        <is>
          <t>Por verificar en la fase social</t>
        </is>
      </c>
      <c r="E13" s="8" t="n"/>
      <c r="F13" s="8" t="n"/>
    </row>
    <row r="14">
      <c r="A14" s="6" t="inlineStr">
        <is>
          <t>Superficie de catálogo (V5/V6), ha</t>
        </is>
      </c>
      <c r="B14" s="7" t="n">
        <v>82.09</v>
      </c>
      <c r="C14" s="6" t="inlineStr">
        <is>
          <t>Fuente de superficie</t>
        </is>
      </c>
      <c r="D14" s="7" t="inlineStr">
        <is>
          <t>Catálogo maestro Bloques V5/V6</t>
        </is>
      </c>
      <c r="E14" s="8" t="n"/>
      <c r="F14" s="8" t="n"/>
    </row>
    <row r="15">
      <c r="A15" s="6" t="inlineStr">
        <is>
          <t>Centroide UTM ESTE (m)</t>
        </is>
      </c>
      <c r="B15" s="7" t="n">
        <v>665942</v>
      </c>
      <c r="C15" s="6" t="inlineStr">
        <is>
          <t>Centroide UTM NORTE (m)</t>
        </is>
      </c>
      <c r="D15" s="7" t="n">
        <v>9391144</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2064</v>
      </c>
      <c r="C19" s="6" t="inlineStr">
        <is>
          <t>Altitud máxima (msnm)</t>
        </is>
      </c>
      <c r="D19" s="7" t="n">
        <v>2503</v>
      </c>
      <c r="E19" s="8" t="n"/>
      <c r="F19" s="8" t="n"/>
    </row>
    <row r="20">
      <c r="A20" s="6" t="inlineStr">
        <is>
          <t>Amplitud altitudinal (m)</t>
        </is>
      </c>
      <c r="B20" s="7" t="n">
        <v>439</v>
      </c>
      <c r="C20" s="6" t="inlineStr">
        <is>
          <t>Piso altitudinal dominante</t>
        </is>
      </c>
      <c r="D20" s="7" t="inlineStr">
        <is>
          <t>2000-2500 m (Quechua alta)</t>
        </is>
      </c>
      <c r="E20" s="8" t="n"/>
      <c r="F20" s="8" t="n"/>
    </row>
    <row r="21">
      <c r="A21" s="6" t="inlineStr">
        <is>
          <t>Pendiente promedio (%)</t>
        </is>
      </c>
      <c r="B21" s="7" t="n">
        <v>31.01</v>
      </c>
      <c r="C21" s="6" t="inlineStr">
        <is>
          <t>Pendiente promedio (grados)</t>
        </is>
      </c>
      <c r="D21" s="7" t="n">
        <v>17.2</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0.5372</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(60.33 %)</t>
        </is>
      </c>
      <c r="E29" s="8" t="n"/>
      <c r="F29" s="8" t="n"/>
    </row>
    <row r="30">
      <c r="A30" s="6" t="inlineStr">
        <is>
          <t>Superficie clasificada NDVI 2025 (ha)</t>
        </is>
      </c>
      <c r="B30" s="7" t="n">
        <v>82.098</v>
      </c>
      <c r="C30" s="6" t="inlineStr">
        <is>
          <t>Desviación frente al catálogo (%)</t>
        </is>
      </c>
      <c r="D30" s="7" t="n">
        <v>0.01</v>
      </c>
      <c r="E30" s="8" t="n"/>
      <c r="F30" s="8" t="n"/>
    </row>
    <row r="31">
      <c r="A31" s="6" t="inlineStr">
        <is>
          <t>Superficie clasificada MSAVI 2024 (ha)</t>
        </is>
      </c>
      <c r="B31" s="38" t="n">
        <v>82.08799999999999</v>
      </c>
      <c r="C31" s="6" t="inlineStr">
        <is>
          <t>Desviación MSAVI frente al catálogo (%)</t>
        </is>
      </c>
      <c r="D31" s="39" t="n">
        <v>0</v>
      </c>
      <c r="E31" s="8" t="n"/>
      <c r="F31" s="8" t="n"/>
    </row>
    <row r="32">
      <c r="A32" s="6" t="inlineStr">
        <is>
          <t>Superficie bajo umbral MSAVI 0.4976 (ha)</t>
        </is>
      </c>
      <c r="B32" s="38" t="n">
        <v>34.997</v>
      </c>
      <c r="C32" s="6" t="inlineStr">
        <is>
          <t>% del bloque bajo umbral (brecha espectral)</t>
        </is>
      </c>
      <c r="D32" s="39" t="n">
        <v>42.63</v>
      </c>
      <c r="E32" s="8" t="n"/>
      <c r="F32" s="8" t="n"/>
    </row>
    <row r="33">
      <c r="A33" s="6" t="inlineStr">
        <is>
          <t>Clase DN dominante (MSAVI 2024)</t>
        </is>
      </c>
      <c r="B33" s="7" t="inlineStr">
        <is>
          <t>DN 3 · 0.3813 - 0.4976 (Vigor bajo)</t>
        </is>
      </c>
      <c r="C33" s="6" t="inlineStr">
        <is>
          <t>N.° de polígonos MSAVI del bloque</t>
        </is>
      </c>
      <c r="D33" s="40" t="n">
        <v>292</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82.09 ha</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85</v>
      </c>
      <c r="E38" s="8" t="n"/>
      <c r="F38" s="8" t="n"/>
    </row>
    <row r="39">
      <c r="A39" s="6" t="inlineStr">
        <is>
          <t>Suelo desnudo — campo (%)</t>
        </is>
      </c>
      <c r="B39" s="7" t="n">
        <v>15</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3</v>
      </c>
      <c r="E40" s="8" t="n"/>
      <c r="F40" s="8" t="n"/>
    </row>
    <row r="41">
      <c r="A41" s="6" t="inlineStr">
        <is>
          <t>Elenco florístico (n.° de taxones)</t>
        </is>
      </c>
      <c r="B41" s="7" t="n">
        <v>7</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Cahuas Miller</t>
        </is>
      </c>
      <c r="C44" s="6" t="inlineStr">
        <is>
          <t>Fecha de evaluación</t>
        </is>
      </c>
      <c r="D44" s="7" t="inlineStr">
        <is>
          <t>2026-08-12</t>
        </is>
      </c>
      <c r="E44" s="8" t="n"/>
      <c r="F44" s="8" t="n"/>
    </row>
    <row r="45">
      <c r="A45" s="6" t="inlineStr">
        <is>
          <t>Hora de registro</t>
        </is>
      </c>
      <c r="B45" s="7" t="inlineStr">
        <is>
          <t>10:13 - 10:20 h</t>
        </is>
      </c>
      <c r="C45" s="6" t="inlineStr">
        <is>
          <t>Correlativo de ficha</t>
        </is>
      </c>
      <c r="D45" s="7" t="inlineStr">
        <is>
          <t>F-DT-19-2026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de observación (no se instaló parcela permanente)</t>
        </is>
      </c>
      <c r="E47" s="8" t="n"/>
      <c r="F47" s="8" t="n"/>
    </row>
    <row r="48">
      <c r="A48" s="6" t="inlineStr">
        <is>
          <t>Estaciones fotográficas georreferenciadas</t>
        </is>
      </c>
      <c r="B48" s="7" t="n">
        <v>11</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Economía familiar de subsistencia basada en agricultura de secano y ganadería en ladera, sin ordenamiento del uso</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19</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22.0028</v>
      </c>
      <c r="C10" s="19">
        <f>ROUND(B10/$B$15*100,2)</f>
        <v>26.8</v>
      </c>
      <c r="D10" s="11" t="inlineStr">
        <is>
          <t>Vigor alto</t>
        </is>
      </c>
      <c r="E10" s="11" t="inlineStr">
        <is>
          <t>Sobre umbral</t>
        </is>
      </c>
    </row>
    <row r="11">
      <c r="A11" s="12" t="inlineStr">
        <is>
          <t>0.4976 - 0.6139 · DN 4</t>
        </is>
      </c>
      <c r="B11" s="31" t="n">
        <v>25.0883</v>
      </c>
      <c r="C11" s="30">
        <f>ROUND(B11/$B$15*100,2)</f>
        <v>30.56</v>
      </c>
      <c r="D11" s="13" t="inlineStr">
        <is>
          <t>Vigor moderado</t>
        </is>
      </c>
      <c r="E11" s="13" t="inlineStr">
        <is>
          <t>Sobre umbral</t>
        </is>
      </c>
    </row>
    <row r="12">
      <c r="A12" s="7" t="inlineStr">
        <is>
          <t>0.3813 - 0.4976 · DN 3</t>
        </is>
      </c>
      <c r="B12" s="18" t="n">
        <v>32.1089</v>
      </c>
      <c r="C12" s="19">
        <f>ROUND(B12/$B$15*100,2)</f>
        <v>39.12</v>
      </c>
      <c r="D12" s="11" t="inlineStr">
        <is>
          <t>Vigor bajo</t>
        </is>
      </c>
      <c r="E12" s="11" t="inlineStr">
        <is>
          <t>BAJO umbral 0.4976</t>
        </is>
      </c>
    </row>
    <row r="13">
      <c r="A13" s="14" t="inlineStr">
        <is>
          <t>0.2650 - 0.3813 · DN 2</t>
        </is>
      </c>
      <c r="B13" s="20" t="n">
        <v>2.8818</v>
      </c>
      <c r="C13" s="21">
        <f>ROUND(B13/$B$15*100,2)</f>
        <v>3.51</v>
      </c>
      <c r="D13" s="15" t="inlineStr">
        <is>
          <t>Vigor muy bajo</t>
        </is>
      </c>
      <c r="E13" s="15" t="inlineStr">
        <is>
          <t>BAJO umbral 0.4976</t>
        </is>
      </c>
    </row>
    <row r="14">
      <c r="A14" s="7" t="inlineStr">
        <is>
          <t>&lt;= 0.2650 · DN 1</t>
        </is>
      </c>
      <c r="B14" s="18" t="n">
        <v>0.0061</v>
      </c>
      <c r="C14" s="19">
        <f>ROUND(B14/$B$15*100,2)</f>
        <v>0.01</v>
      </c>
      <c r="D14" s="11" t="inlineStr">
        <is>
          <t>Suelo desnudo / no vegetal</t>
        </is>
      </c>
      <c r="E14" s="11" t="inlineStr">
        <is>
          <t>BAJO umbral 0.4976</t>
        </is>
      </c>
    </row>
    <row r="15" ht="30" customHeight="1">
      <c r="A15" s="43" t="inlineStr">
        <is>
          <t>TOTAL CLASIFICADO MSAVI 2024</t>
        </is>
      </c>
      <c r="B15" s="44">
        <f>SUM(B10:B14)</f>
        <v>82.0879</v>
      </c>
      <c r="C15" s="45">
        <f>SUM(C10:C14)</f>
        <v>100.0</v>
      </c>
      <c r="D15" s="43" t="inlineStr">
        <is>
          <t>Suma de la distribución areal · 292 polígonos</t>
        </is>
      </c>
      <c r="E15" s="43" t="inlineStr">
        <is>
          <t>—</t>
        </is>
      </c>
    </row>
    <row r="16" ht="30" customHeight="1">
      <c r="A16" s="46" t="inlineStr">
        <is>
          <t>Superficie SOBRE umbral 0.4976 (ha)</t>
        </is>
      </c>
      <c r="B16" s="47">
        <f>SUM(B10:B11)</f>
        <v>47.0911</v>
      </c>
      <c r="C16" s="48">
        <f>ROUND(B16/B15*100,2)</f>
        <v>57.37</v>
      </c>
      <c r="D16" s="46" t="inlineStr">
        <is>
          <t>Vigor alto y moderado (DN 4 y DN 5)</t>
        </is>
      </c>
      <c r="E16" s="46" t="inlineStr">
        <is>
          <t>Sobre umbral 0.4976</t>
        </is>
      </c>
    </row>
    <row r="17" ht="30" customHeight="1">
      <c r="A17" s="46" t="inlineStr">
        <is>
          <t>Superficie BAJO umbral 0.4976 (ha) — brecha</t>
        </is>
      </c>
      <c r="B17" s="47">
        <f>SUM(B12:B14)</f>
        <v>34.9968</v>
      </c>
      <c r="C17" s="48">
        <f>ROUND(B17/B15*100,2)</f>
        <v>42.63</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82.09</v>
      </c>
      <c r="C18" s="49" t="inlineStr">
        <is>
          <t>—</t>
        </is>
      </c>
      <c r="D18" s="46" t="inlineStr">
        <is>
          <t>Desviación planimétrica frente al catálogo</t>
        </is>
      </c>
      <c r="E18" s="46" t="inlineStr">
        <is>
          <t>+0.00 %</t>
        </is>
      </c>
    </row>
    <row r="19">
      <c r="A19" s="16" t="inlineStr">
        <is>
          <t>MSAVI 2024 — MEDIA DEL BLOQUE</t>
        </is>
      </c>
      <c r="B19" s="17" t="n">
        <v>0.537184</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292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(0.5372)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49.5333</v>
      </c>
      <c r="C25" s="19" t="n">
        <v>60.33</v>
      </c>
      <c r="D25" s="11" t="inlineStr">
        <is>
          <t>Dosel continuo, matorral denso o mosaico agroforestal</t>
        </is>
      </c>
      <c r="E25" s="11" t="inlineStr"/>
    </row>
    <row r="26">
      <c r="A26" s="14" t="inlineStr">
        <is>
          <t>Vegetación mediana</t>
        </is>
      </c>
      <c r="B26" s="20" t="n">
        <v>31.8676</v>
      </c>
      <c r="C26" s="21" t="n">
        <v>38.82</v>
      </c>
      <c r="D26" s="15" t="inlineStr">
        <is>
          <t>Pastizal cultivado, matorral ralo, parcelas agrícolas</t>
        </is>
      </c>
      <c r="E26" s="15" t="inlineStr"/>
    </row>
    <row r="27">
      <c r="A27" s="7" t="inlineStr">
        <is>
          <t>Vegetación ligera</t>
        </is>
      </c>
      <c r="B27" s="18" t="n">
        <v>0.6967</v>
      </c>
      <c r="C27" s="19" t="n">
        <v>0.85</v>
      </c>
      <c r="D27" s="11" t="inlineStr">
        <is>
          <t>Cobertura discontinua, suelo parcialmente expuesto</t>
        </is>
      </c>
      <c r="E27" s="11" t="inlineStr"/>
    </row>
    <row r="28">
      <c r="A28" s="16" t="inlineStr">
        <is>
          <t>TOTAL CLASIFICADO</t>
        </is>
      </c>
      <c r="B28" s="22">
        <f>SUM(B25:B27)</f>
        <v>82.0976</v>
      </c>
      <c r="C28" s="23">
        <f>SUM(C25:C27)</f>
        <v>100.0</v>
      </c>
      <c r="D28" s="17" t="inlineStr"/>
      <c r="E28" s="17" t="inlineStr"/>
    </row>
    <row r="29">
      <c r="A29" s="24" t="inlineStr">
        <is>
          <t>Superficie de catálogo (V5/V6)</t>
        </is>
      </c>
      <c r="B29" s="25" t="n">
        <v>82.09</v>
      </c>
      <c r="C29" s="25" t="inlineStr">
        <is>
          <t>—</t>
        </is>
      </c>
      <c r="D29" s="25" t="inlineStr">
        <is>
          <t>Desviación planimétrica frente al catálogo</t>
        </is>
      </c>
      <c r="E29" s="25" t="inlineStr">
        <is>
          <t>+0.01 %</t>
        </is>
      </c>
    </row>
    <row r="30"/>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60.33 % del polígono clasificado como «Vegetación alta» por el NDVI 2025; la observación de campo corresponde a una parcela o recorrido puntual y no es estadísticamente representativa de las 82.090 ha del bloque.</t>
        </is>
      </c>
      <c r="B31" s="41" t="n"/>
      <c r="C31" s="41" t="n"/>
      <c r="D31" s="41" t="n"/>
      <c r="E31" s="42"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19</t>
        </is>
      </c>
    </row>
    <row r="6" ht="24" customHeight="1">
      <c r="A6" s="4" t="inlineStr">
        <is>
          <t>Levantamiento del 2026-08-12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664973</v>
      </c>
      <c r="D10" s="26" t="n">
        <v>9390797</v>
      </c>
      <c r="E10" s="11" t="n">
        <v>1029.3</v>
      </c>
      <c r="F10" s="11" t="inlineStr"/>
      <c r="G10" s="11" t="inlineStr">
        <is>
          <t>Coordenada consignada en F-DT-01</t>
        </is>
      </c>
    </row>
    <row r="11">
      <c r="A11" s="14" t="inlineStr">
        <is>
          <t>C-01</t>
        </is>
      </c>
      <c r="B11" s="15" t="inlineStr">
        <is>
          <t>Rasgo erosivo — Cárcava incipiente (30-50 cm)</t>
        </is>
      </c>
      <c r="C11" s="27" t="n">
        <v>665040</v>
      </c>
      <c r="D11" s="27" t="n">
        <v>9390735</v>
      </c>
      <c r="E11" s="15" t="n">
        <v>990.4</v>
      </c>
      <c r="F11" s="15" t="inlineStr">
        <is>
          <t>Activa</t>
        </is>
      </c>
      <c r="G11" s="15" t="inlineStr">
        <is>
          <t>Concentración natural de escorrentía</t>
        </is>
      </c>
    </row>
    <row r="12">
      <c r="A12" s="7" t="inlineStr">
        <is>
          <t>C-02</t>
        </is>
      </c>
      <c r="B12" s="11" t="inlineStr">
        <is>
          <t>Rasgo erosivo — Surco (&lt;30 cm)</t>
        </is>
      </c>
      <c r="C12" s="26" t="n">
        <v>665030</v>
      </c>
      <c r="D12" s="26" t="n">
        <v>9390737</v>
      </c>
      <c r="E12" s="11" t="n">
        <v>998.7</v>
      </c>
      <c r="F12" s="11" t="inlineStr">
        <is>
          <t>Activa</t>
        </is>
      </c>
      <c r="G12" s="11" t="inlineStr">
        <is>
          <t>Caminos / huellas de ganado</t>
        </is>
      </c>
    </row>
    <row r="13">
      <c r="A13" s="14" t="inlineStr">
        <is>
          <t>C-03</t>
        </is>
      </c>
      <c r="B13" s="15" t="inlineStr">
        <is>
          <t>Rasgo erosivo — Surco (&lt;30 cm)</t>
        </is>
      </c>
      <c r="C13" s="27" t="n">
        <v>664983</v>
      </c>
      <c r="D13" s="27" t="n">
        <v>9390801</v>
      </c>
      <c r="E13" s="15" t="n">
        <v>1018.5</v>
      </c>
      <c r="F13" s="15" t="inlineStr">
        <is>
          <t>Semi-activa</t>
        </is>
      </c>
      <c r="G13" s="15" t="inlineStr">
        <is>
          <t>Surcos de labranza en pendiente</t>
        </is>
      </c>
    </row>
    <row r="14">
      <c r="A14" s="7" t="inlineStr">
        <is>
          <t>H-01</t>
        </is>
      </c>
      <c r="B14" s="11" t="inlineStr">
        <is>
          <t>Fuente de agua — Otro (caja de reunión / válvula)</t>
        </is>
      </c>
      <c r="C14" s="26" t="n">
        <v>664978</v>
      </c>
      <c r="D14" s="26" t="n">
        <v>9390787</v>
      </c>
      <c r="E14" s="11" t="n">
        <v>1028</v>
      </c>
      <c r="F14" s="11" t="inlineStr">
        <is>
          <t>Permanente</t>
        </is>
      </c>
      <c r="G14" s="11" t="inlineStr">
        <is>
          <t>Infraestructura del sistema de agua potable</t>
        </is>
      </c>
    </row>
    <row r="15">
      <c r="A15" s="14" t="inlineStr">
        <is>
          <t>B-01</t>
        </is>
      </c>
      <c r="B15" s="15" t="inlineStr">
        <is>
          <t>Especie clave — Cenchrus clandestinus (kikuyo)</t>
        </is>
      </c>
      <c r="C15" s="27" t="n">
        <v>664973</v>
      </c>
      <c r="D15" s="27" t="n">
        <v>9390797</v>
      </c>
      <c r="E15" s="15" t="n">
        <v>1029.3</v>
      </c>
      <c r="F15" s="15" t="inlineStr">
        <is>
          <t>Indicadora de perturbación</t>
        </is>
      </c>
      <c r="G15" s="15" t="inlineStr"/>
    </row>
    <row r="16">
      <c r="A16" s="7" t="inlineStr">
        <is>
          <t>B-02</t>
        </is>
      </c>
      <c r="B16" s="11" t="inlineStr">
        <is>
          <t>Especie clave — Baccharis latifolia (chilca)</t>
        </is>
      </c>
      <c r="C16" s="26" t="n">
        <v>664983</v>
      </c>
      <c r="D16" s="26" t="n">
        <v>9390801</v>
      </c>
      <c r="E16" s="11" t="n">
        <v>1018.5</v>
      </c>
      <c r="F16" s="11" t="inlineStr">
        <is>
          <t>Indicadora de perturbación</t>
        </is>
      </c>
      <c r="G16" s="11" t="inlineStr"/>
    </row>
    <row r="17">
      <c r="A17" s="14" t="inlineStr">
        <is>
          <t>B-03</t>
        </is>
      </c>
      <c r="B17" s="15" t="inlineStr">
        <is>
          <t>Especie clave — Eucalyptus globulus</t>
        </is>
      </c>
      <c r="C17" s="27" t="n">
        <v>665034</v>
      </c>
      <c r="D17" s="27" t="n">
        <v>9390736</v>
      </c>
      <c r="E17" s="15" t="n">
        <v>995.5</v>
      </c>
      <c r="F17" s="15" t="inlineStr">
        <is>
          <t>Indicadora de perturbación</t>
        </is>
      </c>
      <c r="G17" s="15" t="inlineStr"/>
    </row>
    <row r="18">
      <c r="A18" s="16" t="inlineStr">
        <is>
          <t>TOTAL: 8 puntos</t>
        </is>
      </c>
      <c r="B18" s="17" t="inlineStr"/>
      <c r="C18" s="17" t="inlineStr"/>
      <c r="D18" s="17" t="inlineStr"/>
      <c r="E18" s="17" t="inlineStr"/>
      <c r="F18" s="17" t="inlineStr"/>
      <c r="G18" s="17" t="inlineStr"/>
    </row>
    <row r="19"/>
    <row r="20">
      <c r="A20" s="6" t="inlineStr">
        <is>
          <t>Centroide del bloque — UTM ESTE (m)</t>
        </is>
      </c>
      <c r="B20" s="7" t="n">
        <v>665942</v>
      </c>
      <c r="C20" s="6" t="inlineStr">
        <is>
          <t>Centroide del bloque — UTM NORTE (m)</t>
        </is>
      </c>
      <c r="D20" s="7" t="n">
        <v>9391144</v>
      </c>
      <c r="E20" s="8" t="n"/>
      <c r="F20" s="8" t="n"/>
      <c r="G20" s="8" t="n"/>
      <c r="H20" s="8" t="n"/>
    </row>
    <row r="21">
      <c r="A21" s="6" t="inlineStr">
        <is>
          <t>N.° de estaciones fotográficas declaradas</t>
        </is>
      </c>
      <c r="B21" s="7" t="n">
        <v>11</v>
      </c>
      <c r="C21" s="6" t="inlineStr">
        <is>
          <t>Estaciones dentro del polígono</t>
        </is>
      </c>
      <c r="D21" s="7" t="inlineStr">
        <is>
          <t>Por determinar</t>
        </is>
      </c>
      <c r="E21" s="8" t="n"/>
      <c r="F21" s="8" t="n"/>
      <c r="G21" s="8" t="n"/>
      <c r="H21" s="8" t="n"/>
    </row>
    <row r="22"/>
    <row r="23" ht="120" customHeight="1">
      <c r="A23"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recorrido cubrió la franja de pie de ladera, entre 2049 y 2057 msnm, accesible desde la trocha del CP Nuevo Progreso (11 estaciones fotográficas georreferenciadas). El sector medio y alto del polígono (hasta ~2500 msnm) no fue recorrido. Los escarpes activos y las remociones en masa corresponden a desprendimientos y derrumbes en taludes de corte de la trocha, con material suelto sobre la plataforma; afectan directamente la vía y las viviendas al pie del talud.</t>
        </is>
      </c>
      <c r="B23" s="41" t="n"/>
      <c r="C23" s="41" t="n"/>
      <c r="D23" s="41" t="n"/>
      <c r="E23" s="41" t="n"/>
      <c r="F23" s="41" t="n"/>
      <c r="G23" s="42" t="n"/>
    </row>
  </sheetData>
  <mergeCells count="8">
    <mergeCell ref="A1:G1"/>
    <mergeCell ref="A8:G8"/>
    <mergeCell ref="A3:G3"/>
    <mergeCell ref="A6:G6"/>
    <mergeCell ref="A4:G4"/>
    <mergeCell ref="A2:G2"/>
    <mergeCell ref="A5:G5"/>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C1076-Q9592 — BLOQUE 19</t>
        </is>
      </c>
    </row>
    <row r="6" ht="24" customHeight="1">
      <c r="A6" s="4" t="inlineStr">
        <is>
          <t>Distrito de Huarmaca · Provincia de Huancabamba · Comparación de los bloques preliminares de intervención de la misma microcuenca</t>
        </is>
      </c>
    </row>
    <row r="7"/>
    <row r="8" ht="18" customHeight="1">
      <c r="A8" s="5" t="inlineStr">
        <is>
          <t>BLOQUES DE LA MICROCUENCA C1076-Q9592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18</t>
        </is>
      </c>
      <c r="B10" s="28" t="n">
        <v>103.62</v>
      </c>
      <c r="C10" s="19" t="n">
        <v>21.54</v>
      </c>
      <c r="D10" s="11" t="inlineStr">
        <is>
          <t>1218 – 1904</t>
        </is>
      </c>
      <c r="E10" s="11" t="n">
        <v>686</v>
      </c>
      <c r="F10" s="11" t="n">
        <v>28.7</v>
      </c>
      <c r="G10" s="18" t="n">
        <v>0.6402</v>
      </c>
      <c r="H10" s="19" t="n">
        <v>96.64</v>
      </c>
      <c r="I10" s="19" t="n">
        <v>3</v>
      </c>
    </row>
    <row r="11">
      <c r="A11" s="12" t="inlineStr">
        <is>
          <t>► 19</t>
        </is>
      </c>
      <c r="B11" s="29" t="n">
        <v>82.09</v>
      </c>
      <c r="C11" s="30" t="n">
        <v>17.06</v>
      </c>
      <c r="D11" s="13" t="inlineStr">
        <is>
          <t>2064 – 2503</t>
        </is>
      </c>
      <c r="E11" s="13" t="n">
        <v>439</v>
      </c>
      <c r="F11" s="13" t="n">
        <v>31.01</v>
      </c>
      <c r="G11" s="31" t="n">
        <v>0.5372</v>
      </c>
      <c r="H11" s="30" t="n">
        <v>60.33</v>
      </c>
      <c r="I11" s="30" t="n">
        <v>42.63</v>
      </c>
    </row>
    <row r="12">
      <c r="A12" s="7" t="inlineStr">
        <is>
          <t>41</t>
        </is>
      </c>
      <c r="B12" s="28" t="n">
        <v>64.92</v>
      </c>
      <c r="C12" s="19" t="n">
        <v>13.49</v>
      </c>
      <c r="D12" s="11" t="inlineStr">
        <is>
          <t>1536 – 1818</t>
        </is>
      </c>
      <c r="E12" s="11" t="n">
        <v>282</v>
      </c>
      <c r="F12" s="11" t="n">
        <v>25.53</v>
      </c>
      <c r="G12" s="18" t="n">
        <v>0.5927</v>
      </c>
      <c r="H12" s="19" t="n">
        <v>98.02</v>
      </c>
      <c r="I12" s="19" t="n">
        <v>12.26</v>
      </c>
    </row>
    <row r="13">
      <c r="A13" s="14" t="inlineStr">
        <is>
          <t>73</t>
        </is>
      </c>
      <c r="B13" s="32" t="n">
        <v>54.29</v>
      </c>
      <c r="C13" s="21" t="n">
        <v>11.28</v>
      </c>
      <c r="D13" s="15" t="inlineStr">
        <is>
          <t>1845 – 2305</t>
        </is>
      </c>
      <c r="E13" s="15" t="n">
        <v>460</v>
      </c>
      <c r="F13" s="15" t="n">
        <v>36.34</v>
      </c>
      <c r="G13" s="20" t="n">
        <v>0.555</v>
      </c>
      <c r="H13" s="21" t="n">
        <v>88.8</v>
      </c>
      <c r="I13" s="21" t="n">
        <v>18.94</v>
      </c>
    </row>
    <row r="14">
      <c r="A14" s="7" t="inlineStr">
        <is>
          <t>31</t>
        </is>
      </c>
      <c r="B14" s="28" t="n">
        <v>47.58</v>
      </c>
      <c r="C14" s="19" t="n">
        <v>9.890000000000001</v>
      </c>
      <c r="D14" s="11" t="inlineStr">
        <is>
          <t>1741 – 2234</t>
        </is>
      </c>
      <c r="E14" s="11" t="n">
        <v>493</v>
      </c>
      <c r="F14" s="11" t="n">
        <v>27.08</v>
      </c>
      <c r="G14" s="18" t="n">
        <v>0.4358</v>
      </c>
      <c r="H14" s="19" t="n">
        <v>18.56</v>
      </c>
      <c r="I14" s="19" t="n">
        <v>78.42</v>
      </c>
    </row>
    <row r="15">
      <c r="A15" s="14" t="inlineStr">
        <is>
          <t>29</t>
        </is>
      </c>
      <c r="B15" s="32" t="n">
        <v>40.1</v>
      </c>
      <c r="C15" s="21" t="n">
        <v>8.33</v>
      </c>
      <c r="D15" s="15" t="inlineStr">
        <is>
          <t>2142 – 2391</t>
        </is>
      </c>
      <c r="E15" s="15" t="n">
        <v>249</v>
      </c>
      <c r="F15" s="15" t="n">
        <v>31.54</v>
      </c>
      <c r="G15" s="20" t="n">
        <v>0.5482</v>
      </c>
      <c r="H15" s="21" t="inlineStr">
        <is>
          <t>Por determinar</t>
        </is>
      </c>
      <c r="I15" s="15" t="inlineStr">
        <is>
          <t>s/d</t>
        </is>
      </c>
    </row>
    <row r="16">
      <c r="A16" s="7" t="inlineStr">
        <is>
          <t>70</t>
        </is>
      </c>
      <c r="B16" s="28" t="n">
        <v>22.39</v>
      </c>
      <c r="C16" s="19" t="n">
        <v>4.65</v>
      </c>
      <c r="D16" s="11" t="inlineStr">
        <is>
          <t>2326 – 2536</t>
        </is>
      </c>
      <c r="E16" s="11" t="n">
        <v>210</v>
      </c>
      <c r="F16" s="11" t="n">
        <v>23.2</v>
      </c>
      <c r="G16" s="18" t="n">
        <v>0.6223</v>
      </c>
      <c r="H16" s="19" t="n">
        <v>98.39</v>
      </c>
      <c r="I16" s="19" t="n">
        <v>4.87</v>
      </c>
    </row>
    <row r="17">
      <c r="A17" s="14" t="inlineStr">
        <is>
          <t>68</t>
        </is>
      </c>
      <c r="B17" s="32" t="n">
        <v>21.29</v>
      </c>
      <c r="C17" s="21" t="n">
        <v>4.42</v>
      </c>
      <c r="D17" s="15" t="inlineStr">
        <is>
          <t>2086 – 2374</t>
        </is>
      </c>
      <c r="E17" s="15" t="n">
        <v>288</v>
      </c>
      <c r="F17" s="15" t="n">
        <v>36.81</v>
      </c>
      <c r="G17" s="20" t="n">
        <v>0.483</v>
      </c>
      <c r="H17" s="21" t="inlineStr">
        <is>
          <t>Por determinar</t>
        </is>
      </c>
      <c r="I17" s="15" t="inlineStr">
        <is>
          <t>s/d</t>
        </is>
      </c>
    </row>
    <row r="18">
      <c r="A18" s="7" t="inlineStr">
        <is>
          <t>69</t>
        </is>
      </c>
      <c r="B18" s="28" t="n">
        <v>19.43</v>
      </c>
      <c r="C18" s="19" t="n">
        <v>4.04</v>
      </c>
      <c r="D18" s="11" t="inlineStr">
        <is>
          <t>1931 – 2205</t>
        </is>
      </c>
      <c r="E18" s="11" t="n">
        <v>274</v>
      </c>
      <c r="F18" s="11" t="n">
        <v>27.95</v>
      </c>
      <c r="G18" s="18" t="n">
        <v>0.4489</v>
      </c>
      <c r="H18" s="19" t="n">
        <v>22.92</v>
      </c>
      <c r="I18" s="19" t="n">
        <v>81.28</v>
      </c>
    </row>
    <row r="19">
      <c r="A19" s="14" t="inlineStr">
        <is>
          <t>53</t>
        </is>
      </c>
      <c r="B19" s="32" t="n">
        <v>13.06</v>
      </c>
      <c r="C19" s="21" t="n">
        <v>2.71</v>
      </c>
      <c r="D19" s="15" t="inlineStr">
        <is>
          <t>2235 – 2540</t>
        </is>
      </c>
      <c r="E19" s="15" t="n">
        <v>305</v>
      </c>
      <c r="F19" s="15" t="n">
        <v>26.89</v>
      </c>
      <c r="G19" s="20" t="n">
        <v>0.5963000000000001</v>
      </c>
      <c r="H19" s="21" t="n">
        <v>86.15000000000001</v>
      </c>
      <c r="I19" s="21" t="n">
        <v>12.45</v>
      </c>
    </row>
    <row r="20">
      <c r="A20" s="7" t="inlineStr">
        <is>
          <t>72</t>
        </is>
      </c>
      <c r="B20" s="28" t="n">
        <v>12.4</v>
      </c>
      <c r="C20" s="19" t="n">
        <v>2.58</v>
      </c>
      <c r="D20" s="11" t="inlineStr">
        <is>
          <t>1538 – 1742</t>
        </is>
      </c>
      <c r="E20" s="11" t="n">
        <v>204</v>
      </c>
      <c r="F20" s="11" t="n">
        <v>28.25</v>
      </c>
      <c r="G20" s="18" t="n">
        <v>0.5185</v>
      </c>
      <c r="H20" s="19" t="n">
        <v>92.44</v>
      </c>
      <c r="I20" s="19" t="n">
        <v>41.35</v>
      </c>
    </row>
    <row r="21">
      <c r="A21" s="16" t="inlineStr">
        <is>
          <t>TOTAL / PROMEDIO</t>
        </is>
      </c>
      <c r="B21" s="33">
        <f>SUM(B10:B20)</f>
        <v>481.17</v>
      </c>
      <c r="C21" s="23">
        <f>SUM(C10:C20)</f>
        <v>99.99</v>
      </c>
      <c r="D21" s="17" t="inlineStr">
        <is>
          <t>1218 – 2540</t>
        </is>
      </c>
      <c r="E21" s="17" t="inlineStr"/>
      <c r="F21" s="17">
        <f>ROUND(AVERAGE(F10:F20),2)</f>
        <v>29.39</v>
      </c>
      <c r="G21" s="22">
        <f>ROUND(AVERAGE(G10:G20),4)</f>
        <v>0.5435</v>
      </c>
      <c r="H21" s="23">
        <f>ROUND(AVERAGE(H10:H20),2)</f>
        <v>73.58</v>
      </c>
      <c r="I21" s="23">
        <f>ROUND(AVERAGE(I10:I20),2)</f>
        <v>32.8</v>
      </c>
    </row>
    <row r="22" ht="48" customHeight="1">
      <c r="A22" s="9" t="inlineStr">
        <is>
          <t>ALCANCE DE LOS PROMEDIOS. La fila TOTAL / PROMEDIO omite las celdas «Por determinar»: el promedio de VEGETACIÓN ALTA (NDVI 2025) se calcula sobre 9 de los 11 bloques; los 2 bloques restantes carecen de estadística zonal de NDVI. Los totales de ÁREA y % de microcuenca sí comprenden la totalidad de los 11 bloques. No se estima ningún valor ausente.</t>
        </is>
      </c>
      <c r="B22" s="41" t="n"/>
      <c r="C22" s="41" t="n"/>
      <c r="D22" s="41" t="n"/>
      <c r="E22" s="41" t="n"/>
      <c r="F22" s="41" t="n"/>
      <c r="G22" s="41" t="n"/>
      <c r="H22" s="42" t="n"/>
    </row>
    <row r="23"/>
    <row r="24" ht="84" customHeight="1">
      <c r="A24" s="9" t="inlineStr">
        <is>
          <t>LECTURA INTRAMICROCUENCA. El bloque 19 ocupa el puesto 2 de 11 por superficie dentro de la microcuenca C1076-Q9592 (17.06 % de las 481.17 ha preliminares de la microcuenca). Su pendiente promedio (31.01 %, clase «25-50% (Mod. escarpado)») es la 8.ª más baja de 11 y se sitúa por encima del promedio de la microcuenca (29.39 %). Su MSAVI 2024 (0.5372) es el 7.º de 11 y queda por debajo del promedio local (0.5435). Amplitud altitudinal del bloque: 439 m (2064–2503 msnm). El cuadro conserva todos los bloques catalogados en la microcuenca, incluidos los descartados en el tamizaje, para referencia del conjunto. Los bloques sin ficha DT figuran con sus parámetros de gabinete. BRECHA ESPECTRAL. El 42.63 % de la superficie del bloque (34.997 ha de 82.088 ha) se sitúa bajo el umbral MSAVI 0.4976, por encima del promedio local de la microcuenca (32.80 %) calculado sobre los bloques con dato MSAVI disponible.</t>
        </is>
      </c>
      <c r="B24" s="41" t="n"/>
      <c r="C24" s="41" t="n"/>
      <c r="D24" s="41" t="n"/>
      <c r="E24" s="41" t="n"/>
      <c r="F24" s="41" t="n"/>
      <c r="G24" s="41" t="n"/>
      <c r="H24" s="42" t="n"/>
    </row>
    <row r="25"/>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2" t="n"/>
    </row>
  </sheetData>
  <mergeCells count="10">
    <mergeCell ref="A1:I1"/>
    <mergeCell ref="A4:I4"/>
    <mergeCell ref="A3:I3"/>
    <mergeCell ref="A26:I26"/>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19</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el catálogo maestro V5/V6 asigna el bloque a «C1076-Q9592»</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(664973 E / 9390797 N) dista 1,029 m del centroide de catálogo (665942 E / 9391144 N), distancia incompatible con la superficie del bloque (82.09 ha)</t>
        </is>
      </c>
      <c r="D11" s="35"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(82.098 ha) coincide con la de catálogo (82.09 ha) dentro del ±2 % (+0.01 %)</t>
        </is>
      </c>
      <c r="D12" s="37" t="inlineStr">
        <is>
          <t>CONFORME</t>
        </is>
      </c>
      <c r="E12" s="34" t="inlineStr">
        <is>
          <t>Sin acción: la segmentación valida la geometría del bloque.</t>
        </is>
      </c>
    </row>
    <row r="13" ht="48" customHeight="1">
      <c r="A13" s="36" t="inlineStr">
        <is>
          <t>D-04</t>
        </is>
      </c>
      <c r="B13" s="36" t="inlineStr">
        <is>
          <t>Elenco florístico</t>
        </is>
      </c>
      <c r="C13" s="36" t="inlineStr">
        <is>
          <t>La ficha registra 7 taxones, por debajo del mínimo de 15 que exige el formato V5</t>
        </is>
      </c>
      <c r="D13" s="35" t="inlineStr">
        <is>
          <t>SUSTANTIVA</t>
        </is>
      </c>
      <c r="E13" s="36" t="inlineStr">
        <is>
          <t>Registro florístico preliminar, sin colecta ni determinación botánica formal. Debe cerrarse con colecta botánica en la siguiente campaña.</t>
        </is>
      </c>
    </row>
    <row r="14" ht="48" customHeight="1">
      <c r="A14" s="34" t="inlineStr">
        <is>
          <t>D-05</t>
        </is>
      </c>
      <c r="B14" s="34" t="inlineStr">
        <is>
          <t>Centro poblado asociado</t>
        </is>
      </c>
      <c r="C14" s="34" t="inlineStr">
        <is>
          <t>La ficha DT declara «Nuevo Progreso»; el cruce INEI-Bloques V5 identifica 2 centro(s) poblado(s) en el bloque: NUEVO PROGRESO, TABLURAN</t>
        </is>
      </c>
      <c r="D14" s="37" t="inlineStr">
        <is>
          <t>CONFORME</t>
        </is>
      </c>
      <c r="E14" s="34" t="inlineStr">
        <is>
          <t>Se conserva el registro de campo como referencia y se adopta el listado INEI para el diagnóstico social y el cálculo de población beneficiaria.</t>
        </is>
      </c>
    </row>
    <row r="15" ht="48" customHeight="1">
      <c r="A15" s="36" t="inlineStr">
        <is>
          <t>D-06</t>
        </is>
      </c>
      <c r="B15" s="36" t="inlineStr">
        <is>
          <t>Peligro integrado (MCA-AHP)</t>
        </is>
      </c>
      <c r="C15" s="36" t="inlineStr">
        <is>
          <t>El nivel de peligro integrado no está disponible en los insumos de este entregable</t>
        </is>
      </c>
      <c r="D15" s="35" t="inlineStr">
        <is>
          <t>SUSTANTIVA</t>
        </is>
      </c>
      <c r="E15" s="36" t="inlineStr">
        <is>
          <t>Debe tomarse del modelamiento de mesolocalización (PMM + EPH + PGI ponderados por AHP) antes de fijar la prioridad definitiva de intervención del bloque.</t>
        </is>
      </c>
    </row>
    <row r="16" ht="48" customHeight="1">
      <c r="A16" s="36" t="inlineStr">
        <is>
          <t>D-07</t>
        </is>
      </c>
      <c r="B16" s="36" t="inlineStr">
        <is>
          <t>Distribución areal MSAVI 2024</t>
        </is>
      </c>
      <c r="C16" s="36" t="inlineStr">
        <is>
          <t>La distribución por clase de MSAVI no figuraba en los insumos del entregable y se consignaba «Por determinar»; se incorpora la estadística zonal del ráster MSAVI clasificado (292 polígonos, 82.088 ha)</t>
        </is>
      </c>
      <c r="D16" s="35" t="inlineStr">
        <is>
          <t>CORREGIDO</t>
        </is>
      </c>
      <c r="E16"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7" ht="48" customHeight="1">
      <c r="A17" s="36" t="inlineStr">
        <is>
          <t>D-08</t>
        </is>
      </c>
      <c r="B17" s="36" t="inlineStr">
        <is>
          <t>Superficie MSAVI vs. catálogo</t>
        </is>
      </c>
      <c r="C17" s="36" t="inlineStr">
        <is>
          <t>La superficie total clasificada por el MSAVI 2024 (82.088 ha) frente a la de catálogo V5/V6 (82.090 ha): desviación de +0.00 %</t>
        </is>
      </c>
      <c r="D17" s="35" t="inlineStr">
        <is>
          <t>CONFORME</t>
        </is>
      </c>
      <c r="E17" s="36" t="inlineStr">
        <is>
          <t>Sin acción: la segmentación del ráster valida la geometría del bloque dentro del ±2 %.</t>
        </is>
      </c>
    </row>
    <row r="18" ht="48" customHeight="1">
      <c r="A18" s="36" t="inlineStr">
        <is>
          <t>D-09</t>
        </is>
      </c>
      <c r="B18" s="36" t="inlineStr">
        <is>
          <t>Media MSAVI vs. clase DN dominante</t>
        </is>
      </c>
      <c r="C18" s="36" t="inlineStr">
        <is>
          <t>La media del bloque (0.5372) cae en la clase «DN 4 · 0.4976 - 0.6139 (Vigor moderado)»; la clase de mayor superficie es «DN 3 · 0.3813 - 0.4976 (Vigor bajo)», con 39.12 % del bloque. Superficie bajo el umbral 0.4976: 34.997 ha (42.63 %)</t>
        </is>
      </c>
      <c r="D18" s="35" t="inlineStr">
        <is>
          <t>NO SUSTANTIVA</t>
        </is>
      </c>
      <c r="E18" s="36" t="inlineStr">
        <is>
          <t>Se declara la divergencia: en bloques de distribución asimétrica la media puede caer en una clase distinta de la modal. Para el dimensionamiento de metas físicas debe usarse la distribución areal, no la media.</t>
        </is>
      </c>
    </row>
    <row r="19"/>
    <row r="20">
      <c r="A20" s="16" t="inlineStr">
        <is>
          <t>RESUMEN</t>
        </is>
      </c>
      <c r="B20" s="17" t="inlineStr">
        <is>
          <t>9 verificaciones</t>
        </is>
      </c>
      <c r="C20" s="17" t="inlineStr">
        <is>
          <t>CONFORME: 3 · CORREGIDO: 1 · NO SUSTANTIVA: 1 · SUSTANTIVA: 4</t>
        </is>
      </c>
      <c r="D20" s="17" t="inlineStr"/>
      <c r="E20" s="17" t="inlineStr"/>
    </row>
    <row r="21"/>
    <row r="22" ht="60" customHeight="1">
      <c r="A2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2" s="41" t="n"/>
      <c r="C22" s="41" t="n"/>
      <c r="D22" s="41" t="n"/>
      <c r="E22" s="42" t="n"/>
    </row>
  </sheetData>
  <mergeCells count="8">
    <mergeCell ref="A4:E4"/>
    <mergeCell ref="A2:E2"/>
    <mergeCell ref="A1:E1"/>
    <mergeCell ref="A5:E5"/>
    <mergeCell ref="A8:E8"/>
    <mergeCell ref="A6:E6"/>
    <mergeCell ref="A22:E22"/>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19 — IN Piura</dc:title>
  <dc:subject>Diagnóstico Territorial por bloque de intervención</dc:subject>
  <dcterms:created xsi:type="dcterms:W3CDTF">2026-09-08T03:39:56Z</dcterms:created>
  <dcterms:modified xsi:type="dcterms:W3CDTF">2026-09-10T00:28:26Z</dcterms:modified>
</cp:coreProperties>
</file>