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M28B4</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Mambluque</t>
        </is>
      </c>
      <c r="C13" s="6" t="inlineStr">
        <is>
          <t>Comunidad campesina</t>
        </is>
      </c>
      <c r="D13" s="7" t="inlineStr">
        <is>
          <t>Caserío Mambluque (predios particulares de posesionarios)</t>
        </is>
      </c>
      <c r="E13" s="8" t="n"/>
      <c r="F13" s="8" t="n"/>
    </row>
    <row r="14">
      <c r="A14" s="6" t="inlineStr">
        <is>
          <t>Superficie de catálogo (V5/V6), ha</t>
        </is>
      </c>
      <c r="B14" s="7" t="n">
        <v>283.43</v>
      </c>
      <c r="C14" s="6" t="inlineStr">
        <is>
          <t>Fuente de superficie</t>
        </is>
      </c>
      <c r="D14" s="7" t="inlineStr">
        <is>
          <t>Catálogo maestro Bloques V5/V6</t>
        </is>
      </c>
      <c r="E14" s="8" t="n"/>
      <c r="F14" s="8" t="n"/>
    </row>
    <row r="15">
      <c r="A15" s="6" t="inlineStr">
        <is>
          <t>Centroide UTM ESTE (m)</t>
        </is>
      </c>
      <c r="B15" s="7" t="n">
        <v>626078</v>
      </c>
      <c r="C15" s="6" t="inlineStr">
        <is>
          <t>Centroide UTM NORTE (m)</t>
        </is>
      </c>
      <c r="D15" s="7" t="n">
        <v>9427110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297</v>
      </c>
      <c r="C19" s="6" t="inlineStr">
        <is>
          <t>Altitud máxima (msnm)</t>
        </is>
      </c>
      <c r="D19" s="7" t="n">
        <v>634</v>
      </c>
      <c r="E19" s="8" t="n"/>
      <c r="F19" s="8" t="n"/>
    </row>
    <row r="20">
      <c r="A20" s="6" t="inlineStr">
        <is>
          <t>Amplitud altitudinal (m)</t>
        </is>
      </c>
      <c r="B20" s="7" t="n">
        <v>337</v>
      </c>
      <c r="C20" s="6" t="inlineStr">
        <is>
          <t>Piso altitudinal dominante</t>
        </is>
      </c>
      <c r="D20" s="7" t="inlineStr">
        <is>
          <t>&lt;1000 m (Yunga)</t>
        </is>
      </c>
      <c r="E20" s="8" t="n"/>
      <c r="F20" s="8" t="n"/>
    </row>
    <row r="21">
      <c r="A21" s="6" t="inlineStr">
        <is>
          <t>Pendiente promedio (%)</t>
        </is>
      </c>
      <c r="B21" s="7" t="n">
        <v>13.75</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25-50% (Mod. escarpado) — pendiente media medida en perfil de campo 20.9%, máxima 49% (Google Earth)</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0.4275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(43.51 %)</t>
        </is>
      </c>
      <c r="E29" s="8" t="n"/>
      <c r="F29" s="8" t="n"/>
    </row>
    <row r="30">
      <c r="A30" s="6" t="inlineStr">
        <is>
          <t>Superficie clasificada NDVI 2025 (ha)</t>
        </is>
      </c>
      <c r="B30" s="7" t="n">
        <v>283.543</v>
      </c>
      <c r="C30" s="6" t="inlineStr">
        <is>
          <t>Desviación frente al catálogo (%)</t>
        </is>
      </c>
      <c r="D30" s="7" t="n">
        <v>0.04</v>
      </c>
      <c r="E30" s="8" t="n"/>
      <c r="F30" s="8" t="n"/>
    </row>
    <row r="31">
      <c r="A31" s="6" t="inlineStr">
        <is>
          <t>Superficie clasificada MSAVI 2024 (ha)</t>
        </is>
      </c>
      <c r="B31" s="38" t="n">
        <v>283.428</v>
      </c>
      <c r="C31" s="6" t="inlineStr">
        <is>
          <t>Desviación MSAVI frente al catálogo (%)</t>
        </is>
      </c>
      <c r="D31" s="39" t="n">
        <v>0</v>
      </c>
      <c r="E31" s="8" t="n"/>
      <c r="F31" s="8" t="n"/>
    </row>
    <row r="32">
      <c r="A32" s="6" t="inlineStr">
        <is>
          <t>Superficie bajo umbral MSAVI 0.4976 (ha)</t>
        </is>
      </c>
      <c r="B32" s="38" t="n">
        <v>212.024</v>
      </c>
      <c r="C32" s="6" t="inlineStr">
        <is>
          <t>% del bloque bajo umbral (brecha espectral)</t>
        </is>
      </c>
      <c r="D32" s="39" t="n">
        <v>74.81</v>
      </c>
      <c r="E32" s="8" t="n"/>
      <c r="F32" s="8" t="n"/>
    </row>
    <row r="33">
      <c r="A33" s="6" t="inlineStr">
        <is>
          <t>Clase DN dominante (MSAVI 2024)</t>
        </is>
      </c>
      <c r="B33" s="7" t="inlineStr">
        <is>
          <t>DN 3 · 0.3813 - 0.4976 (Vigor bajo)</t>
        </is>
      </c>
      <c r="C33" s="6" t="inlineStr">
        <is>
          <t>N.° de polígonos MSAVI del bloque</t>
        </is>
      </c>
      <c r="D33" s="40" t="n">
        <v>905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270 ha de 283.43 ha del bloque (95.3%)</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25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Enfermo (plaga) — infestación masiva por plantas parásitas</t>
        </is>
      </c>
      <c r="E41" s="8" t="n"/>
      <c r="F41" s="8" t="n"/>
    </row>
    <row r="42"/>
    <row r="43" ht="18" customHeight="1">
      <c r="A43" s="5" t="inlineStr">
        <is>
          <t>5. RESPONSABLE Y MODALIDAD DE LA EVALUACIÓN</t>
        </is>
      </c>
    </row>
    <row r="44">
      <c r="A44" s="6" t="inlineStr">
        <is>
          <t>Responsable de la evaluación</t>
        </is>
      </c>
      <c r="B44" s="7" t="inlineStr">
        <is>
          <t>Ing. Héctor S. Cahuas Miller / Ing. Juan Carlos Domínguez Varas (ANIN-DIME-SESDI)</t>
        </is>
      </c>
      <c r="C44" s="6" t="inlineStr">
        <is>
          <t>Fecha de evaluación</t>
        </is>
      </c>
      <c r="D44" s="7" t="inlineStr">
        <is>
          <t>2026-05-22</t>
        </is>
      </c>
      <c r="E44" s="8" t="n"/>
      <c r="F44" s="8" t="n"/>
    </row>
    <row r="45">
      <c r="A45" s="6" t="inlineStr">
        <is>
          <t>Hora de registro</t>
        </is>
      </c>
      <c r="B45" s="7" t="inlineStr">
        <is>
          <t>11:40 a.m.</t>
        </is>
      </c>
      <c r="C45" s="6" t="inlineStr">
        <is>
          <t>Correlativo de ficha</t>
        </is>
      </c>
      <c r="D45" s="7" t="inlineStr">
        <is>
          <t>DT-M28B4-01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(bosque seco, ladera media)</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socioeconómica de subsistencia sobre el bosque seco (ganadería extensiva y extracción de recursos)</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2.1624</v>
      </c>
      <c r="C10" s="19">
        <f>ROUND(B10/$B$15*100,2)</f>
        <v/>
      </c>
      <c r="D10" s="11" t="inlineStr">
        <is>
          <t>Vigor alto</t>
        </is>
      </c>
      <c r="E10" s="11" t="inlineStr">
        <is>
          <t>Sobre umbral</t>
        </is>
      </c>
    </row>
    <row r="11">
      <c r="A11" s="12" t="inlineStr">
        <is>
          <t>0.4976 - 0.6139 · DN 4</t>
        </is>
      </c>
      <c r="B11" s="20" t="n">
        <v>69.2422</v>
      </c>
      <c r="C11" s="21">
        <f>ROUND(B11/$B$15*100,2)</f>
        <v/>
      </c>
      <c r="D11" s="13" t="inlineStr">
        <is>
          <t>Vigor moderado</t>
        </is>
      </c>
      <c r="E11" s="13" t="inlineStr">
        <is>
          <t>Sobre umbral</t>
        </is>
      </c>
    </row>
    <row r="12">
      <c r="A12" s="14" t="inlineStr">
        <is>
          <t>0.3813 - 0.4976 · DN 3</t>
        </is>
      </c>
      <c r="B12" s="30" t="n">
        <v>107.5985</v>
      </c>
      <c r="C12" s="29">
        <f>ROUND(B12/$B$15*100,2)</f>
        <v/>
      </c>
      <c r="D12" s="15" t="inlineStr">
        <is>
          <t>Vigor bajo</t>
        </is>
      </c>
      <c r="E12" s="15" t="inlineStr">
        <is>
          <t>BAJO umbral 0.4976</t>
        </is>
      </c>
    </row>
    <row r="13">
      <c r="A13" s="12" t="inlineStr">
        <is>
          <t>0.2650 - 0.3813 · DN 2</t>
        </is>
      </c>
      <c r="B13" s="20" t="n">
        <v>103.9897</v>
      </c>
      <c r="C13" s="21">
        <f>ROUND(B13/$B$15*100,2)</f>
        <v/>
      </c>
      <c r="D13" s="13" t="inlineStr">
        <is>
          <t>Vigor muy bajo</t>
        </is>
      </c>
      <c r="E13" s="13" t="inlineStr">
        <is>
          <t>BAJO umbral 0.4976</t>
        </is>
      </c>
    </row>
    <row r="14">
      <c r="A14" s="7" t="inlineStr">
        <is>
          <t>&lt;= 0.2650 · DN 1</t>
        </is>
      </c>
      <c r="B14" s="18" t="n">
        <v>0.4355</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905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283.43</v>
      </c>
      <c r="C18" s="49" t="inlineStr">
        <is>
          <t>—</t>
        </is>
      </c>
      <c r="D18" s="46" t="inlineStr">
        <is>
          <t>Desviación planimétrica frente al catálogo</t>
        </is>
      </c>
      <c r="E18" s="46" t="inlineStr">
        <is>
          <t>+0.00 %</t>
        </is>
      </c>
    </row>
    <row r="19">
      <c r="A19" s="16" t="inlineStr">
        <is>
          <t>MSAVI 2024 — MEDIA DEL BLOQUE</t>
        </is>
      </c>
      <c r="B19" s="17" t="n">
        <v>0.42751</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905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(0.4275)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51.2943</v>
      </c>
      <c r="C25" s="19" t="n">
        <v>18.09</v>
      </c>
      <c r="D25" s="11" t="inlineStr">
        <is>
          <t>Dosel continuo, matorral denso o mosaico agroforestal</t>
        </is>
      </c>
      <c r="E25" s="11" t="inlineStr"/>
    </row>
    <row r="26">
      <c r="A26" s="12" t="inlineStr">
        <is>
          <t>Vegetación mediana</t>
        </is>
      </c>
      <c r="B26" s="20" t="n">
        <v>123.3696</v>
      </c>
      <c r="C26" s="21" t="n">
        <v>43.51</v>
      </c>
      <c r="D26" s="13" t="inlineStr">
        <is>
          <t>Pastizal cultivado, matorral ralo, parcelas agrícolas</t>
        </is>
      </c>
      <c r="E26" s="13" t="inlineStr"/>
    </row>
    <row r="27">
      <c r="A27" s="7" t="inlineStr">
        <is>
          <t>Vegetación ligera</t>
        </is>
      </c>
      <c r="B27" s="18" t="n">
        <v>105.1473</v>
      </c>
      <c r="C27" s="19" t="n">
        <v>37.08</v>
      </c>
      <c r="D27" s="11" t="inlineStr">
        <is>
          <t>Cobertura discontinua, suelo parcialmente expuesto</t>
        </is>
      </c>
      <c r="E27" s="11" t="inlineStr"/>
    </row>
    <row r="28">
      <c r="A28" s="12" t="inlineStr">
        <is>
          <t>Tierra desnuda</t>
        </is>
      </c>
      <c r="B28" s="20" t="n">
        <v>3.7322</v>
      </c>
      <c r="C28" s="21" t="n">
        <v>1.32</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283.43</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18.09 % del polígono clasificado como «Vegetación alta» por el NDVI 2025; la observación de campo corresponde a una parcela o recorrido puntual y no es estadísticamente representativa de las 283.430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M28B4</t>
        </is>
      </c>
    </row>
    <row r="6" ht="24" customHeight="1">
      <c r="A6" s="4" t="inlineStr">
        <is>
          <t>Levantamiento del 2026-05-22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625873</v>
      </c>
      <c r="D10" s="26" t="n">
        <v>9427251</v>
      </c>
      <c r="E10" s="11" t="n">
        <v>248.8</v>
      </c>
      <c r="F10" s="11" t="inlineStr"/>
      <c r="G10" s="11" t="inlineStr">
        <is>
          <t>Coordenada consignada en F-DT-01</t>
        </is>
      </c>
    </row>
    <row r="11">
      <c r="A11" s="12" t="inlineStr">
        <is>
          <t>C-01</t>
        </is>
      </c>
      <c r="B11" s="13" t="inlineStr">
        <is>
          <t>Rasgo erosivo — Cárcava somera</t>
        </is>
      </c>
      <c r="C11" s="27" t="n">
        <v>625599</v>
      </c>
      <c r="D11" s="27" t="n">
        <v>9426835</v>
      </c>
      <c r="E11" s="13" t="n">
        <v>552.3</v>
      </c>
      <c r="F11" s="13" t="n">
        <v>45</v>
      </c>
      <c r="G11" s="13" t="n">
        <v>1.2</v>
      </c>
    </row>
    <row r="12">
      <c r="A12" s="7" t="inlineStr">
        <is>
          <t>C-02</t>
        </is>
      </c>
      <c r="B12" s="11" t="inlineStr">
        <is>
          <t>Rasgo erosivo — Cárcava incipiente</t>
        </is>
      </c>
      <c r="C12" s="26" t="n">
        <v>625583</v>
      </c>
      <c r="D12" s="26" t="n">
        <v>9426830</v>
      </c>
      <c r="E12" s="11" t="n">
        <v>568.7</v>
      </c>
      <c r="F12" s="11" t="n">
        <v>30</v>
      </c>
      <c r="G12" s="11" t="n">
        <v>0.4</v>
      </c>
    </row>
    <row r="13">
      <c r="A13" s="12" t="inlineStr">
        <is>
          <t>C-03</t>
        </is>
      </c>
      <c r="B13" s="13" t="inlineStr">
        <is>
          <t>Rasgo erosivo — Surco (&lt;30 cm)</t>
        </is>
      </c>
      <c r="C13" s="27" t="n">
        <v>625834</v>
      </c>
      <c r="D13" s="27" t="n">
        <v>9427153</v>
      </c>
      <c r="E13" s="13" t="n">
        <v>247.8</v>
      </c>
      <c r="F13" s="13" t="n">
        <v>25</v>
      </c>
      <c r="G13" s="13" t="n">
        <v>0.2</v>
      </c>
    </row>
    <row r="14">
      <c r="A14" s="7" t="inlineStr">
        <is>
          <t>H-01</t>
        </is>
      </c>
      <c r="B14" s="11" t="inlineStr">
        <is>
          <t>Fuente de agua — 1</t>
        </is>
      </c>
      <c r="C14" s="26" t="inlineStr">
        <is>
          <t>Quebrada estacional (Qbda. Alta)</t>
        </is>
      </c>
      <c r="D14" s="26" t="n">
        <v>625980</v>
      </c>
      <c r="E14" s="11" t="inlineStr"/>
      <c r="F14" s="11" t="n">
        <v>9427900</v>
      </c>
      <c r="G14" s="11" t="inlineStr"/>
    </row>
    <row r="15">
      <c r="A15" s="12" t="inlineStr">
        <is>
          <t>H-02</t>
        </is>
      </c>
      <c r="B15" s="13" t="inlineStr">
        <is>
          <t>Fuente de agua — 2</t>
        </is>
      </c>
      <c r="C15" s="27" t="inlineStr">
        <is>
          <t>Quebrada estacional (Qbda. Alta 2)</t>
        </is>
      </c>
      <c r="D15" s="27" t="n">
        <v>626100</v>
      </c>
      <c r="E15" s="13" t="inlineStr"/>
      <c r="F15" s="13" t="n">
        <v>9428100</v>
      </c>
      <c r="G15" s="13" t="inlineStr"/>
    </row>
    <row r="16">
      <c r="A16" s="7" t="inlineStr">
        <is>
          <t>B-01</t>
        </is>
      </c>
      <c r="B16" s="11" t="inlineStr">
        <is>
          <t>Especie clave — Hualtaco (Loxopterygium huasango)</t>
        </is>
      </c>
      <c r="C16" s="26" t="inlineStr">
        <is>
          <t>625873</t>
        </is>
      </c>
      <c r="D16" s="26" t="inlineStr">
        <is>
          <t>9427251</t>
        </is>
      </c>
      <c r="E16" s="11" t="n">
        <v>248.8</v>
      </c>
      <c r="F16" s="11" t="inlineStr">
        <is>
          <t>Amenazada (D.S. 043-2006-AG)</t>
        </is>
      </c>
      <c r="G16" s="11" t="inlineStr">
        <is>
          <t>EN - En Peligro</t>
        </is>
      </c>
    </row>
    <row r="17">
      <c r="A17" s="12" t="inlineStr">
        <is>
          <t>B-02</t>
        </is>
      </c>
      <c r="B17" s="13" t="inlineStr">
        <is>
          <t>Especie clave — Palo Santo (Bursera graveolens)</t>
        </is>
      </c>
      <c r="C17" s="27" t="inlineStr">
        <is>
          <t>625891</t>
        </is>
      </c>
      <c r="D17" s="27" t="inlineStr">
        <is>
          <t>9427272</t>
        </is>
      </c>
      <c r="E17" s="13" t="n">
        <v>247.4</v>
      </c>
      <c r="F17" s="13" t="inlineStr">
        <is>
          <t>Amenazada (D.S. 043-2006-AG)</t>
        </is>
      </c>
      <c r="G17" s="13" t="inlineStr">
        <is>
          <t>CR - En Peligro Crítico</t>
        </is>
      </c>
    </row>
    <row r="18">
      <c r="A18" s="7" t="inlineStr">
        <is>
          <t>B-03</t>
        </is>
      </c>
      <c r="B18" s="11" t="inlineStr">
        <is>
          <t>Especie clave — Sapote / Vichayo (Colicodendron scabridum)</t>
        </is>
      </c>
      <c r="C18" s="26" t="inlineStr">
        <is>
          <t>625834</t>
        </is>
      </c>
      <c r="D18" s="26" t="inlineStr">
        <is>
          <t>9427153</t>
        </is>
      </c>
      <c r="E18" s="11" t="n">
        <v>247.8</v>
      </c>
      <c r="F18" s="11" t="inlineStr">
        <is>
          <t>Amenazada (D.S. 043-2006-AG)</t>
        </is>
      </c>
      <c r="G18" s="11" t="inlineStr">
        <is>
          <t>CR - En Peligro Crítico</t>
        </is>
      </c>
    </row>
    <row r="19">
      <c r="A19" s="12" t="inlineStr">
        <is>
          <t>B-04</t>
        </is>
      </c>
      <c r="B19" s="13" t="inlineStr">
        <is>
          <t>Especie clave — Ceiba / Ceibo (Ceiba trichistandra)</t>
        </is>
      </c>
      <c r="C19" s="27" t="inlineStr">
        <is>
          <t>625530</t>
        </is>
      </c>
      <c r="D19" s="27" t="inlineStr">
        <is>
          <t>9426815</t>
        </is>
      </c>
      <c r="E19" s="13" t="n">
        <v>622.4</v>
      </c>
      <c r="F19" s="13" t="inlineStr">
        <is>
          <t>Indicadora de buen estado</t>
        </is>
      </c>
      <c r="G19" s="13" t="inlineStr">
        <is>
          <t>LC - Preocupación Menor</t>
        </is>
      </c>
    </row>
    <row r="20">
      <c r="A20" s="7" t="inlineStr">
        <is>
          <t>B-05</t>
        </is>
      </c>
      <c r="B20" s="11" t="inlineStr">
        <is>
          <t>Especie clave — Faique (Acacia macracantha)</t>
        </is>
      </c>
      <c r="C20" s="26" t="inlineStr">
        <is>
          <t>625900</t>
        </is>
      </c>
      <c r="D20" s="26" t="inlineStr">
        <is>
          <t>9427250</t>
        </is>
      </c>
      <c r="E20" s="11" t="n">
        <v>226.5</v>
      </c>
      <c r="F20" s="11" t="inlineStr">
        <is>
          <t>Amenazada (D.S. 043-2006-AG)</t>
        </is>
      </c>
      <c r="G20" s="11" t="inlineStr">
        <is>
          <t>NT - Casi Amenazada</t>
        </is>
      </c>
    </row>
    <row r="21">
      <c r="A21" s="12" t="inlineStr">
        <is>
          <t>B-06</t>
        </is>
      </c>
      <c r="B21" s="13" t="inlineStr">
        <is>
          <t>Especie clave — Algarrobo (Prosopis pallida)</t>
        </is>
      </c>
      <c r="C21" s="27" t="inlineStr">
        <is>
          <t>625600</t>
        </is>
      </c>
      <c r="D21" s="27" t="inlineStr">
        <is>
          <t>9426905</t>
        </is>
      </c>
      <c r="E21" s="13" t="n">
        <v>520.1</v>
      </c>
      <c r="F21" s="13" t="inlineStr">
        <is>
          <t>Amenazada (D.S. 043-2006-AG)</t>
        </is>
      </c>
      <c r="G21" s="13" t="inlineStr">
        <is>
          <t>VU - Vulnerable</t>
        </is>
      </c>
    </row>
    <row r="22">
      <c r="A22" s="7" t="inlineStr">
        <is>
          <t>B-07</t>
        </is>
      </c>
      <c r="B22" s="11" t="inlineStr">
        <is>
          <t>Especie clave — Muérdago (Psittacanthus sp.)</t>
        </is>
      </c>
      <c r="C22" s="26" t="inlineStr">
        <is>
          <t>625873</t>
        </is>
      </c>
      <c r="D22" s="26" t="inlineStr">
        <is>
          <t>9427251</t>
        </is>
      </c>
      <c r="E22" s="11" t="n">
        <v>248.8</v>
      </c>
      <c r="F22" s="11" t="inlineStr">
        <is>
          <t>Indicadora de perturbación</t>
        </is>
      </c>
      <c r="G22" s="11" t="inlineStr">
        <is>
          <t>No aplica</t>
        </is>
      </c>
    </row>
    <row r="23">
      <c r="A23" s="16" t="inlineStr">
        <is>
          <t>TOTAL: 13 puntos</t>
        </is>
      </c>
      <c r="B23" s="17" t="inlineStr"/>
      <c r="C23" s="17" t="inlineStr"/>
      <c r="D23" s="17" t="inlineStr"/>
      <c r="E23" s="17" t="inlineStr"/>
      <c r="F23" s="17" t="inlineStr"/>
      <c r="G23" s="17" t="inlineStr"/>
    </row>
    <row r="25">
      <c r="A25" s="6" t="inlineStr">
        <is>
          <t>Centroide del bloque — UTM ESTE (m)</t>
        </is>
      </c>
      <c r="B25" s="7" t="n">
        <v>626078</v>
      </c>
      <c r="C25" s="6" t="inlineStr">
        <is>
          <t>Centroide del bloque — UTM NORTE (m)</t>
        </is>
      </c>
      <c r="D25" s="7" t="n">
        <v>9427110</v>
      </c>
      <c r="E25" s="8" t="n"/>
      <c r="F25" s="8" t="n"/>
      <c r="G25" s="8" t="n"/>
      <c r="H25" s="8" t="n"/>
    </row>
    <row r="26">
      <c r="A26" s="6" t="inlineStr">
        <is>
          <t>N.° de estaciones fotográficas declaradas</t>
        </is>
      </c>
      <c r="B26" s="7" t="n">
        <v>0</v>
      </c>
      <c r="C26" s="6" t="inlineStr">
        <is>
          <t>Estaciones dentro del polígono</t>
        </is>
      </c>
      <c r="D26" s="7" t="n">
        <v>0</v>
      </c>
      <c r="E26" s="8" t="n"/>
      <c r="F26" s="8" t="n"/>
      <c r="G26" s="8" t="n"/>
      <c r="H26" s="8" t="n"/>
    </row>
    <row r="28" ht="120" customHeight="1">
      <c r="A2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seleccionado por su rol en la regulación de movimientos en masa y la generación de escorrentía en la ZONA DE ORIGEN de los peligros (cabecera de la microcuenca C1086-Q9575). Las acumulaciones de bloques angulosos en quebradas son compatibles con flujos de detritos antiguos; la parte alta presenta susceptibilidad latente a remociones en masa. El rango altitudinal declarado (&lt;1000 m) corresponde a la franja accesible inspeccionada; el bloque alcanza cotas superiores a 1100 msnm en la cresta NE, inaccesible durante la visita.</t>
        </is>
      </c>
      <c r="B28" s="41" t="n"/>
      <c r="C28" s="41" t="n"/>
      <c r="D28" s="41" t="n"/>
      <c r="E28" s="41" t="n"/>
      <c r="F28" s="41" t="n"/>
      <c r="G28" s="42" t="n"/>
    </row>
  </sheetData>
  <mergeCells count="8">
    <mergeCell ref="A1:G1"/>
    <mergeCell ref="A8:G8"/>
    <mergeCell ref="A3:G3"/>
    <mergeCell ref="A6:G6"/>
    <mergeCell ref="A4:G4"/>
    <mergeCell ref="A2:G2"/>
    <mergeCell ref="A28:G28"/>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M28B4</t>
        </is>
      </c>
    </row>
    <row r="6" ht="24" customHeight="1">
      <c r="A6" s="4" t="inlineStr">
        <is>
          <t>Distrito de Yamango · Provincia de Morropon · Comparación de los bloques preliminares de intervención de la misma microcuenca</t>
        </is>
      </c>
    </row>
    <row r="7"/>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M28B4</t>
        </is>
      </c>
      <c r="B10" s="28" t="n">
        <v>283.43</v>
      </c>
      <c r="C10" s="29" t="n">
        <v>58.52</v>
      </c>
      <c r="D10" s="15" t="inlineStr">
        <is>
          <t>297 – 634</t>
        </is>
      </c>
      <c r="E10" s="15" t="n">
        <v>337</v>
      </c>
      <c r="F10" s="15" t="n">
        <v>13.75</v>
      </c>
      <c r="G10" s="30" t="n">
        <v>0.4275</v>
      </c>
      <c r="H10" s="29" t="n">
        <v>18.09</v>
      </c>
      <c r="I10" s="29" t="n">
        <v>74.81</v>
      </c>
    </row>
    <row r="11">
      <c r="A11" s="12" t="inlineStr">
        <is>
          <t>M28B2</t>
        </is>
      </c>
      <c r="B11" s="31" t="n">
        <v>90.2</v>
      </c>
      <c r="C11" s="21" t="n">
        <v>18.62</v>
      </c>
      <c r="D11" s="13" t="inlineStr">
        <is>
          <t>754 – 1111</t>
        </is>
      </c>
      <c r="E11" s="13" t="n">
        <v>357</v>
      </c>
      <c r="F11" s="13" t="n">
        <v>20.65</v>
      </c>
      <c r="G11" s="20" t="n">
        <v>0.4753</v>
      </c>
      <c r="H11" s="21" t="n">
        <v>37.12</v>
      </c>
      <c r="I11" s="21" t="n">
        <v>62.19</v>
      </c>
    </row>
    <row r="12">
      <c r="A12" s="7" t="inlineStr">
        <is>
          <t>M28B3</t>
        </is>
      </c>
      <c r="B12" s="32" t="n">
        <v>58.29</v>
      </c>
      <c r="C12" s="19" t="n">
        <v>12.04</v>
      </c>
      <c r="D12" s="11" t="inlineStr">
        <is>
          <t>73 – 777</t>
        </is>
      </c>
      <c r="E12" s="11" t="n">
        <v>704</v>
      </c>
      <c r="F12" s="11" t="n">
        <v>22.13</v>
      </c>
      <c r="G12" s="18" t="n">
        <v>0.5075</v>
      </c>
      <c r="H12" s="19" t="n">
        <v>45.27</v>
      </c>
      <c r="I12" s="19" t="n">
        <v>49.67</v>
      </c>
    </row>
    <row r="13">
      <c r="A13" s="12" t="inlineStr">
        <is>
          <t>46</t>
        </is>
      </c>
      <c r="B13" s="31" t="n">
        <v>18.87</v>
      </c>
      <c r="C13" s="21" t="n">
        <v>3.9</v>
      </c>
      <c r="D13" s="13" t="inlineStr">
        <is>
          <t>1371 – 1655</t>
        </is>
      </c>
      <c r="E13" s="13" t="n">
        <v>284</v>
      </c>
      <c r="F13" s="13" t="n">
        <v>31.77</v>
      </c>
      <c r="G13" s="20" t="n">
        <v>0.7244</v>
      </c>
      <c r="H13" s="21" t="inlineStr">
        <is>
          <t>Por determinar</t>
        </is>
      </c>
      <c r="I13" s="13" t="inlineStr">
        <is>
          <t>s/d</t>
        </is>
      </c>
    </row>
    <row r="14">
      <c r="A14" s="7" t="inlineStr">
        <is>
          <t>49</t>
        </is>
      </c>
      <c r="B14" s="32" t="n">
        <v>15.84</v>
      </c>
      <c r="C14" s="19" t="n">
        <v>3.27</v>
      </c>
      <c r="D14" s="11" t="inlineStr">
        <is>
          <t>3065 – 3246</t>
        </is>
      </c>
      <c r="E14" s="11" t="n">
        <v>181</v>
      </c>
      <c r="F14" s="11" t="n">
        <v>25.96</v>
      </c>
      <c r="G14" s="18" t="n">
        <v>0.6860000000000001</v>
      </c>
      <c r="H14" s="19" t="n">
        <v>98.8</v>
      </c>
      <c r="I14" s="19" t="n">
        <v>3.64</v>
      </c>
    </row>
    <row r="15">
      <c r="A15" s="12" t="inlineStr">
        <is>
          <t>52</t>
        </is>
      </c>
      <c r="B15" s="31" t="n">
        <v>11.06</v>
      </c>
      <c r="C15" s="21" t="n">
        <v>2.28</v>
      </c>
      <c r="D15" s="13" t="inlineStr">
        <is>
          <t>3011 – 3164</t>
        </is>
      </c>
      <c r="E15" s="13" t="n">
        <v>153</v>
      </c>
      <c r="F15" s="13" t="n">
        <v>26.16</v>
      </c>
      <c r="G15" s="20" t="n">
        <v>0.6685</v>
      </c>
      <c r="H15" s="21" t="n">
        <v>97.31999999999999</v>
      </c>
      <c r="I15" s="21" t="n">
        <v>3.8</v>
      </c>
    </row>
    <row r="16">
      <c r="A16" s="7" t="inlineStr">
        <is>
          <t>48</t>
        </is>
      </c>
      <c r="B16" s="32" t="n">
        <v>5.75</v>
      </c>
      <c r="C16" s="19" t="n">
        <v>1.19</v>
      </c>
      <c r="D16" s="11" t="inlineStr">
        <is>
          <t>1458 – 1595</t>
        </is>
      </c>
      <c r="E16" s="11" t="n">
        <v>137</v>
      </c>
      <c r="F16" s="11" t="n">
        <v>33.6</v>
      </c>
      <c r="G16" s="18" t="n">
        <v>0.6978</v>
      </c>
      <c r="H16" s="19" t="inlineStr">
        <is>
          <t>Por determinar</t>
        </is>
      </c>
      <c r="I16" s="11" t="inlineStr">
        <is>
          <t>s/d</t>
        </is>
      </c>
    </row>
    <row r="17">
      <c r="A17" s="12" t="inlineStr">
        <is>
          <t>55</t>
        </is>
      </c>
      <c r="B17" s="31" t="n">
        <v>0.86</v>
      </c>
      <c r="C17" s="21" t="n">
        <v>0.18</v>
      </c>
      <c r="D17" s="13" t="inlineStr">
        <is>
          <t>3066 – 3131</t>
        </is>
      </c>
      <c r="E17" s="13" t="n">
        <v>65</v>
      </c>
      <c r="F17" s="13" t="n">
        <v>30.04</v>
      </c>
      <c r="G17" s="20" t="n">
        <v>0.63</v>
      </c>
      <c r="H17" s="21" t="n">
        <v>100</v>
      </c>
      <c r="I17" s="21" t="n">
        <v>1.76</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1" t="n"/>
      <c r="C19" s="41" t="n"/>
      <c r="D19" s="41" t="n"/>
      <c r="E19" s="41" t="n"/>
      <c r="F19" s="41" t="n"/>
      <c r="G19" s="41" t="n"/>
      <c r="H19" s="42" t="n"/>
    </row>
    <row r="20"/>
    <row r="21" ht="84" customHeight="1">
      <c r="A21" s="9" t="inlineStr">
        <is>
          <t>LECTURA INTRAMICROCUENCA. El bloque M28B4 ocupa el puesto 1 de 8 por superficie dentro de la microcuenca C1086-Q9575 (58.52 % de las 484.30 ha preliminares de la microcuenca). Su pendiente promedio (13.75 %, clase «8-15% (Mod. inclinado)») es la 1.ª más baja de 8 y se sitúa por debajo del promedio de la microcuenca (25.51 %). Su MSAVI 2024 (0.4275) es el 8.º de 8 y queda por debajo del promedio local (0.6021). Amplitud altitudinal del bloque: 337 m (297–634 msnm). El cuadro conserva todos los bloques catalogados en la microcuenca, incluidos los descartados en el tamizaje, para referencia del conjunto. Los bloques sin ficha DT figuran con sus parámetros de gabinete. BRECHA ESPECTRAL. El 74.81 % de la superficie del bloque (212.024 ha de 283.428 ha) se sitúa bajo el umbral MSAVI 0.4976, por encima del promedio local de la microcuenca (32.64 %) calculado sobre los bloques con dato MSAVI disponible.</t>
        </is>
      </c>
      <c r="B21" s="41" t="n"/>
      <c r="C21" s="41" t="n"/>
      <c r="D21" s="41" t="n"/>
      <c r="E21" s="41" t="n"/>
      <c r="F21" s="41" t="n"/>
      <c r="G21" s="41" t="n"/>
      <c r="H21" s="42" t="n"/>
    </row>
    <row r="22"/>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1" t="n"/>
      <c r="C23" s="41" t="n"/>
      <c r="D23" s="41" t="n"/>
      <c r="E23" s="41" t="n"/>
      <c r="F23" s="41" t="n"/>
      <c r="G23" s="41" t="n"/>
      <c r="H23" s="42" t="n"/>
    </row>
  </sheetData>
  <mergeCells count="10">
    <mergeCell ref="A1:I1"/>
    <mergeCell ref="A4:I4"/>
    <mergeCell ref="A3:I3"/>
    <mergeCell ref="A21:I21"/>
    <mergeCell ref="A2:I2"/>
    <mergeCell ref="A19:I19"/>
    <mergeCell ref="A5:I5"/>
    <mergeCell ref="A23:I23"/>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M28B4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«C1086-Q9575»</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249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(283.543 ha) coincide con la de catálogo (283.43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 pendiente media medida en perfil de campo 20.9%, máxima 49% (Google Earth)»; la estadística zonal sobre el MDE arroja una pendiente promedio de 13.75 %, que corresponde a la clase «8-15% (Mod.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60 % de cobertura vegetal en campo; el NDVI mediana 2025 clasifica 98.68 %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«Mambluque»; el cruce INEI-Bloques V5 identifica 3 centro(s) poblado(s) en el bloque: ALTO MAMBLUQUE, MAMBLUQUE, NUEVA ESPERANZA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El rango altitudinal declarado (&lt;1000 m) no cubre la totalidad del bloque, que alcanza &gt;1100 msnm en la cresta NE</t>
        </is>
      </c>
      <c r="D18" s="15" t="inlineStr">
        <is>
          <t>NO SUSTANTIVA</t>
        </is>
      </c>
      <c r="E18" s="34" t="inlineStr">
        <is>
          <t>Se declara que la clasificación corresponde a la franja accesible inspeccionada (300-500 msnm)</t>
        </is>
      </c>
    </row>
    <row r="19" ht="48" customHeight="1">
      <c r="A19" s="36" t="inlineStr">
        <is>
          <t>D-10</t>
        </is>
      </c>
      <c r="B19" s="36" t="inlineStr">
        <is>
          <t>F-DT-01</t>
        </is>
      </c>
      <c r="C19" s="36" t="inlineStr">
        <is>
          <t>La ficha declara "remociones en masa activas: No" pero la observación señala susceptibilidad latente a remociones en la parte alta y flujos de detritos antiguos</t>
        </is>
      </c>
      <c r="D19" s="15" t="inlineStr">
        <is>
          <t>NO SUSTANTIVA</t>
        </is>
      </c>
      <c r="E19" s="36" t="inlineStr">
        <is>
          <t>Se conserva la declaración y se anota la susceptibilidad latente en la observación</t>
        </is>
      </c>
    </row>
    <row r="20" ht="48" customHeight="1">
      <c r="A20" s="34" t="inlineStr">
        <is>
          <t>D-11</t>
        </is>
      </c>
      <c r="B20" s="34" t="inlineStr">
        <is>
          <t>F-DT-04</t>
        </is>
      </c>
      <c r="C20" s="34" t="inlineStr">
        <is>
          <t>La causa 15 (plagas o enfermedades forestales) registra extensión 50% y antigüedad 10 años pero no consigna intensidad, siendo el factor de degradación identificado como principal</t>
        </is>
      </c>
      <c r="D20" s="37" t="inlineStr">
        <is>
          <t>SUSTANTIVA</t>
        </is>
      </c>
      <c r="E20" s="34" t="inlineStr">
        <is>
          <t>Se declara la omisión; corresponde valorar la intensidad dada su condición de causa directa prioritaria</t>
        </is>
      </c>
    </row>
    <row r="21" ht="48" customHeight="1">
      <c r="A21" s="36" t="inlineStr">
        <is>
          <t>D-12</t>
        </is>
      </c>
      <c r="B21" s="36" t="inlineStr">
        <is>
          <t>F-DT-03</t>
        </is>
      </c>
      <c r="C21" s="36" t="inlineStr">
        <is>
          <t>El indicador de infestación por plantas parásitas no cuenta con cuantificación instrumental (% de individuos afectados)</t>
        </is>
      </c>
      <c r="D21" s="37" t="inlineStr">
        <is>
          <t>SUSTANTIVA</t>
        </is>
      </c>
      <c r="E21" s="36" t="inlineStr">
        <is>
          <t>POR DETERMINAR; requiere evaluación fitosanitaria específica para dimensionar la mortandad arbórea</t>
        </is>
      </c>
    </row>
    <row r="22" ht="48" customHeight="1">
      <c r="A22" s="36" t="inlineStr">
        <is>
          <t>D-13</t>
        </is>
      </c>
      <c r="B22" s="36" t="inlineStr">
        <is>
          <t>Distribución areal MSAVI 2024</t>
        </is>
      </c>
      <c r="C22" s="36" t="inlineStr">
        <is>
          <t>La distribución por clase de MSAVI no figuraba en los insumos del entregable y se consignaba «Por determinar»; se incorpora la estadística zonal del ráster MSAVI clasificado (905 polígonos, 283.428 ha)</t>
        </is>
      </c>
      <c r="D22" s="37" t="inlineStr">
        <is>
          <t>CORREGIDO</t>
        </is>
      </c>
      <c r="E22"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3" ht="48" customHeight="1">
      <c r="A23" s="36" t="inlineStr">
        <is>
          <t>D-14</t>
        </is>
      </c>
      <c r="B23" s="36" t="inlineStr">
        <is>
          <t>Superficie MSAVI vs. catálogo</t>
        </is>
      </c>
      <c r="C23" s="36" t="inlineStr">
        <is>
          <t>La superficie total clasificada por el MSAVI 2024 (283.428 ha) frente a la de catálogo V5/V6 (283.430 ha): desviación de +0.00 %</t>
        </is>
      </c>
      <c r="D23" s="37" t="inlineStr">
        <is>
          <t>CONFORME</t>
        </is>
      </c>
      <c r="E23" s="36" t="inlineStr">
        <is>
          <t>Sin acción: la segmentación del ráster valida la geometría del bloque dentro del ±2 %.</t>
        </is>
      </c>
    </row>
    <row r="24" ht="48" customHeight="1">
      <c r="A24" s="36" t="inlineStr">
        <is>
          <t>D-15</t>
        </is>
      </c>
      <c r="B24" s="36" t="inlineStr">
        <is>
          <t>Media MSAVI vs. clase DN dominante</t>
        </is>
      </c>
      <c r="C24" s="36" t="inlineStr">
        <is>
          <t>La media del bloque (0.4275) cae en la clase «DN 3 · 0.3813 - 0.4976 (Vigor bajo)»; la clase de mayor superficie es «DN 3 · 0.3813 - 0.4976 (Vigor bajo)», con 37.96 % del bloque. Superficie bajo el umbral 0.4976: 212.024 ha (74.81 %)</t>
        </is>
      </c>
      <c r="D24" s="37" t="inlineStr">
        <is>
          <t>CONFORME</t>
        </is>
      </c>
      <c r="E24" s="36" t="inlineStr">
        <is>
          <t>Sin acción: la media del bloque y la clase de mayor superficie coinciden.</t>
        </is>
      </c>
    </row>
    <row r="25"/>
    <row r="26">
      <c r="A26" s="16" t="inlineStr">
        <is>
          <t>RESUMEN</t>
        </is>
      </c>
      <c r="B26" s="17" t="inlineStr">
        <is>
          <t>15 verificaciones</t>
        </is>
      </c>
      <c r="C26" s="17" t="inlineStr">
        <is>
          <t>CONFORME: 6 · CORREGIDO: 1 · NO SUSTANTIVA: 4 · SUSTANTIVA: 4</t>
        </is>
      </c>
      <c r="D26" s="17" t="inlineStr"/>
      <c r="E26" s="17" t="inlineStr"/>
    </row>
    <row r="27"/>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41" t="n"/>
      <c r="C28" s="41" t="n"/>
      <c r="D28" s="41" t="n"/>
      <c r="E28" s="42"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M28B4 — IN Piura</dc:title>
  <dc:subject>Diagnóstico Territorial por bloque de intervención</dc:subject>
  <dcterms:created xsi:type="dcterms:W3CDTF">2026-09-08T03:39:58Z</dcterms:created>
  <dcterms:modified xsi:type="dcterms:W3CDTF">2026-09-09T23:30:55Z</dcterms:modified>
</cp:coreProperties>
</file>