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M7B3</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Palo Blanco Centro (Caserío Palo Blanco de Salitral)</t>
        </is>
      </c>
      <c r="C13" s="6" t="inlineStr">
        <is>
          <t>Comunidad campesina</t>
        </is>
      </c>
      <c r="D13" s="7" t="inlineStr">
        <is>
          <t>No aplica — TIERRAS DEL ESTADO BAJO ADMINISTRACIÓN DEL GORE PIURA</t>
        </is>
      </c>
      <c r="E13" s="8" t="n"/>
      <c r="F13" s="8" t="n"/>
    </row>
    <row r="14">
      <c r="A14" s="6" t="inlineStr">
        <is>
          <t>Superficie de catálogo (V5/V6), ha</t>
        </is>
      </c>
      <c r="B14" s="7" t="n">
        <v>65.73999999999999</v>
      </c>
      <c r="C14" s="6" t="inlineStr">
        <is>
          <t>Fuente de superficie</t>
        </is>
      </c>
      <c r="D14" s="7" t="inlineStr">
        <is>
          <t>Catálogo maestro Bloques V5/V6</t>
        </is>
      </c>
      <c r="E14" s="8" t="n"/>
      <c r="F14" s="8" t="n"/>
    </row>
    <row r="15">
      <c r="A15" s="6" t="inlineStr">
        <is>
          <t>Centroide UTM ESTE (m)</t>
        </is>
      </c>
      <c r="B15" s="7" t="n">
        <v>633232</v>
      </c>
      <c r="C15" s="6" t="inlineStr">
        <is>
          <t>Centroide UTM NORTE (m)</t>
        </is>
      </c>
      <c r="D15" s="7" t="n">
        <v>9401227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209</v>
      </c>
      <c r="C19" s="6" t="inlineStr">
        <is>
          <t>Altitud máxima (msnm)</t>
        </is>
      </c>
      <c r="D19" s="7" t="n">
        <v>372</v>
      </c>
      <c r="E19" s="8" t="n"/>
      <c r="F19" s="8" t="n"/>
    </row>
    <row r="20">
      <c r="A20" s="6" t="inlineStr">
        <is>
          <t>Amplitud altitudinal (m)</t>
        </is>
      </c>
      <c r="B20" s="7" t="n">
        <v>163</v>
      </c>
      <c r="C20" s="6" t="inlineStr">
        <is>
          <t>Piso altitudinal dominante</t>
        </is>
      </c>
      <c r="D20" s="7" t="inlineStr">
        <is>
          <t>&lt;1000 m (Yunga)</t>
        </is>
      </c>
      <c r="E20" s="8" t="n"/>
      <c r="F20" s="8" t="n"/>
    </row>
    <row r="21">
      <c r="A21" s="6" t="inlineStr">
        <is>
          <t>Pendiente promedio (%)</t>
        </is>
      </c>
      <c r="B21" s="7" t="n">
        <v>19.61</v>
      </c>
      <c r="C21" s="6" t="inlineStr">
        <is>
          <t>Pendiente promedio (grados)</t>
        </is>
      </c>
      <c r="D21" s="7" t="n">
        <v>11.1</v>
      </c>
      <c r="E21" s="8" t="n"/>
      <c r="F21" s="8" t="n"/>
    </row>
    <row r="22">
      <c r="A22" s="6" t="inlineStr">
        <is>
          <t>Clase de pendiente equivalente</t>
        </is>
      </c>
      <c r="B22" s="7" t="inlineStr">
        <is>
          <t>15-25% (Fuert. inclinado)</t>
        </is>
      </c>
      <c r="C22" s="6" t="inlineStr">
        <is>
          <t>Rango de pendiente declarado en campo</t>
        </is>
      </c>
      <c r="D22" s="7" t="inlineStr">
        <is>
          <t>No consignado en el campo de lista (30-40% del área con pendiente &gt;50%)</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(48.88 %)</t>
        </is>
      </c>
      <c r="E29" s="8" t="n"/>
      <c r="F29" s="8" t="n"/>
    </row>
    <row r="30">
      <c r="A30" s="6" t="inlineStr">
        <is>
          <t>Superficie clasificada NDVI 2025 (ha)</t>
        </is>
      </c>
      <c r="B30" s="7" t="n">
        <v>65.768</v>
      </c>
      <c r="C30" s="6" t="inlineStr">
        <is>
          <t>Desviación frente al catálogo (%)</t>
        </is>
      </c>
      <c r="D30" s="7" t="n">
        <v>0.04</v>
      </c>
      <c r="E30" s="8" t="n"/>
      <c r="F30" s="8" t="n"/>
    </row>
    <row r="31">
      <c r="A31" s="6" t="inlineStr">
        <is>
          <t>Superficie clasificada MSAVI 2024 (ha)</t>
        </is>
      </c>
      <c r="B31" s="39" t="n">
        <v>65.745</v>
      </c>
      <c r="C31" s="6" t="inlineStr">
        <is>
          <t>Desviación MSAVI frente al catálogo (%)</t>
        </is>
      </c>
      <c r="D31" s="40" t="n">
        <v>0.01</v>
      </c>
      <c r="E31" s="8" t="n"/>
      <c r="F31" s="8" t="n"/>
    </row>
    <row r="32">
      <c r="A32" s="6" t="inlineStr">
        <is>
          <t>Superficie bajo umbral MSAVI 0.4976 (ha)</t>
        </is>
      </c>
      <c r="B32" s="39" t="n">
        <v>65.645</v>
      </c>
      <c r="C32" s="6" t="inlineStr">
        <is>
          <t>% del bloque bajo umbral (brecha espectral)</t>
        </is>
      </c>
      <c r="D32" s="40" t="n">
        <v>99.84999999999999</v>
      </c>
      <c r="E32" s="8" t="n"/>
      <c r="F32" s="8" t="n"/>
    </row>
    <row r="33">
      <c r="A33" s="6" t="inlineStr">
        <is>
          <t>Clase DN dominante (MSAVI 2024)</t>
        </is>
      </c>
      <c r="B33" s="7" t="inlineStr">
        <is>
          <t>DN 2 · 0.2650 - 0.3813 (Vigor muy bajo)</t>
        </is>
      </c>
      <c r="C33" s="6" t="inlineStr">
        <is>
          <t>N.° de polígonos MSAVI del bloque</t>
        </is>
      </c>
      <c r="D33" s="41" t="n">
        <v>310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Forestal de protección</t>
        </is>
      </c>
      <c r="E37" s="8" t="n"/>
      <c r="F37" s="8" t="n"/>
    </row>
    <row r="38">
      <c r="A38" s="6" t="inlineStr">
        <is>
          <t>Tipo de cobertura dominante</t>
        </is>
      </c>
      <c r="B38" s="7" t="inlineStr">
        <is>
          <t>Matorral ralo</t>
        </is>
      </c>
      <c r="C38" s="6" t="inlineStr">
        <is>
          <t>Cobertura vegetal total — campo (%)</t>
        </is>
      </c>
      <c r="D38" s="7" t="n">
        <v>70</v>
      </c>
      <c r="E38" s="8" t="n"/>
      <c r="F38" s="8" t="n"/>
    </row>
    <row r="39">
      <c r="A39" s="6" t="inlineStr">
        <is>
          <t>Suelo desnudo — campo (%)</t>
        </is>
      </c>
      <c r="B39" s="7" t="n">
        <v>25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2026-05-14</t>
        </is>
      </c>
      <c r="E44" s="8" t="n"/>
      <c r="F44" s="8" t="n"/>
    </row>
    <row r="45">
      <c r="A45" s="6" t="inlineStr">
        <is>
          <t>Hora de registro</t>
        </is>
      </c>
      <c r="B45" s="7" t="inlineStr">
        <is>
          <t>10:24 h</t>
        </is>
      </c>
      <c r="C45" s="6" t="inlineStr">
        <is>
          <t>Correlativo de ficha</t>
        </is>
      </c>
      <c r="D45" s="7" t="inlineStr">
        <is>
          <t>F-DT-M7B3-001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Demanda histórica de madera/leña + acceso facilitado por la PE-02A + ausencia de mecanismos formales de gobernanza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0.0</v>
      </c>
      <c r="D10" s="11" t="inlineStr">
        <is>
          <t>Vigor alto</t>
        </is>
      </c>
      <c r="E10" s="11" t="inlineStr">
        <is>
          <t>Sobre umbral</t>
        </is>
      </c>
    </row>
    <row r="11">
      <c r="A11" s="12" t="inlineStr">
        <is>
          <t>0.4976 - 0.6139 · DN 4</t>
        </is>
      </c>
      <c r="B11" s="20" t="n">
        <v>0.0999</v>
      </c>
      <c r="C11" s="21">
        <f>ROUND(B11/$B$15*100,2)</f>
        <v>0.15</v>
      </c>
      <c r="D11" s="13" t="inlineStr">
        <is>
          <t>Vigor moderado</t>
        </is>
      </c>
      <c r="E11" s="13" t="inlineStr">
        <is>
          <t>Sobre umbral</t>
        </is>
      </c>
    </row>
    <row r="12">
      <c r="A12" s="7" t="inlineStr">
        <is>
          <t>0.3813 - 0.4976 · DN 3</t>
        </is>
      </c>
      <c r="B12" s="18" t="n">
        <v>3.2595</v>
      </c>
      <c r="C12" s="19">
        <f>ROUND(B12/$B$15*100,2)</f>
        <v>4.96</v>
      </c>
      <c r="D12" s="11" t="inlineStr">
        <is>
          <t>Vigor bajo</t>
        </is>
      </c>
      <c r="E12" s="11" t="inlineStr">
        <is>
          <t>BAJO umbral 0.4976</t>
        </is>
      </c>
    </row>
    <row r="13">
      <c r="A13" s="14" t="inlineStr">
        <is>
          <t>0.2650 - 0.3813 · DN 2</t>
        </is>
      </c>
      <c r="B13" s="32" t="n">
        <v>47.8887</v>
      </c>
      <c r="C13" s="31">
        <f>ROUND(B13/$B$15*100,2)</f>
        <v>72.84</v>
      </c>
      <c r="D13" s="15" t="inlineStr">
        <is>
          <t>Vigor muy bajo</t>
        </is>
      </c>
      <c r="E13" s="15" t="inlineStr">
        <is>
          <t>BAJO umbral 0.4976</t>
        </is>
      </c>
    </row>
    <row r="14">
      <c r="A14" s="7" t="inlineStr">
        <is>
          <t>&lt;= 0.2650 · DN 1</t>
        </is>
      </c>
      <c r="B14" s="18" t="n">
        <v>14.4965</v>
      </c>
      <c r="C14" s="19">
        <f>ROUND(B14/$B$15*100,2)</f>
        <v>22.05</v>
      </c>
      <c r="D14" s="11" t="inlineStr">
        <is>
          <t>Suelo desnudo / no vegetal</t>
        </is>
      </c>
      <c r="E14" s="11" t="inlineStr">
        <is>
          <t>BAJO umbral 0.4976</t>
        </is>
      </c>
    </row>
    <row r="15" ht="30" customHeight="1">
      <c r="A15" s="44" t="inlineStr">
        <is>
          <t>TOTAL CLASIFICADO MSAVI 2024</t>
        </is>
      </c>
      <c r="B15" s="45">
        <f>SUM(B10:B14)</f>
        <v>65.7446</v>
      </c>
      <c r="C15" s="46">
        <f>SUM(C10:C14)</f>
        <v>100.0</v>
      </c>
      <c r="D15" s="44" t="inlineStr">
        <is>
          <t>Suma de la distribución areal · 310 polígonos</t>
        </is>
      </c>
      <c r="E15" s="44" t="inlineStr">
        <is>
          <t>—</t>
        </is>
      </c>
    </row>
    <row r="16" ht="30" customHeight="1">
      <c r="A16" s="47" t="inlineStr">
        <is>
          <t>Superficie SOBRE umbral 0.4976 (ha)</t>
        </is>
      </c>
      <c r="B16" s="48">
        <f>SUM(B10:B11)</f>
        <v>0.0999</v>
      </c>
      <c r="C16" s="49">
        <f>ROUND(B16/B15*100,2)</f>
        <v>0.15</v>
      </c>
      <c r="D16" s="47" t="inlineStr">
        <is>
          <t>Vigor alto y moderado (DN 4 y DN 5)</t>
        </is>
      </c>
      <c r="E16" s="47" t="inlineStr">
        <is>
          <t>Sobre umbral 0.4976</t>
        </is>
      </c>
    </row>
    <row r="17" ht="30" customHeight="1">
      <c r="A17" s="47" t="inlineStr">
        <is>
          <t>Superficie BAJO umbral 0.4976 (ha) — brecha</t>
        </is>
      </c>
      <c r="B17" s="48">
        <f>SUM(B12:B14)</f>
        <v>65.6447</v>
      </c>
      <c r="C17" s="49">
        <f>ROUND(B17/B15*100,2)</f>
        <v>99.85</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65.73999999999999</v>
      </c>
      <c r="C18" s="50" t="inlineStr">
        <is>
          <t>—</t>
        </is>
      </c>
      <c r="D18" s="47" t="inlineStr">
        <is>
          <t>Desviación planimétrica frente al catálogo</t>
        </is>
      </c>
      <c r="E18" s="47" t="inlineStr">
        <is>
          <t>+0.01 %</t>
        </is>
      </c>
    </row>
    <row r="19">
      <c r="A19" s="16" t="inlineStr">
        <is>
          <t>MSAVI 2024 — MEDIA DEL BLOQUE</t>
        </is>
      </c>
      <c r="B19" s="17" t="n">
        <v>0.298017</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310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(0.2980)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0.8705000000000001</v>
      </c>
      <c r="C25" s="19" t="n">
        <v>1.32</v>
      </c>
      <c r="D25" s="11" t="inlineStr">
        <is>
          <t>Dosel continuo, matorral denso o mosaico agroforestal</t>
        </is>
      </c>
      <c r="E25" s="11" t="inlineStr"/>
    </row>
    <row r="26">
      <c r="A26" s="12" t="inlineStr">
        <is>
          <t>Vegetación mediana</t>
        </is>
      </c>
      <c r="B26" s="20" t="n">
        <v>32.1456</v>
      </c>
      <c r="C26" s="21" t="n">
        <v>48.88</v>
      </c>
      <c r="D26" s="13" t="inlineStr">
        <is>
          <t>Pastizal cultivado, matorral ralo, parcelas agrícolas</t>
        </is>
      </c>
      <c r="E26" s="13" t="inlineStr"/>
    </row>
    <row r="27">
      <c r="A27" s="7" t="inlineStr">
        <is>
          <t>Vegetación ligera</t>
        </is>
      </c>
      <c r="B27" s="18" t="n">
        <v>31.688</v>
      </c>
      <c r="C27" s="19" t="n">
        <v>48.18</v>
      </c>
      <c r="D27" s="11" t="inlineStr">
        <is>
          <t>Cobertura discontinua, suelo parcialmente expuesto</t>
        </is>
      </c>
      <c r="E27" s="11" t="inlineStr"/>
    </row>
    <row r="28">
      <c r="A28" s="12" t="inlineStr">
        <is>
          <t>Tierra desnuda</t>
        </is>
      </c>
      <c r="B28" s="20" t="n">
        <v>1.0642</v>
      </c>
      <c r="C28" s="21" t="n">
        <v>1.62</v>
      </c>
      <c r="D28" s="13" t="inlineStr">
        <is>
          <t>Suelo desnudo, afloramientos, plataformas y taludes</t>
        </is>
      </c>
      <c r="E28" s="13" t="inlineStr"/>
    </row>
    <row r="29">
      <c r="A29" s="16" t="inlineStr">
        <is>
          <t>TOTAL CLASIFICADO</t>
        </is>
      </c>
      <c r="B29" s="22">
        <f>SUM(B25:B28)</f>
        <v>65.7683</v>
      </c>
      <c r="C29" s="23">
        <f>SUM(C25:C28)</f>
        <v>100.0</v>
      </c>
      <c r="D29" s="17" t="inlineStr"/>
      <c r="E29" s="17" t="inlineStr"/>
    </row>
    <row r="30">
      <c r="A30" s="24" t="inlineStr">
        <is>
          <t>Superficie de catálogo (V5/V6)</t>
        </is>
      </c>
      <c r="B30" s="25" t="n">
        <v>65.73999999999999</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1.32 % del polígono clasificado como «Vegetación alta» por el NDVI 2025; la observación de campo corresponde a una parcela o recorrido puntual y no es estadísticamente representativa de las 65.740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M7B3</t>
        </is>
      </c>
    </row>
    <row r="6" ht="24" customHeight="1">
      <c r="A6" s="4" t="inlineStr">
        <is>
          <t>Levantamiento del 2026-05-14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633171</v>
      </c>
      <c r="D10" s="26" t="n">
        <v>9402000</v>
      </c>
      <c r="E10" s="11" t="n">
        <v>775.4</v>
      </c>
      <c r="F10" s="11" t="inlineStr"/>
      <c r="G10" s="11" t="inlineStr">
        <is>
          <t>Coordenada consignada en F-DT-01</t>
        </is>
      </c>
    </row>
    <row r="11">
      <c r="A11" s="12" t="inlineStr">
        <is>
          <t>M7B3-S01</t>
        </is>
      </c>
      <c r="B11" s="13" t="inlineStr">
        <is>
          <t>Rasgo erosivo — Surco (&lt;30 cm) — 25 m, 0.15 m prof., 0.2 m ancho</t>
        </is>
      </c>
      <c r="C11" s="27" t="n">
        <v>633100</v>
      </c>
      <c r="D11" s="27" t="n">
        <v>9401980</v>
      </c>
      <c r="E11" s="13" t="n">
        <v>764.5</v>
      </c>
      <c r="F11" s="13" t="inlineStr">
        <is>
          <t>Activa</t>
        </is>
      </c>
      <c r="G11" s="13" t="inlineStr">
        <is>
          <t>Concentración natural de escorrentía</t>
        </is>
      </c>
    </row>
    <row r="12">
      <c r="A12" s="7" t="inlineStr">
        <is>
          <t>M7B3-S02</t>
        </is>
      </c>
      <c r="B12" s="11" t="inlineStr">
        <is>
          <t>Rasgo erosivo — Surco (&lt;30 cm) — 30 m, 0.2 m prof., 0.25 m ancho</t>
        </is>
      </c>
      <c r="C12" s="26" t="n">
        <v>633150</v>
      </c>
      <c r="D12" s="26" t="n">
        <v>9401950</v>
      </c>
      <c r="E12" s="11" t="n">
        <v>727.6</v>
      </c>
      <c r="F12" s="11" t="inlineStr">
        <is>
          <t>Activa</t>
        </is>
      </c>
      <c r="G12" s="11" t="inlineStr">
        <is>
          <t>Sobrepastoreo</t>
        </is>
      </c>
    </row>
    <row r="13">
      <c r="A13" s="12" t="inlineStr">
        <is>
          <t>H-01</t>
        </is>
      </c>
      <c r="B13" s="13" t="inlineStr">
        <is>
          <t>Fuente de agua — Río</t>
        </is>
      </c>
      <c r="C13" s="27" t="n">
        <v>633400</v>
      </c>
      <c r="D13" s="27" t="n">
        <v>9401500</v>
      </c>
      <c r="E13" s="13" t="n">
        <v>320.6</v>
      </c>
      <c r="F13" s="13" t="inlineStr">
        <is>
          <t>Permanente</t>
        </is>
      </c>
      <c r="G13" s="13" t="inlineStr">
        <is>
          <t>Río Piura — cauce principal</t>
        </is>
      </c>
    </row>
    <row r="14">
      <c r="A14" s="7" t="inlineStr">
        <is>
          <t>H-02</t>
        </is>
      </c>
      <c r="B14" s="11" t="inlineStr">
        <is>
          <t>Fuente de agua — Quebrada estacional</t>
        </is>
      </c>
      <c r="C14" s="26" t="n">
        <v>633050</v>
      </c>
      <c r="D14" s="26" t="n">
        <v>9402100</v>
      </c>
      <c r="E14" s="11" t="n">
        <v>891.8</v>
      </c>
      <c r="F14" s="11" t="inlineStr">
        <is>
          <t>Estacional</t>
        </is>
      </c>
      <c r="G14" s="11" t="inlineStr">
        <is>
          <t>Quebrada tributaria interna</t>
        </is>
      </c>
    </row>
    <row r="15">
      <c r="A15" s="12" t="inlineStr">
        <is>
          <t>H-03</t>
        </is>
      </c>
      <c r="B15" s="13" t="inlineStr">
        <is>
          <t>Fuente de agua — Quebrada estacional</t>
        </is>
      </c>
      <c r="C15" s="27" t="n">
        <v>633300</v>
      </c>
      <c r="D15" s="27" t="n">
        <v>9401200</v>
      </c>
      <c r="E15" s="13" t="n">
        <v>73.2</v>
      </c>
      <c r="F15" s="13" t="inlineStr">
        <is>
          <t>Estacional</t>
        </is>
      </c>
      <c r="G15" s="13" t="inlineStr">
        <is>
          <t>Quebrada tributaria interna</t>
        </is>
      </c>
    </row>
    <row r="16">
      <c r="A16" s="16" t="inlineStr">
        <is>
          <t>TOTAL: 6 puntos</t>
        </is>
      </c>
      <c r="B16" s="17" t="inlineStr"/>
      <c r="C16" s="17" t="inlineStr"/>
      <c r="D16" s="17" t="inlineStr"/>
      <c r="E16" s="17" t="inlineStr"/>
      <c r="F16" s="17" t="inlineStr"/>
      <c r="G16" s="17" t="inlineStr"/>
    </row>
    <row r="17"/>
    <row r="18">
      <c r="A18" s="6" t="inlineStr">
        <is>
          <t>Centroide del bloque — UTM ESTE (m)</t>
        </is>
      </c>
      <c r="B18" s="7" t="n">
        <v>633232</v>
      </c>
      <c r="C18" s="6" t="inlineStr">
        <is>
          <t>Centroide del bloque — UTM NORTE (m)</t>
        </is>
      </c>
      <c r="D18" s="7" t="n">
        <v>9401227</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0"/>
    <row r="21" ht="132"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del 14-15/05/2026 con acompañamiento del Sr. Luis Alberto Porras (Teniente Gobernador del CP Palo Blanco Centro), Ing. Florencio Loardo e Ing. Ángela Cruz Solórzano. AVANCE FÍSICO ≈30% DEL BLOQUE (sector bajo y medio-bajo). CUMBRES NO ALCANZADAS — requieren visita complementaria con acémila o RPA. HALLAZGO CRÍTICO: LA ESPECIE PALO BLANCO SE IDENTIFICA COMO ESPECIE CULTURAL EMBLEMÁTICA EN ESTADO CRÍTICO DE CONSERVACIÓN LOCAL DEBIDO A TALA SELECTIVA INTENSIVA HISTÓRICA. EL TOPÓNIMO DEL CENTRO POBLADO CONFIRMA EL VALOR HISTÓRICO DE LA ESPECIE.</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M7B3</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M7B1</t>
        </is>
      </c>
      <c r="B10" s="28" t="n">
        <v>130.43</v>
      </c>
      <c r="C10" s="19" t="n">
        <v>32.38</v>
      </c>
      <c r="D10" s="11" t="inlineStr">
        <is>
          <t>183 – 357</t>
        </is>
      </c>
      <c r="E10" s="11" t="n">
        <v>174</v>
      </c>
      <c r="F10" s="11" t="n">
        <v>17.35</v>
      </c>
      <c r="G10" s="18" t="n">
        <v>0.3136</v>
      </c>
      <c r="H10" s="19" t="n">
        <v>4.28</v>
      </c>
      <c r="I10" s="19" t="n">
        <v>99.78</v>
      </c>
    </row>
    <row r="11">
      <c r="A11" s="12" t="inlineStr">
        <is>
          <t>M7B2</t>
        </is>
      </c>
      <c r="B11" s="29" t="n">
        <v>115.38</v>
      </c>
      <c r="C11" s="21" t="n">
        <v>28.64</v>
      </c>
      <c r="D11" s="13" t="inlineStr">
        <is>
          <t>204 – 362</t>
        </is>
      </c>
      <c r="E11" s="13" t="n">
        <v>158</v>
      </c>
      <c r="F11" s="13" t="n">
        <v>14.01</v>
      </c>
      <c r="G11" s="20" t="n">
        <v>0.2877</v>
      </c>
      <c r="H11" s="21" t="n">
        <v>0.91</v>
      </c>
      <c r="I11" s="21" t="n">
        <v>99.58</v>
      </c>
    </row>
    <row r="12">
      <c r="A12" s="7" t="inlineStr">
        <is>
          <t>M7B6</t>
        </is>
      </c>
      <c r="B12" s="28" t="n">
        <v>91.29000000000001</v>
      </c>
      <c r="C12" s="19" t="n">
        <v>22.66</v>
      </c>
      <c r="D12" s="11" t="inlineStr">
        <is>
          <t>228 – 453</t>
        </is>
      </c>
      <c r="E12" s="11" t="n">
        <v>225</v>
      </c>
      <c r="F12" s="11" t="n">
        <v>16.87</v>
      </c>
      <c r="G12" s="18" t="n">
        <v>0.2878</v>
      </c>
      <c r="H12" s="19" t="n">
        <v>0.73</v>
      </c>
      <c r="I12" s="19" t="n">
        <v>99.95999999999999</v>
      </c>
    </row>
    <row r="13">
      <c r="A13" s="14" t="inlineStr">
        <is>
          <t>► M7B3</t>
        </is>
      </c>
      <c r="B13" s="30" t="n">
        <v>65.73999999999999</v>
      </c>
      <c r="C13" s="31" t="n">
        <v>16.32</v>
      </c>
      <c r="D13" s="15" t="inlineStr">
        <is>
          <t>209 – 372</t>
        </is>
      </c>
      <c r="E13" s="15" t="n">
        <v>163</v>
      </c>
      <c r="F13" s="15" t="n">
        <v>19.61</v>
      </c>
      <c r="G13" s="32" t="n">
        <v>0.298</v>
      </c>
      <c r="H13" s="31" t="n">
        <v>1.32</v>
      </c>
      <c r="I13" s="31" t="n">
        <v>99.84999999999999</v>
      </c>
    </row>
    <row r="14">
      <c r="A14" s="16" t="inlineStr">
        <is>
          <t>TOTAL / PROMEDIO</t>
        </is>
      </c>
      <c r="B14" s="33">
        <f>SUM(B10:B13)</f>
        <v>402.84</v>
      </c>
      <c r="C14" s="23">
        <f>SUM(C10:C13)</f>
        <v>100.0</v>
      </c>
      <c r="D14" s="17" t="inlineStr">
        <is>
          <t>183 – 453</t>
        </is>
      </c>
      <c r="E14" s="17" t="inlineStr"/>
      <c r="F14" s="17">
        <f>ROUND(AVERAGE(F10:F13),2)</f>
        <v>16.96</v>
      </c>
      <c r="G14" s="22">
        <f>ROUND(AVERAGE(G10:G13),4)</f>
        <v>0.2968</v>
      </c>
      <c r="H14" s="23">
        <f>ROUND(AVERAGE(H10:H13),2)</f>
        <v>1.81</v>
      </c>
      <c r="I14" s="23">
        <f>ROUND(AVERAGE(I10:I13),2)</f>
        <v>99.79</v>
      </c>
    </row>
    <row r="15"/>
    <row r="16" ht="84" customHeight="1">
      <c r="A16" s="9" t="inlineStr">
        <is>
          <t>LECTURA INTRAMICROCUENCA. El bloque M7B3 ocupa el puesto 4 de 4 por superficie dentro de la microcuenca C1076-Q9581 (16.32 % de las 402.84 ha preliminares de la microcuenca). Su pendiente promedio (19.61 %, clase «15-25% (Fuert. inclinado)») es la 4.ª más baja de 4 y se sitúa por encima del promedio de la microcuenca (16.96 %). Su MSAVI 2024 (0.2980) es el 2.º de 4 y queda por encima del promedio local (0.2968). Amplitud altitudinal del bloque: 163 m (209–372 msnm). El cuadro conserva todos los bloques catalogados en la microcuenca, incluidos los descartados en el tamizaje, para referencia del conjunto. Los bloques sin ficha DT figuran con sus parámetros de gabinete. BRECHA ESPECTRAL. El 99.85 % de la superficie del bloque (65.645 ha de 65.745 ha) se sitúa bajo el umbral MSAVI 0.4976, por encima del promedio local de la microcuenca (99.79 %) calculado sobre los bloques con dato MSAVI disponible.</t>
        </is>
      </c>
      <c r="B16" s="42" t="n"/>
      <c r="C16" s="42" t="n"/>
      <c r="D16" s="42" t="n"/>
      <c r="E16" s="42" t="n"/>
      <c r="F16" s="42" t="n"/>
      <c r="G16" s="42" t="n"/>
      <c r="H16" s="43" t="n"/>
    </row>
    <row r="17"/>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3" t="n"/>
    </row>
  </sheetData>
  <mergeCells count="9">
    <mergeCell ref="A18:I18"/>
    <mergeCell ref="A4:I4"/>
    <mergeCell ref="A1:I1"/>
    <mergeCell ref="A3:I3"/>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775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(65.768 ha) coincide con la de catálogo (65.74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«No consignado en el campo de lista (30-40% del área con pendiente &gt;50%)»; la estadística zonal sobre el MDE arroja una pendiente promedio de 19.61 %,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70 % de cobertura vegetal en campo; el NDVI mediana 2025 clasifica 98.38 %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10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«Palo Blanco Centro (Caserío Palo Blanco de Salitral)»; el cruce INEI-Bloques V5 identifica 2 centro(s) poblado(s) en el bloque: LA TRANCA, PALO BLANCO-EL CEREZO</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(204 msnm)</t>
        </is>
      </c>
    </row>
    <row r="20" ht="48" customHeight="1">
      <c r="A20" s="34" t="inlineStr">
        <is>
          <t>D-11</t>
        </is>
      </c>
      <c r="B20" s="34" t="inlineStr">
        <is>
          <t>F-DT-01</t>
        </is>
      </c>
      <c r="C20" s="34" t="inlineStr">
        <is>
          <t>Avance físico de la verificación ≈30% del bloque; cumbres no alcanzadas</t>
        </is>
      </c>
      <c r="D20" s="37" t="inlineStr">
        <is>
          <t>SUSTANTIVA</t>
        </is>
      </c>
      <c r="E20" s="34" t="inlineStr">
        <is>
          <t>Visita complementaria con acémila o RPA requerida</t>
        </is>
      </c>
    </row>
    <row r="21" ht="48" customHeight="1">
      <c r="A21" s="36" t="inlineStr">
        <is>
          <t>D-12</t>
        </is>
      </c>
      <c r="B21" s="36" t="inlineStr">
        <is>
          <t>F-DT-01</t>
        </is>
      </c>
      <c r="C21" s="36" t="inlineStr">
        <is>
          <t>Rango de pendiente no consignado en el campo de lista</t>
        </is>
      </c>
      <c r="D21" s="15" t="inlineStr">
        <is>
          <t>NO SUSTANTIVA</t>
        </is>
      </c>
      <c r="E21" s="36" t="inlineStr">
        <is>
          <t>Completar con la clase correspondiente</t>
        </is>
      </c>
    </row>
    <row r="22" ht="48" customHeight="1">
      <c r="A22" s="34" t="inlineStr">
        <is>
          <t>D-13</t>
        </is>
      </c>
      <c r="B22" s="34" t="inlineStr">
        <is>
          <t>F-DT-03</t>
        </is>
      </c>
      <c r="C22" s="34" t="inlineStr">
        <is>
          <t>Superficie de ecosistema sin valor</t>
        </is>
      </c>
      <c r="D22" s="15" t="inlineStr">
        <is>
          <t>NO SUSTANTIVA</t>
        </is>
      </c>
      <c r="E22" s="34" t="inlineStr">
        <is>
          <t>Completar por intersección con la capa MINAM</t>
        </is>
      </c>
    </row>
    <row r="23" ht="48" customHeight="1">
      <c r="A23" s="36" t="inlineStr">
        <is>
          <t>D-14</t>
        </is>
      </c>
      <c r="B23" s="36" t="inlineStr">
        <is>
          <t>F-DT-03</t>
        </is>
      </c>
      <c r="C23" s="36" t="inlineStr">
        <is>
          <t>El PALO BLANCO, especie cultural emblemática, permanece «Por determinar» y con solo 3 individuos registrados</t>
        </is>
      </c>
      <c r="D23" s="37" t="inlineStr">
        <is>
          <t>SUSTANTIVA</t>
        </is>
      </c>
      <c r="E23" s="36" t="inlineStr">
        <is>
          <t>Determinación botánica y evaluación poblacional: acciones de cierre PRIORITARIAS</t>
        </is>
      </c>
    </row>
    <row r="24" ht="48" customHeight="1">
      <c r="A24" s="34" t="inlineStr">
        <is>
          <t>D-15</t>
        </is>
      </c>
      <c r="B24" s="34" t="inlineStr">
        <is>
          <t>F-DT-03</t>
        </is>
      </c>
      <c r="C24" s="34" t="inlineStr">
        <is>
          <t>Solo 10 taxones registrados frente al mínimo de 15 exigido</t>
        </is>
      </c>
      <c r="D24" s="15" t="inlineStr">
        <is>
          <t>NO SUSTANTIVA</t>
        </is>
      </c>
      <c r="E24" s="34" t="inlineStr">
        <is>
          <t>Inventario a completar en la visita complementaria</t>
        </is>
      </c>
    </row>
    <row r="25" ht="48" customHeight="1">
      <c r="A25" s="36" t="inlineStr">
        <is>
          <t>D-16</t>
        </is>
      </c>
      <c r="B25" s="36" t="inlineStr">
        <is>
          <t>F-DT-04</t>
        </is>
      </c>
      <c r="C25" s="36" t="inlineStr">
        <is>
          <t>Densidad de cárcavas, carga ganadera y frecuencia de quemas por determinar</t>
        </is>
      </c>
      <c r="D25" s="15" t="inlineStr">
        <is>
          <t>NO SUSTANTIVA</t>
        </is>
      </c>
      <c r="E25" s="36" t="inlineStr">
        <is>
          <t>Cuantificación pendiente</t>
        </is>
      </c>
    </row>
    <row r="26" ht="48" customHeight="1">
      <c r="A26" s="34" t="inlineStr">
        <is>
          <t>D-17</t>
        </is>
      </c>
      <c r="B26" s="34" t="inlineStr">
        <is>
          <t>F-DT-04</t>
        </is>
      </c>
      <c r="C26" s="34" t="inlineStr">
        <is>
          <t>La tala para madera se califica FUERTE con &gt;50 años de antigüedad y 50% de extensión</t>
        </is>
      </c>
      <c r="D26" s="37" t="inlineStr">
        <is>
          <t>SUSTANTIVA</t>
        </is>
      </c>
      <c r="E26" s="34" t="inlineStr">
        <is>
          <t>Motor histórico de la degradación: eje del componente de gobernanza</t>
        </is>
      </c>
    </row>
    <row r="27" ht="48" customHeight="1">
      <c r="A27" s="36" t="inlineStr">
        <is>
          <t>D-18</t>
        </is>
      </c>
      <c r="B27" s="36" t="inlineStr">
        <is>
          <t>F-DS-01</t>
        </is>
      </c>
      <c r="C27" s="36" t="inlineStr">
        <is>
          <t>La ficha social consigna microcuenca C1076-Q9584 (valor heredado de plantilla)</t>
        </is>
      </c>
      <c r="D27" s="15" t="inlineStr">
        <is>
          <t>NO SUSTANTIVA</t>
        </is>
      </c>
      <c r="E27" s="36" t="inlineStr">
        <is>
          <t>Se conserva la microcuenca del catálogo C1076-Q9581</t>
        </is>
      </c>
    </row>
    <row r="28" ht="48" customHeight="1">
      <c r="A28" s="36" t="inlineStr">
        <is>
          <t>D-19</t>
        </is>
      </c>
      <c r="B28" s="36" t="inlineStr">
        <is>
          <t>Distribución areal MSAVI 2024</t>
        </is>
      </c>
      <c r="C28" s="36" t="inlineStr">
        <is>
          <t>La distribución por clase de MSAVI no figuraba en los insumos del entregable y se consignaba «Por determinar»; se incorpora la estadística zonal del ráster MSAVI clasificado (310 polígonos, 65.745 ha)</t>
        </is>
      </c>
      <c r="D28" s="15" t="inlineStr">
        <is>
          <t>CORREGIDO</t>
        </is>
      </c>
      <c r="E2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9" ht="48" customHeight="1">
      <c r="A29" s="36" t="inlineStr">
        <is>
          <t>D-20</t>
        </is>
      </c>
      <c r="B29" s="36" t="inlineStr">
        <is>
          <t>Superficie MSAVI vs. catálogo</t>
        </is>
      </c>
      <c r="C29" s="36" t="inlineStr">
        <is>
          <t>La superficie total clasificada por el MSAVI 2024 (65.745 ha) frente a la de catálogo V5/V6 (65.740 ha): desviación de +0.01 %</t>
        </is>
      </c>
      <c r="D29" s="15" t="inlineStr">
        <is>
          <t>CONFORME</t>
        </is>
      </c>
      <c r="E29" s="36" t="inlineStr">
        <is>
          <t>Sin acción: la segmentación del ráster valida la geometría del bloque dentro del ±2 %.</t>
        </is>
      </c>
    </row>
    <row r="30" ht="48" customHeight="1">
      <c r="A30" s="36" t="inlineStr">
        <is>
          <t>D-21</t>
        </is>
      </c>
      <c r="B30" s="36" t="inlineStr">
        <is>
          <t>Media MSAVI vs. clase DN dominante</t>
        </is>
      </c>
      <c r="C30" s="36" t="inlineStr">
        <is>
          <t>La media del bloque (0.2980) cae en la clase «DN 2 · 0.2650 - 0.3813 (Vigor muy bajo)»; la clase de mayor superficie es «DN 2 · 0.2650 - 0.3813 (Vigor muy bajo)», con 72.84 % del bloque. Superficie bajo el umbral 0.4976: 65.645 ha (99.85 %)</t>
        </is>
      </c>
      <c r="D30" s="15" t="inlineStr">
        <is>
          <t>CONFORME</t>
        </is>
      </c>
      <c r="E30" s="36" t="inlineStr">
        <is>
          <t>Sin acción: la media del bloque y la clase de mayor superficie coinciden.</t>
        </is>
      </c>
    </row>
    <row r="31"/>
    <row r="32">
      <c r="A32" s="16" t="inlineStr">
        <is>
          <t>RESUMEN</t>
        </is>
      </c>
      <c r="B32" s="17" t="inlineStr">
        <is>
          <t>21 verificaciones</t>
        </is>
      </c>
      <c r="C32" s="17" t="inlineStr">
        <is>
          <t>CONFORME: 6 · CORREGIDO: 2 · NO SUSTANTIVA: 7 · SUSTANTIVA: 6</t>
        </is>
      </c>
      <c r="D32" s="17" t="inlineStr"/>
      <c r="E32" s="17" t="inlineStr"/>
    </row>
    <row r="33"/>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4" s="42" t="n"/>
      <c r="C34" s="42" t="n"/>
      <c r="D34" s="42" t="n"/>
      <c r="E34" s="43" t="n"/>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M7B3 — IN Piura</dc:title>
  <dc:subject>Diagnóstico Territorial por bloque de intervención</dc:subject>
  <dcterms:created xsi:type="dcterms:W3CDTF">2026-09-08T03:39:53Z</dcterms:created>
  <dcterms:modified xsi:type="dcterms:W3CDTF">2026-09-10T00:28:33Z</dcterms:modified>
</cp:coreProperties>
</file>