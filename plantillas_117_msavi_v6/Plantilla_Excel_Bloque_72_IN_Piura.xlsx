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s>
  <borders count="7">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s>
  <cellStyleXfs count="1">
    <xf numFmtId="0" fontId="0" fillId="0" borderId="0"/>
  </cellStyleXfs>
  <cellXfs count="50">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72</t>
        </is>
      </c>
    </row>
    <row r="6" ht="24" customHeight="1">
      <c r="A6" s="4" t="inlineStr">
        <is>
          <t>Diagnóstico Territorial — Plantilla DT Campo Check Validada V5 | Sistema de referencia: UTM WGS 84 Zona 17S (EPSG:32717)</t>
        </is>
      </c>
    </row>
    <row r="7"/>
    <row r="8" ht="18" customHeight="1">
      <c r="A8" s="5" t="inlineStr">
        <is>
          <t>1. IDENTIFICACIÓN Y LOCALIZACIÓN</t>
        </is>
      </c>
    </row>
    <row r="9">
      <c r="A9" s="6" t="inlineStr">
        <is>
          <t>Código del bloque</t>
        </is>
      </c>
      <c r="B9" s="7" t="inlineStr">
        <is>
          <t>72</t>
        </is>
      </c>
      <c r="C9" s="6" t="inlineStr">
        <is>
          <t>Microcuenca (catálogo)</t>
        </is>
      </c>
      <c r="D9" s="7" t="inlineStr">
        <is>
          <t>C1076-Q9592</t>
        </is>
      </c>
      <c r="E9" s="8" t="n"/>
      <c r="F9" s="8" t="n"/>
    </row>
    <row r="10">
      <c r="A10" s="6" t="inlineStr">
        <is>
          <t>Zona de planificación</t>
        </is>
      </c>
      <c r="B10" s="7" t="inlineStr">
        <is>
          <t>Z13</t>
        </is>
      </c>
      <c r="C10" s="6" t="inlineStr">
        <is>
          <t>Microcuenca declarada en ficha DT</t>
        </is>
      </c>
      <c r="D10" s="7" t="inlineStr">
        <is>
          <t>C1076-Q9592</t>
        </is>
      </c>
      <c r="E10" s="8" t="n"/>
      <c r="F10" s="8" t="n"/>
    </row>
    <row r="11">
      <c r="A11" s="6" t="inlineStr">
        <is>
          <t>Departamento</t>
        </is>
      </c>
      <c r="B11" s="7" t="inlineStr">
        <is>
          <t>Piura</t>
        </is>
      </c>
      <c r="C11" s="6" t="inlineStr">
        <is>
          <t>Provincia</t>
        </is>
      </c>
      <c r="D11" s="7" t="inlineStr">
        <is>
          <t>Huancabamba</t>
        </is>
      </c>
      <c r="E11" s="8" t="n"/>
      <c r="F11" s="8" t="n"/>
    </row>
    <row r="12">
      <c r="A12" s="6" t="inlineStr">
        <is>
          <t>Distrito</t>
        </is>
      </c>
      <c r="B12" s="7" t="inlineStr">
        <is>
          <t>Huarmaca</t>
        </is>
      </c>
      <c r="C12" s="6" t="inlineStr">
        <is>
          <t>Capital distrital</t>
        </is>
      </c>
      <c r="D12" s="7" t="inlineStr">
        <is>
          <t>Huarmaca</t>
        </is>
      </c>
      <c r="E12" s="8" t="n"/>
      <c r="F12" s="8" t="n"/>
    </row>
    <row r="13">
      <c r="A13" s="6" t="inlineStr">
        <is>
          <t>Centro poblado asociado</t>
        </is>
      </c>
      <c r="B13" s="7" t="inlineStr">
        <is>
          <t>Ramón Castilla</t>
        </is>
      </c>
      <c r="C13" s="6" t="inlineStr">
        <is>
          <t>Comunidad campesina</t>
        </is>
      </c>
      <c r="D13" s="7" t="inlineStr">
        <is>
          <t>Por verificar</t>
        </is>
      </c>
      <c r="E13" s="8" t="n"/>
      <c r="F13" s="8" t="n"/>
    </row>
    <row r="14">
      <c r="A14" s="6" t="inlineStr">
        <is>
          <t>Superficie de catálogo (V5/V6), ha</t>
        </is>
      </c>
      <c r="B14" s="7" t="n">
        <v>12.4</v>
      </c>
      <c r="C14" s="6" t="inlineStr">
        <is>
          <t>Fuente de superficie</t>
        </is>
      </c>
      <c r="D14" s="7" t="inlineStr">
        <is>
          <t>Catálogo maestro Bloques V5/V6</t>
        </is>
      </c>
      <c r="E14" s="8" t="n"/>
      <c r="F14" s="8" t="n"/>
    </row>
    <row r="15">
      <c r="A15" s="6" t="inlineStr">
        <is>
          <t>Centroide UTM ESTE (m)</t>
        </is>
      </c>
      <c r="B15" s="7" t="n">
        <v>662236</v>
      </c>
      <c r="C15" s="6" t="inlineStr">
        <is>
          <t>Centroide UTM NORTE (m)</t>
        </is>
      </c>
      <c r="D15" s="7" t="n">
        <v>9391211</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1538</v>
      </c>
      <c r="C19" s="6" t="inlineStr">
        <is>
          <t>Altitud máxima (msnm)</t>
        </is>
      </c>
      <c r="D19" s="7" t="n">
        <v>1742</v>
      </c>
      <c r="E19" s="8" t="n"/>
      <c r="F19" s="8" t="n"/>
    </row>
    <row r="20">
      <c r="A20" s="6" t="inlineStr">
        <is>
          <t>Amplitud altitudinal (m)</t>
        </is>
      </c>
      <c r="B20" s="7" t="n">
        <v>204</v>
      </c>
      <c r="C20" s="6" t="inlineStr">
        <is>
          <t>Piso altitudinal dominante</t>
        </is>
      </c>
      <c r="D20" s="7" t="inlineStr">
        <is>
          <t>1500-2000 m (Quechua media)</t>
        </is>
      </c>
      <c r="E20" s="8" t="n"/>
      <c r="F20" s="8" t="n"/>
    </row>
    <row r="21">
      <c r="A21" s="6" t="inlineStr">
        <is>
          <t>Pendiente promedio (%)</t>
        </is>
      </c>
      <c r="B21" s="7" t="n">
        <v>28.25</v>
      </c>
      <c r="C21" s="6" t="inlineStr">
        <is>
          <t>Pendiente promedio (grados)</t>
        </is>
      </c>
      <c r="D21" s="7" t="n">
        <v>15.8</v>
      </c>
      <c r="E21" s="8" t="n"/>
      <c r="F21" s="8" t="n"/>
    </row>
    <row r="22">
      <c r="A22" s="6" t="inlineStr">
        <is>
          <t>Clase de pendiente equivalente</t>
        </is>
      </c>
      <c r="B22" s="7" t="inlineStr">
        <is>
          <t>25-50% (Mod. escarpado)</t>
        </is>
      </c>
      <c r="C22" s="6" t="inlineStr">
        <is>
          <t>Rango de pendiente declarado en campo</t>
        </is>
      </c>
      <c r="D22" s="7" t="inlineStr">
        <is>
          <t>25-50% (Mod. escarpado)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Suroeste</t>
        </is>
      </c>
      <c r="C24" s="6" t="inlineStr">
        <is>
          <t>Afloramientos rocosos</t>
        </is>
      </c>
      <c r="D24" s="7" t="inlineStr">
        <is>
          <t>Sí</t>
        </is>
      </c>
      <c r="E24" s="8" t="n"/>
      <c r="F24" s="8" t="n"/>
    </row>
    <row r="25">
      <c r="A25" s="6" t="inlineStr">
        <is>
          <t>Escarpes activos</t>
        </is>
      </c>
      <c r="B25" s="7" t="inlineStr">
        <is>
          <t>Sí</t>
        </is>
      </c>
      <c r="C25" s="6" t="inlineStr">
        <is>
          <t>Remociones en masa activas</t>
        </is>
      </c>
      <c r="D25" s="7" t="inlineStr">
        <is>
          <t>No</t>
        </is>
      </c>
      <c r="E25" s="8" t="n"/>
      <c r="F25" s="8" t="n"/>
    </row>
    <row r="26"/>
    <row r="27" ht="18" customHeight="1">
      <c r="A27" s="5" t="inlineStr">
        <is>
          <t>3. ÍNDICES DE VEGETACIÓN (SENTINEL-2)</t>
        </is>
      </c>
    </row>
    <row r="28">
      <c r="A28" s="6" t="inlineStr">
        <is>
          <t>MSAVI 2024 — media del bloque</t>
        </is>
      </c>
      <c r="B28" s="7" t="n">
        <v>0.5185</v>
      </c>
      <c r="C28" s="6" t="inlineStr">
        <is>
          <t>MSAVI 2024 — clase de la media</t>
        </is>
      </c>
      <c r="D28" s="7" t="inlineStr">
        <is>
          <t>0.4976 - 0.6139 (Vigor moderado)</t>
        </is>
      </c>
      <c r="E28" s="8" t="n"/>
      <c r="F28" s="8" t="n"/>
    </row>
    <row r="29">
      <c r="A29" s="6" t="inlineStr">
        <is>
          <t>Condición frente al umbral 0.4976</t>
        </is>
      </c>
      <c r="B29" s="7" t="inlineStr">
        <is>
          <t>Sobre umbral</t>
        </is>
      </c>
      <c r="C29" s="6" t="inlineStr">
        <is>
          <t>NDVI mediana 2025 — clase modal</t>
        </is>
      </c>
      <c r="D29" s="7" t="inlineStr">
        <is>
          <t>Vegetación alta (92.44 %)</t>
        </is>
      </c>
      <c r="E29" s="8" t="n"/>
      <c r="F29" s="8" t="n"/>
    </row>
    <row r="30">
      <c r="A30" s="6" t="inlineStr">
        <is>
          <t>Superficie clasificada NDVI 2025 (ha)</t>
        </is>
      </c>
      <c r="B30" s="7" t="n">
        <v>12.4</v>
      </c>
      <c r="C30" s="6" t="inlineStr">
        <is>
          <t>Desviación frente al catálogo (%)</t>
        </is>
      </c>
      <c r="D30" s="7" t="n">
        <v>0</v>
      </c>
      <c r="E30" s="8" t="n"/>
      <c r="F30" s="8" t="n"/>
    </row>
    <row r="31">
      <c r="A31" s="6" t="inlineStr">
        <is>
          <t>Superficie clasificada MSAVI 2024 (ha)</t>
        </is>
      </c>
      <c r="B31" s="38" t="n">
        <v>12.398</v>
      </c>
      <c r="C31" s="6" t="inlineStr">
        <is>
          <t>Desviación MSAVI frente al catálogo (%)</t>
        </is>
      </c>
      <c r="D31" s="39" t="n">
        <v>-0.01</v>
      </c>
      <c r="E31" s="8" t="n"/>
      <c r="F31" s="8" t="n"/>
    </row>
    <row r="32">
      <c r="A32" s="6" t="inlineStr">
        <is>
          <t>Superficie bajo umbral MSAVI 0.4976 (ha)</t>
        </is>
      </c>
      <c r="B32" s="38" t="n">
        <v>5.127</v>
      </c>
      <c r="C32" s="6" t="inlineStr">
        <is>
          <t>% del bloque bajo umbral (brecha espectral)</t>
        </is>
      </c>
      <c r="D32" s="39" t="n">
        <v>41.35</v>
      </c>
      <c r="E32" s="8" t="n"/>
      <c r="F32" s="8" t="n"/>
    </row>
    <row r="33">
      <c r="A33" s="6" t="inlineStr">
        <is>
          <t>Clase DN dominante (MSAVI 2024)</t>
        </is>
      </c>
      <c r="B33" s="7" t="inlineStr">
        <is>
          <t>DN 4 · 0.4976 - 0.6139 (Vigor moderado)</t>
        </is>
      </c>
      <c r="C33" s="6" t="inlineStr">
        <is>
          <t>N.° de polígonos MSAVI del bloque</t>
        </is>
      </c>
      <c r="D33" s="40" t="n">
        <v>48</v>
      </c>
      <c r="E33" s="8" t="n"/>
      <c r="F33" s="8" t="n"/>
    </row>
    <row r="34"/>
    <row r="35" ht="18" customHeight="1">
      <c r="A35" s="5" t="inlineStr">
        <is>
          <t>4. ECOSISTEMA Y ESTADO DE CONSERVACIÓN</t>
        </is>
      </c>
    </row>
    <row r="36">
      <c r="A36" s="6" t="inlineStr">
        <is>
          <t>Tipo de ecosistema (UP)</t>
        </is>
      </c>
      <c r="B36" s="7" t="inlineStr">
        <is>
          <t>Matorral Andino semiárido (lectura de campo; ver D-04)</t>
        </is>
      </c>
      <c r="C36" s="6" t="inlineStr">
        <is>
          <t>Superficie de ecosistema (ha)</t>
        </is>
      </c>
      <c r="D36" s="7" t="inlineStr">
        <is>
          <t>Por verificar — Reporte de Ecosistemas por Bloques V5 no disponible para el Bloque 72</t>
        </is>
      </c>
      <c r="E36" s="8" t="n"/>
      <c r="F36" s="8" t="n"/>
    </row>
    <row r="37">
      <c r="A37" s="6" t="inlineStr">
        <is>
          <t>Estado de conservación</t>
        </is>
      </c>
      <c r="B37" s="7" t="inlineStr">
        <is>
          <t>Medianamente alterado</t>
        </is>
      </c>
      <c r="C37" s="6" t="inlineStr">
        <is>
          <t>Uso actual dominante del suelo</t>
        </is>
      </c>
      <c r="D37" s="7" t="inlineStr">
        <is>
          <t>Uso mixto</t>
        </is>
      </c>
      <c r="E37" s="8" t="n"/>
      <c r="F37" s="8" t="n"/>
    </row>
    <row r="38">
      <c r="A38" s="6" t="inlineStr">
        <is>
          <t>Tipo de cobertura dominante</t>
        </is>
      </c>
      <c r="B38" s="7" t="inlineStr">
        <is>
          <t>Mixto / Mosaico</t>
        </is>
      </c>
      <c r="C38" s="6" t="inlineStr">
        <is>
          <t>Cobertura vegetal total — campo (%)</t>
        </is>
      </c>
      <c r="D38" s="7" t="n">
        <v>85</v>
      </c>
      <c r="E38" s="8" t="n"/>
      <c r="F38" s="8" t="n"/>
    </row>
    <row r="39">
      <c r="A39" s="6" t="inlineStr">
        <is>
          <t>Suelo desnudo — campo (%)</t>
        </is>
      </c>
      <c r="B39" s="7" t="n">
        <v>8</v>
      </c>
      <c r="C39" s="6" t="inlineStr">
        <is>
          <t>Regeneración natural</t>
        </is>
      </c>
      <c r="D39" s="7" t="inlineStr">
        <is>
          <t>No evaluable desde vuelo de dron</t>
        </is>
      </c>
      <c r="E39" s="8" t="n"/>
      <c r="F39" s="8" t="n"/>
    </row>
    <row r="40">
      <c r="A40" s="6" t="inlineStr">
        <is>
          <t>Nivel general de erosión</t>
        </is>
      </c>
      <c r="B40" s="7" t="inlineStr">
        <is>
          <t>Fuerte (cárcavas incipientes)</t>
        </is>
      </c>
      <c r="C40" s="6" t="inlineStr">
        <is>
          <t>N.° de cárcavas registradas</t>
        </is>
      </c>
      <c r="D40" s="7" t="n">
        <v>4</v>
      </c>
      <c r="E40" s="8" t="n"/>
      <c r="F40" s="8" t="n"/>
    </row>
    <row r="41">
      <c r="A41" s="6" t="inlineStr">
        <is>
          <t>Elenco florístico (n.° de taxones)</t>
        </is>
      </c>
      <c r="B41" s="7" t="n">
        <v>10</v>
      </c>
      <c r="C41" s="6" t="inlineStr">
        <is>
          <t>Estado sanitario</t>
        </is>
      </c>
      <c r="D41" s="7" t="inlineStr">
        <is>
          <t>Sano</t>
        </is>
      </c>
      <c r="E41" s="8" t="n"/>
      <c r="F41" s="8" t="n"/>
    </row>
    <row r="42"/>
    <row r="43" ht="18" customHeight="1">
      <c r="A43" s="5" t="inlineStr">
        <is>
          <t>5. RESPONSABLE Y MODALIDAD DE LA EVALUACIÓN</t>
        </is>
      </c>
    </row>
    <row r="44">
      <c r="A44" s="6" t="inlineStr">
        <is>
          <t>Responsable de la evaluación</t>
        </is>
      </c>
      <c r="B44" s="7" t="inlineStr">
        <is>
          <t>Ing. Héctor S. Cahuas Miller</t>
        </is>
      </c>
      <c r="C44" s="6" t="inlineStr">
        <is>
          <t>Fecha de evaluación</t>
        </is>
      </c>
      <c r="D44" s="7" t="inlineStr">
        <is>
          <t>2026-08-01</t>
        </is>
      </c>
      <c r="E44" s="8" t="n"/>
      <c r="F44" s="8" t="n"/>
    </row>
    <row r="45">
      <c r="A45" s="6" t="inlineStr">
        <is>
          <t>Hora de registro</t>
        </is>
      </c>
      <c r="B45" s="7" t="inlineStr">
        <is>
          <t>11:20 - 12:05 h (aprox.)</t>
        </is>
      </c>
      <c r="C45" s="6" t="inlineStr">
        <is>
          <t>Correlativo de ficha</t>
        </is>
      </c>
      <c r="D45" s="7" t="inlineStr">
        <is>
          <t>F-DT-01/B72-2026</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7" t="inlineStr">
        <is>
          <t>No aplica — verificación por vuelo de dron (sin parcela instalada)</t>
        </is>
      </c>
      <c r="E47" s="8" t="n"/>
      <c r="F47" s="8" t="n"/>
    </row>
    <row r="48">
      <c r="A48" s="6" t="inlineStr">
        <is>
          <t>Estaciones fotográficas georreferenciadas</t>
        </is>
      </c>
      <c r="B48" s="7" t="n">
        <v>0</v>
      </c>
      <c r="C48" s="6" t="inlineStr">
        <is>
          <t>Modalidad de acceso</t>
        </is>
      </c>
      <c r="D48" s="7" t="inlineStr">
        <is>
          <t>Vehicular + caminata &lt;30 min</t>
        </is>
      </c>
      <c r="E48" s="8" t="n"/>
      <c r="F48" s="8" t="n"/>
    </row>
    <row r="49"/>
    <row r="50" ht="18" customHeight="1">
      <c r="A50" s="5" t="inlineStr">
        <is>
          <t>6. SÍNTESIS PARA LA GESTIÓN DEL RIESGO EN CONTEXTO DE CAMBIO CLIMÁTICO</t>
        </is>
      </c>
    </row>
    <row r="51">
      <c r="A51" s="6" t="inlineStr">
        <is>
          <t>Causa subyacente principal</t>
        </is>
      </c>
      <c r="B51" s="7" t="inlineStr">
        <is>
          <t>Presión demográfica y dependencia de la agricultura de subsistencia en un caserío sin alternativas productivas</t>
        </is>
      </c>
      <c r="C51" s="6" t="inlineStr">
        <is>
          <t>Velocidad de degradación</t>
        </is>
      </c>
      <c r="D51" s="7" t="inlineStr">
        <is>
          <t>Moderada</t>
        </is>
      </c>
      <c r="E51" s="8" t="n"/>
      <c r="F51" s="8" t="n"/>
    </row>
    <row r="52">
      <c r="A52" s="6" t="inlineStr">
        <is>
          <t>Reversibilidad técnica</t>
        </is>
      </c>
      <c r="B52" s="7" t="inlineStr">
        <is>
          <t>Parcialmente reversible</t>
        </is>
      </c>
      <c r="C52" s="6" t="inlineStr">
        <is>
          <t>Urgencia de intervención</t>
        </is>
      </c>
      <c r="D52" s="7" t="inlineStr">
        <is>
          <t>Media</t>
        </is>
      </c>
      <c r="E52" s="8" t="n"/>
      <c r="F52" s="8" t="n"/>
    </row>
    <row r="53">
      <c r="A53" s="6" t="inlineStr">
        <is>
          <t>Urgencia de control de erosión</t>
        </is>
      </c>
      <c r="B53" s="7" t="inlineStr">
        <is>
          <t>Media</t>
        </is>
      </c>
      <c r="C53" s="6" t="inlineStr">
        <is>
          <t>Zona de recarga hídrica</t>
        </is>
      </c>
      <c r="D53" s="7" t="inlineStr">
        <is>
          <t>Sí</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1" t="n"/>
      <c r="C57" s="41" t="n"/>
      <c r="D57" s="41" t="n"/>
      <c r="E57" s="41" t="n"/>
      <c r="F57" s="42" t="n"/>
    </row>
  </sheetData>
  <mergeCells count="13">
    <mergeCell ref="A2:F2"/>
    <mergeCell ref="A3:F3"/>
    <mergeCell ref="A1:F1"/>
    <mergeCell ref="A5:F5"/>
    <mergeCell ref="A27:F27"/>
    <mergeCell ref="A8:F8"/>
    <mergeCell ref="A6:F6"/>
    <mergeCell ref="A50:F50"/>
    <mergeCell ref="A35:F35"/>
    <mergeCell ref="A18:F18"/>
    <mergeCell ref="A4:F4"/>
    <mergeCell ref="A43:F43"/>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0"/>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72</t>
        </is>
      </c>
    </row>
    <row r="6" ht="24" customHeight="1">
      <c r="A6" s="4" t="inlineStr">
        <is>
          <t>MSAVI 2024 y NDVI mediana 2025 (Sentinel-2, mosaico Piura) · Umbral de brecha del proyecto: MSAVI = 0.4976</t>
        </is>
      </c>
    </row>
    <row r="7"/>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 · DN 5</t>
        </is>
      </c>
      <c r="B10" s="18" t="n">
        <v>1.1946</v>
      </c>
      <c r="C10" s="19">
        <f>ROUND(B10/$B$15*100,2)</f>
        <v>9.64</v>
      </c>
      <c r="D10" s="11" t="inlineStr">
        <is>
          <t>Vigor alto</t>
        </is>
      </c>
      <c r="E10" s="11" t="inlineStr">
        <is>
          <t>Sobre umbral</t>
        </is>
      </c>
    </row>
    <row r="11">
      <c r="A11" s="12" t="inlineStr">
        <is>
          <t>0.4976 - 0.6139 · DN 4</t>
        </is>
      </c>
      <c r="B11" s="32" t="n">
        <v>6.0765</v>
      </c>
      <c r="C11" s="31">
        <f>ROUND(B11/$B$15*100,2)</f>
        <v>49.01</v>
      </c>
      <c r="D11" s="13" t="inlineStr">
        <is>
          <t>Vigor moderado</t>
        </is>
      </c>
      <c r="E11" s="13" t="inlineStr">
        <is>
          <t>Sobre umbral</t>
        </is>
      </c>
    </row>
    <row r="12">
      <c r="A12" s="7" t="inlineStr">
        <is>
          <t>0.3813 - 0.4976 · DN 3</t>
        </is>
      </c>
      <c r="B12" s="18" t="n">
        <v>5.0463</v>
      </c>
      <c r="C12" s="19">
        <f>ROUND(B12/$B$15*100,2)</f>
        <v>40.7</v>
      </c>
      <c r="D12" s="11" t="inlineStr">
        <is>
          <t>Vigor bajo</t>
        </is>
      </c>
      <c r="E12" s="11" t="inlineStr">
        <is>
          <t>BAJO umbral 0.4976</t>
        </is>
      </c>
    </row>
    <row r="13">
      <c r="A13" s="14" t="inlineStr">
        <is>
          <t>0.2650 - 0.3813 · DN 2</t>
        </is>
      </c>
      <c r="B13" s="20" t="n">
        <v>0.081</v>
      </c>
      <c r="C13" s="21">
        <f>ROUND(B13/$B$15*100,2)</f>
        <v>0.65</v>
      </c>
      <c r="D13" s="15" t="inlineStr">
        <is>
          <t>Vigor muy bajo</t>
        </is>
      </c>
      <c r="E13" s="15" t="inlineStr">
        <is>
          <t>BAJO umbral 0.4976</t>
        </is>
      </c>
    </row>
    <row r="14">
      <c r="A14" s="7" t="inlineStr">
        <is>
          <t>&lt;= 0.2650 · DN 1</t>
        </is>
      </c>
      <c r="B14" s="18" t="n">
        <v>0</v>
      </c>
      <c r="C14" s="19">
        <f>ROUND(B14/$B$15*100,2)</f>
        <v>0.0</v>
      </c>
      <c r="D14" s="11" t="inlineStr">
        <is>
          <t>Suelo desnudo / no vegetal</t>
        </is>
      </c>
      <c r="E14" s="11" t="inlineStr">
        <is>
          <t>BAJO umbral 0.4976</t>
        </is>
      </c>
    </row>
    <row r="15" ht="30" customHeight="1">
      <c r="A15" s="43" t="inlineStr">
        <is>
          <t>TOTAL CLASIFICADO MSAVI 2024</t>
        </is>
      </c>
      <c r="B15" s="44">
        <f>SUM(B10:B14)</f>
        <v>12.3984</v>
      </c>
      <c r="C15" s="45">
        <f>SUM(C10:C14)</f>
        <v>100.0</v>
      </c>
      <c r="D15" s="43" t="inlineStr">
        <is>
          <t>Suma de la distribución areal · 48 polígonos</t>
        </is>
      </c>
      <c r="E15" s="43" t="inlineStr">
        <is>
          <t>—</t>
        </is>
      </c>
    </row>
    <row r="16" ht="30" customHeight="1">
      <c r="A16" s="46" t="inlineStr">
        <is>
          <t>Superficie SOBRE umbral 0.4976 (ha)</t>
        </is>
      </c>
      <c r="B16" s="47">
        <f>SUM(B10:B11)</f>
        <v>7.2711</v>
      </c>
      <c r="C16" s="48">
        <f>ROUND(B16/B15*100,2)</f>
        <v>58.65</v>
      </c>
      <c r="D16" s="46" t="inlineStr">
        <is>
          <t>Vigor alto y moderado (DN 4 y DN 5)</t>
        </is>
      </c>
      <c r="E16" s="46" t="inlineStr">
        <is>
          <t>Sobre umbral 0.4976</t>
        </is>
      </c>
    </row>
    <row r="17" ht="30" customHeight="1">
      <c r="A17" s="46" t="inlineStr">
        <is>
          <t>Superficie BAJO umbral 0.4976 (ha) — brecha</t>
        </is>
      </c>
      <c r="B17" s="47">
        <f>SUM(B12:B14)</f>
        <v>5.1273</v>
      </c>
      <c r="C17" s="48">
        <f>ROUND(B17/B15*100,2)</f>
        <v>41.35</v>
      </c>
      <c r="D17" s="46" t="inlineStr">
        <is>
          <t>Vigor bajo, muy bajo y suelo desnudo (DN 1 a DN 3)</t>
        </is>
      </c>
      <c r="E17" s="46" t="inlineStr">
        <is>
          <t>Base para el indicador de brecha (R.M. N.° 00213-2024-MINAM)</t>
        </is>
      </c>
    </row>
    <row r="18" ht="30" customHeight="1">
      <c r="A18" s="46" t="inlineStr">
        <is>
          <t>Superficie de catálogo (V5/V6) — contraste MSAVI</t>
        </is>
      </c>
      <c r="B18" s="47" t="n">
        <v>12.4</v>
      </c>
      <c r="C18" s="49" t="inlineStr">
        <is>
          <t>—</t>
        </is>
      </c>
      <c r="D18" s="46" t="inlineStr">
        <is>
          <t>Desviación planimétrica frente al catálogo</t>
        </is>
      </c>
      <c r="E18" s="46" t="inlineStr">
        <is>
          <t>-0.01 %</t>
        </is>
      </c>
    </row>
    <row r="19">
      <c r="A19" s="16" t="inlineStr">
        <is>
          <t>MSAVI 2024 — MEDIA DEL BLOQUE</t>
        </is>
      </c>
      <c r="B19" s="17" t="n">
        <v>0.518477</v>
      </c>
      <c r="C19" s="17" t="inlineStr">
        <is>
          <t>—</t>
        </is>
      </c>
      <c r="D19" s="17" t="inlineStr">
        <is>
          <t>Vigor moderado · clase 0.4976 - 0.6139</t>
        </is>
      </c>
      <c r="E19" s="17" t="inlineStr">
        <is>
          <t>Sobre umbral</t>
        </is>
      </c>
    </row>
    <row r="20"/>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48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(0.5185) se conserva del catálogo maestro y es dato oficial; la fila resaltada indica la clase en la que cae dicha media. Los totales y porcentajes se calculan con fórmulas sobre las filas del cuadro.</t>
        </is>
      </c>
      <c r="B21" s="41" t="n"/>
      <c r="C21" s="41" t="n"/>
      <c r="D21" s="41" t="n"/>
      <c r="E21" s="42" t="n"/>
    </row>
    <row r="22"/>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11.4633</v>
      </c>
      <c r="C25" s="19" t="n">
        <v>92.44</v>
      </c>
      <c r="D25" s="11" t="inlineStr">
        <is>
          <t>Dosel continuo, matorral denso o mosaico agroforestal</t>
        </is>
      </c>
      <c r="E25" s="11" t="inlineStr"/>
    </row>
    <row r="26">
      <c r="A26" s="14" t="inlineStr">
        <is>
          <t>Vegetación mediana</t>
        </is>
      </c>
      <c r="B26" s="20" t="n">
        <v>0.9369</v>
      </c>
      <c r="C26" s="21" t="n">
        <v>7.56</v>
      </c>
      <c r="D26" s="15" t="inlineStr">
        <is>
          <t>Pastizal cultivado, matorral ralo, parcelas agrícolas</t>
        </is>
      </c>
      <c r="E26" s="15" t="inlineStr"/>
    </row>
    <row r="27">
      <c r="A27" s="16" t="inlineStr">
        <is>
          <t>TOTAL CLASIFICADO</t>
        </is>
      </c>
      <c r="B27" s="22">
        <f>SUM(B25:B26)</f>
        <v>12.4002</v>
      </c>
      <c r="C27" s="23">
        <f>SUM(C25:C26)</f>
        <v>100.0</v>
      </c>
      <c r="D27" s="17" t="inlineStr"/>
      <c r="E27" s="17" t="inlineStr"/>
    </row>
    <row r="28">
      <c r="A28" s="24" t="inlineStr">
        <is>
          <t>Superficie de catálogo (V5/V6)</t>
        </is>
      </c>
      <c r="B28" s="25" t="n">
        <v>12.4</v>
      </c>
      <c r="C28" s="25" t="inlineStr">
        <is>
          <t>—</t>
        </is>
      </c>
      <c r="D28" s="25" t="inlineStr">
        <is>
          <t>Desviación planimétrica frente al catálogo</t>
        </is>
      </c>
      <c r="E28" s="25" t="inlineStr">
        <is>
          <t>+0.00 %</t>
        </is>
      </c>
    </row>
    <row r="29"/>
    <row r="30" ht="108" customHeight="1">
      <c r="A30"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85 % frente a un 92.44 % del polígono clasificado como «Vegetación alta» por el NDVI 2025; la observación de campo corresponde a una parcela o recorrido puntual y no es estadísticamente representativa de las 12.400 ha del bloque.</t>
        </is>
      </c>
      <c r="B30" s="41" t="n"/>
      <c r="C30" s="41" t="n"/>
      <c r="D30" s="41" t="n"/>
      <c r="E30" s="42" t="n"/>
    </row>
  </sheetData>
  <mergeCells count="10">
    <mergeCell ref="A30:E30"/>
    <mergeCell ref="A21:E21"/>
    <mergeCell ref="A4:E4"/>
    <mergeCell ref="A2:E2"/>
    <mergeCell ref="A1:E1"/>
    <mergeCell ref="A23:E23"/>
    <mergeCell ref="A5:E5"/>
    <mergeCell ref="A8:E8"/>
    <mergeCell ref="A6:E6"/>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2"/>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72</t>
        </is>
      </c>
    </row>
    <row r="6" ht="24" customHeight="1">
      <c r="A6" s="4" t="inlineStr">
        <is>
          <t>Levantamiento del 2026-08-01 · Sistema de referencia UTM WGS 84 Zona 17S (EPSG:32717)</t>
        </is>
      </c>
    </row>
    <row r="7"/>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662236</v>
      </c>
      <c r="D10" s="26" t="n">
        <v>9391211</v>
      </c>
      <c r="E10" s="11" t="n">
        <v>0</v>
      </c>
      <c r="F10" s="11" t="inlineStr"/>
      <c r="G10" s="11" t="inlineStr">
        <is>
          <t>Coordenada consignada en F-DT-01</t>
        </is>
      </c>
    </row>
    <row r="11">
      <c r="A11" s="14" t="inlineStr">
        <is>
          <t>C-01</t>
        </is>
      </c>
      <c r="B11" s="15" t="inlineStr">
        <is>
          <t>Rasgo erosivo — Cárcava incipiente</t>
        </is>
      </c>
      <c r="C11" s="27" t="inlineStr">
        <is>
          <t>Por determinar</t>
        </is>
      </c>
      <c r="D11" s="27" t="inlineStr">
        <is>
          <t>Por determinar</t>
        </is>
      </c>
      <c r="E11" s="15" t="inlineStr"/>
      <c r="F11" s="15" t="inlineStr">
        <is>
          <t>Activa</t>
        </is>
      </c>
      <c r="G11" s="15" t="inlineStr">
        <is>
          <t>Caminos / huellas de ganado</t>
        </is>
      </c>
    </row>
    <row r="12">
      <c r="A12" s="7" t="inlineStr">
        <is>
          <t>C-02</t>
        </is>
      </c>
      <c r="B12" s="11" t="inlineStr">
        <is>
          <t>Rasgo erosivo — Cárcava somera (0.5-2 m)</t>
        </is>
      </c>
      <c r="C12" s="26" t="inlineStr">
        <is>
          <t>Por determinar</t>
        </is>
      </c>
      <c r="D12" s="26" t="inlineStr">
        <is>
          <t>Por determinar</t>
        </is>
      </c>
      <c r="E12" s="11" t="inlineStr"/>
      <c r="F12" s="11" t="inlineStr">
        <is>
          <t>Semi-activa</t>
        </is>
      </c>
      <c r="G12" s="11" t="inlineStr">
        <is>
          <t>Socavamiento de cauce</t>
        </is>
      </c>
    </row>
    <row r="13">
      <c r="A13" s="14" t="inlineStr">
        <is>
          <t>C-03</t>
        </is>
      </c>
      <c r="B13" s="15" t="inlineStr">
        <is>
          <t>Rasgo erosivo — Cárcava incipiente</t>
        </is>
      </c>
      <c r="C13" s="27" t="inlineStr">
        <is>
          <t>Por determinar</t>
        </is>
      </c>
      <c r="D13" s="27" t="inlineStr">
        <is>
          <t>Por determinar</t>
        </is>
      </c>
      <c r="E13" s="15" t="inlineStr"/>
      <c r="F13" s="15" t="inlineStr">
        <is>
          <t>Activa</t>
        </is>
      </c>
      <c r="G13" s="15" t="inlineStr">
        <is>
          <t>Concentración natural de escorrentía</t>
        </is>
      </c>
    </row>
    <row r="14">
      <c r="A14" s="7" t="inlineStr">
        <is>
          <t>C-04</t>
        </is>
      </c>
      <c r="B14" s="11" t="inlineStr">
        <is>
          <t>Rasgo erosivo — Surco (&lt;30 cm)</t>
        </is>
      </c>
      <c r="C14" s="26" t="inlineStr">
        <is>
          <t>Por determinar</t>
        </is>
      </c>
      <c r="D14" s="26" t="inlineStr">
        <is>
          <t>Por determinar</t>
        </is>
      </c>
      <c r="E14" s="11" t="inlineStr"/>
      <c r="F14" s="11" t="inlineStr">
        <is>
          <t>Activa</t>
        </is>
      </c>
      <c r="G14" s="11" t="inlineStr">
        <is>
          <t>Caminos / huellas de ganado</t>
        </is>
      </c>
    </row>
    <row r="15">
      <c r="A15" s="14" t="inlineStr">
        <is>
          <t>H-01</t>
        </is>
      </c>
      <c r="B15" s="15" t="inlineStr">
        <is>
          <t>Fuente de agua — Quebrada estacional</t>
        </is>
      </c>
      <c r="C15" s="27" t="inlineStr">
        <is>
          <t>Por determinar</t>
        </is>
      </c>
      <c r="D15" s="27" t="inlineStr">
        <is>
          <t>Por determinar</t>
        </is>
      </c>
      <c r="E15" s="15" t="inlineStr"/>
      <c r="F15" s="15" t="inlineStr">
        <is>
          <t>Estacional</t>
        </is>
      </c>
      <c r="G15" s="15" t="inlineStr">
        <is>
          <t>Quebrada tributaria</t>
        </is>
      </c>
    </row>
    <row r="16">
      <c r="A16" s="7" t="inlineStr">
        <is>
          <t>H-02</t>
        </is>
      </c>
      <c r="B16" s="11" t="inlineStr">
        <is>
          <t>Fuente de agua — Otro (zonas de humedad edáfica)</t>
        </is>
      </c>
      <c r="C16" s="26" t="inlineStr">
        <is>
          <t>Por determinar</t>
        </is>
      </c>
      <c r="D16" s="26" t="inlineStr">
        <is>
          <t>Por determinar</t>
        </is>
      </c>
      <c r="E16" s="11" t="inlineStr"/>
      <c r="F16" s="11" t="inlineStr">
        <is>
          <t>Permanente</t>
        </is>
      </c>
      <c r="G16" s="11" t="inlineStr">
        <is>
          <t>Zonas de humedad edáfica</t>
        </is>
      </c>
    </row>
    <row r="17">
      <c r="A17" s="16" t="inlineStr">
        <is>
          <t>TOTAL: 7 puntos</t>
        </is>
      </c>
      <c r="B17" s="17" t="inlineStr"/>
      <c r="C17" s="17" t="inlineStr"/>
      <c r="D17" s="17" t="inlineStr"/>
      <c r="E17" s="17" t="inlineStr"/>
      <c r="F17" s="17" t="inlineStr"/>
      <c r="G17" s="17" t="inlineStr"/>
    </row>
    <row r="18"/>
    <row r="19">
      <c r="A19" s="6" t="inlineStr">
        <is>
          <t>Centroide del bloque — UTM ESTE (m)</t>
        </is>
      </c>
      <c r="B19" s="7" t="n">
        <v>662236</v>
      </c>
      <c r="C19" s="6" t="inlineStr">
        <is>
          <t>Centroide del bloque — UTM NORTE (m)</t>
        </is>
      </c>
      <c r="D19" s="7" t="n">
        <v>9391211</v>
      </c>
      <c r="E19" s="8" t="n"/>
      <c r="F19" s="8" t="n"/>
      <c r="G19" s="8" t="n"/>
      <c r="H19" s="8" t="n"/>
    </row>
    <row r="20">
      <c r="A20" s="6" t="inlineStr">
        <is>
          <t>N.° de estaciones fotográficas declaradas</t>
        </is>
      </c>
      <c r="B20" s="7" t="n">
        <v>0</v>
      </c>
      <c r="C20" s="6" t="inlineStr">
        <is>
          <t>Estaciones dentro del polígono</t>
        </is>
      </c>
      <c r="D20" s="7" t="n">
        <v>0</v>
      </c>
      <c r="E20" s="8" t="n"/>
      <c r="F20" s="8" t="n"/>
      <c r="G20" s="8" t="n"/>
      <c r="H20" s="8" t="n"/>
    </row>
    <row r="21"/>
    <row r="22" ht="168" customHeight="1">
      <c r="A22"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PARÁMETROS DE GABINETE (DEM): rango altitudinal 1 538-1 742 msnm (amplitud 204 m); pendiente promedio 28.25%; área 12.398 ha; MSAVI 2024 medio 0.5185; microcuenca C1076-Q9592, Zona Z13; centroide (Bloques V4) 662 236 E · 9 391 211 N. MODALIDAD DE VERIFICACIÓN: VUELO DE DRON del 01-08-2026 (SIN RECORRIDO PEDESTRE INTERIOR). COMPLETITUD FÍSICA ESTIMADA &lt;10%. POR VERIFICAR: altitud GPS instrumental; nombre de la comunidad campesina; origen de las lineaciones subhorizontales tipo terraceta observadas en ladera (reptación vs. pisoteo de ganado vs. terraceo agrícola antiguo). D-01: el Bloque 72 NO figura en Centroides_Bloques.xls (catálogo restringido a bloques de código M); el centroide se toma de la tabla auxiliar «Bloques V4». D-05: LAS FOTOGRAFÍAS DE DRON CARECEN DE METADATOS EXIF/GPS, por lo que no es posible asignar cada fotograma al polígono ni georreferenciar rasgos; el panel fotográfico se trata como registro de SECTOR, no de punto.</t>
        </is>
      </c>
      <c r="B22" s="41" t="n"/>
      <c r="C22" s="41" t="n"/>
      <c r="D22" s="41" t="n"/>
      <c r="E22" s="41" t="n"/>
      <c r="F22" s="41" t="n"/>
      <c r="G22" s="42" t="n"/>
    </row>
  </sheetData>
  <mergeCells count="8">
    <mergeCell ref="A1:G1"/>
    <mergeCell ref="A8:G8"/>
    <mergeCell ref="A3:G3"/>
    <mergeCell ref="A6:G6"/>
    <mergeCell ref="A22:G22"/>
    <mergeCell ref="A4:G4"/>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6"/>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C1076-Q9592 — BLOQUE 72</t>
        </is>
      </c>
    </row>
    <row r="6" ht="24" customHeight="1">
      <c r="A6" s="4" t="inlineStr">
        <is>
          <t>Distrito de Huarmaca · Provincia de Huancabamba · Comparación de los bloques preliminares de intervención de la misma microcuenca</t>
        </is>
      </c>
    </row>
    <row r="7"/>
    <row r="8" ht="18" customHeight="1">
      <c r="A8" s="5" t="inlineStr">
        <is>
          <t>BLOQUES DE LA MICROCUENCA C1076-Q9592</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7" t="inlineStr">
        <is>
          <t>18</t>
        </is>
      </c>
      <c r="B10" s="28" t="n">
        <v>103.62</v>
      </c>
      <c r="C10" s="19" t="n">
        <v>21.54</v>
      </c>
      <c r="D10" s="11" t="inlineStr">
        <is>
          <t>1218 – 1904</t>
        </is>
      </c>
      <c r="E10" s="11" t="n">
        <v>686</v>
      </c>
      <c r="F10" s="11" t="n">
        <v>28.7</v>
      </c>
      <c r="G10" s="18" t="n">
        <v>0.6402</v>
      </c>
      <c r="H10" s="19" t="n">
        <v>96.64</v>
      </c>
      <c r="I10" s="19" t="n">
        <v>3</v>
      </c>
    </row>
    <row r="11">
      <c r="A11" s="14" t="inlineStr">
        <is>
          <t>19</t>
        </is>
      </c>
      <c r="B11" s="29" t="n">
        <v>82.09</v>
      </c>
      <c r="C11" s="21" t="n">
        <v>17.06</v>
      </c>
      <c r="D11" s="15" t="inlineStr">
        <is>
          <t>2064 – 2503</t>
        </is>
      </c>
      <c r="E11" s="15" t="n">
        <v>439</v>
      </c>
      <c r="F11" s="15" t="n">
        <v>31.01</v>
      </c>
      <c r="G11" s="20" t="n">
        <v>0.5372</v>
      </c>
      <c r="H11" s="21" t="n">
        <v>60.33</v>
      </c>
      <c r="I11" s="21" t="n">
        <v>42.63</v>
      </c>
    </row>
    <row r="12">
      <c r="A12" s="7" t="inlineStr">
        <is>
          <t>41</t>
        </is>
      </c>
      <c r="B12" s="28" t="n">
        <v>64.92</v>
      </c>
      <c r="C12" s="19" t="n">
        <v>13.49</v>
      </c>
      <c r="D12" s="11" t="inlineStr">
        <is>
          <t>1536 – 1818</t>
        </is>
      </c>
      <c r="E12" s="11" t="n">
        <v>282</v>
      </c>
      <c r="F12" s="11" t="n">
        <v>25.53</v>
      </c>
      <c r="G12" s="18" t="n">
        <v>0.5927</v>
      </c>
      <c r="H12" s="19" t="n">
        <v>98.02</v>
      </c>
      <c r="I12" s="19" t="n">
        <v>12.26</v>
      </c>
    </row>
    <row r="13">
      <c r="A13" s="14" t="inlineStr">
        <is>
          <t>73</t>
        </is>
      </c>
      <c r="B13" s="29" t="n">
        <v>54.29</v>
      </c>
      <c r="C13" s="21" t="n">
        <v>11.28</v>
      </c>
      <c r="D13" s="15" t="inlineStr">
        <is>
          <t>1845 – 2305</t>
        </is>
      </c>
      <c r="E13" s="15" t="n">
        <v>460</v>
      </c>
      <c r="F13" s="15" t="n">
        <v>36.34</v>
      </c>
      <c r="G13" s="20" t="n">
        <v>0.555</v>
      </c>
      <c r="H13" s="21" t="n">
        <v>88.8</v>
      </c>
      <c r="I13" s="21" t="n">
        <v>18.94</v>
      </c>
    </row>
    <row r="14">
      <c r="A14" s="7" t="inlineStr">
        <is>
          <t>31</t>
        </is>
      </c>
      <c r="B14" s="28" t="n">
        <v>47.58</v>
      </c>
      <c r="C14" s="19" t="n">
        <v>9.890000000000001</v>
      </c>
      <c r="D14" s="11" t="inlineStr">
        <is>
          <t>1741 – 2234</t>
        </is>
      </c>
      <c r="E14" s="11" t="n">
        <v>493</v>
      </c>
      <c r="F14" s="11" t="n">
        <v>27.08</v>
      </c>
      <c r="G14" s="18" t="n">
        <v>0.4358</v>
      </c>
      <c r="H14" s="19" t="n">
        <v>18.56</v>
      </c>
      <c r="I14" s="19" t="n">
        <v>78.42</v>
      </c>
    </row>
    <row r="15">
      <c r="A15" s="14" t="inlineStr">
        <is>
          <t>29</t>
        </is>
      </c>
      <c r="B15" s="29" t="n">
        <v>40.1</v>
      </c>
      <c r="C15" s="21" t="n">
        <v>8.33</v>
      </c>
      <c r="D15" s="15" t="inlineStr">
        <is>
          <t>2142 – 2391</t>
        </is>
      </c>
      <c r="E15" s="15" t="n">
        <v>249</v>
      </c>
      <c r="F15" s="15" t="n">
        <v>31.54</v>
      </c>
      <c r="G15" s="20" t="n">
        <v>0.5482</v>
      </c>
      <c r="H15" s="21" t="inlineStr">
        <is>
          <t>Por determinar</t>
        </is>
      </c>
      <c r="I15" s="15" t="inlineStr">
        <is>
          <t>s/d</t>
        </is>
      </c>
    </row>
    <row r="16">
      <c r="A16" s="7" t="inlineStr">
        <is>
          <t>70</t>
        </is>
      </c>
      <c r="B16" s="28" t="n">
        <v>22.39</v>
      </c>
      <c r="C16" s="19" t="n">
        <v>4.65</v>
      </c>
      <c r="D16" s="11" t="inlineStr">
        <is>
          <t>2326 – 2536</t>
        </is>
      </c>
      <c r="E16" s="11" t="n">
        <v>210</v>
      </c>
      <c r="F16" s="11" t="n">
        <v>23.2</v>
      </c>
      <c r="G16" s="18" t="n">
        <v>0.6223</v>
      </c>
      <c r="H16" s="19" t="n">
        <v>98.39</v>
      </c>
      <c r="I16" s="19" t="n">
        <v>4.87</v>
      </c>
    </row>
    <row r="17">
      <c r="A17" s="14" t="inlineStr">
        <is>
          <t>68</t>
        </is>
      </c>
      <c r="B17" s="29" t="n">
        <v>21.29</v>
      </c>
      <c r="C17" s="21" t="n">
        <v>4.42</v>
      </c>
      <c r="D17" s="15" t="inlineStr">
        <is>
          <t>2086 – 2374</t>
        </is>
      </c>
      <c r="E17" s="15" t="n">
        <v>288</v>
      </c>
      <c r="F17" s="15" t="n">
        <v>36.81</v>
      </c>
      <c r="G17" s="20" t="n">
        <v>0.483</v>
      </c>
      <c r="H17" s="21" t="inlineStr">
        <is>
          <t>Por determinar</t>
        </is>
      </c>
      <c r="I17" s="15" t="inlineStr">
        <is>
          <t>s/d</t>
        </is>
      </c>
    </row>
    <row r="18">
      <c r="A18" s="7" t="inlineStr">
        <is>
          <t>69</t>
        </is>
      </c>
      <c r="B18" s="28" t="n">
        <v>19.43</v>
      </c>
      <c r="C18" s="19" t="n">
        <v>4.04</v>
      </c>
      <c r="D18" s="11" t="inlineStr">
        <is>
          <t>1931 – 2205</t>
        </is>
      </c>
      <c r="E18" s="11" t="n">
        <v>274</v>
      </c>
      <c r="F18" s="11" t="n">
        <v>27.95</v>
      </c>
      <c r="G18" s="18" t="n">
        <v>0.4489</v>
      </c>
      <c r="H18" s="19" t="n">
        <v>22.92</v>
      </c>
      <c r="I18" s="19" t="n">
        <v>81.28</v>
      </c>
    </row>
    <row r="19">
      <c r="A19" s="14" t="inlineStr">
        <is>
          <t>53</t>
        </is>
      </c>
      <c r="B19" s="29" t="n">
        <v>13.06</v>
      </c>
      <c r="C19" s="21" t="n">
        <v>2.71</v>
      </c>
      <c r="D19" s="15" t="inlineStr">
        <is>
          <t>2235 – 2540</t>
        </is>
      </c>
      <c r="E19" s="15" t="n">
        <v>305</v>
      </c>
      <c r="F19" s="15" t="n">
        <v>26.89</v>
      </c>
      <c r="G19" s="20" t="n">
        <v>0.5963000000000001</v>
      </c>
      <c r="H19" s="21" t="n">
        <v>86.15000000000001</v>
      </c>
      <c r="I19" s="21" t="n">
        <v>12.45</v>
      </c>
    </row>
    <row r="20">
      <c r="A20" s="12" t="inlineStr">
        <is>
          <t>► 72</t>
        </is>
      </c>
      <c r="B20" s="30" t="n">
        <v>12.4</v>
      </c>
      <c r="C20" s="31" t="n">
        <v>2.58</v>
      </c>
      <c r="D20" s="13" t="inlineStr">
        <is>
          <t>1538 – 1742</t>
        </is>
      </c>
      <c r="E20" s="13" t="n">
        <v>204</v>
      </c>
      <c r="F20" s="13" t="n">
        <v>28.25</v>
      </c>
      <c r="G20" s="32" t="n">
        <v>0.5185</v>
      </c>
      <c r="H20" s="31" t="n">
        <v>92.44</v>
      </c>
      <c r="I20" s="31" t="n">
        <v>41.35</v>
      </c>
    </row>
    <row r="21">
      <c r="A21" s="16" t="inlineStr">
        <is>
          <t>TOTAL / PROMEDIO</t>
        </is>
      </c>
      <c r="B21" s="33">
        <f>SUM(B10:B20)</f>
        <v>481.17</v>
      </c>
      <c r="C21" s="23">
        <f>SUM(C10:C20)</f>
        <v>99.99</v>
      </c>
      <c r="D21" s="17" t="inlineStr">
        <is>
          <t>1218 – 2540</t>
        </is>
      </c>
      <c r="E21" s="17" t="inlineStr"/>
      <c r="F21" s="17">
        <f>ROUND(AVERAGE(F10:F20),2)</f>
        <v>29.39</v>
      </c>
      <c r="G21" s="22">
        <f>ROUND(AVERAGE(G10:G20),4)</f>
        <v>0.5435</v>
      </c>
      <c r="H21" s="23">
        <f>ROUND(AVERAGE(H10:H20),2)</f>
        <v>73.58</v>
      </c>
      <c r="I21" s="23">
        <f>ROUND(AVERAGE(I10:I20),2)</f>
        <v>32.8</v>
      </c>
    </row>
    <row r="22" ht="48" customHeight="1">
      <c r="A22" s="9" t="inlineStr">
        <is>
          <t>ALCANCE DE LOS PROMEDIOS. La fila TOTAL / PROMEDIO omite las celdas «Por determinar»: el promedio de VEGETACIÓN ALTA (NDVI 2025) se calcula sobre 9 de los 11 bloques; los 2 bloques restantes carecen de estadística zonal de NDVI. Los totales de ÁREA y % de microcuenca sí comprenden la totalidad de los 11 bloques. No se estima ningún valor ausente.</t>
        </is>
      </c>
      <c r="B22" s="41" t="n"/>
      <c r="C22" s="41" t="n"/>
      <c r="D22" s="41" t="n"/>
      <c r="E22" s="41" t="n"/>
      <c r="F22" s="41" t="n"/>
      <c r="G22" s="41" t="n"/>
      <c r="H22" s="42" t="n"/>
    </row>
    <row r="23"/>
    <row r="24" ht="84" customHeight="1">
      <c r="A24" s="9" t="inlineStr">
        <is>
          <t>LECTURA INTRAMICROCUENCA. El bloque 72 ocupa el puesto 11 de 11 por superficie dentro de la microcuenca C1076-Q9592 (2.58 % de las 481.17 ha preliminares de la microcuenca). Su pendiente promedio (28.25 %, clase «25-50% (Mod. escarpado)») es la 6.ª más baja de 11 y se sitúa por debajo del promedio de la microcuenca (29.39 %). Su MSAVI 2024 (0.5185) es el 8.º de 11 y queda por debajo del promedio local (0.5435). Amplitud altitudinal del bloque: 204 m (1538–1742 msnm). El cuadro conserva todos los bloques catalogados en la microcuenca, incluidos los descartados en el tamizaje, para referencia del conjunto. Los bloques sin ficha DT figuran con sus parámetros de gabinete. BRECHA ESPECTRAL. El 41.35 % de la superficie del bloque (5.127 ha de 12.398 ha) se sitúa bajo el umbral MSAVI 0.4976, por encima del promedio local de la microcuenca (32.80 %) calculado sobre los bloques con dato MSAVI disponible.</t>
        </is>
      </c>
      <c r="B24" s="41" t="n"/>
      <c r="C24" s="41" t="n"/>
      <c r="D24" s="41" t="n"/>
      <c r="E24" s="41" t="n"/>
      <c r="F24" s="41" t="n"/>
      <c r="G24" s="41" t="n"/>
      <c r="H24" s="42" t="n"/>
    </row>
    <row r="25"/>
    <row r="26" ht="60" customHeight="1">
      <c r="A26"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26" s="41" t="n"/>
      <c r="C26" s="41" t="n"/>
      <c r="D26" s="41" t="n"/>
      <c r="E26" s="41" t="n"/>
      <c r="F26" s="41" t="n"/>
      <c r="G26" s="41" t="n"/>
      <c r="H26" s="42" t="n"/>
    </row>
  </sheetData>
  <mergeCells count="10">
    <mergeCell ref="A1:I1"/>
    <mergeCell ref="A4:I4"/>
    <mergeCell ref="A3:I3"/>
    <mergeCell ref="A26:I26"/>
    <mergeCell ref="A24:I24"/>
    <mergeCell ref="A2:I2"/>
    <mergeCell ref="A5:I5"/>
    <mergeCell ref="A8:I8"/>
    <mergeCell ref="A6:I6"/>
    <mergeCell ref="A22:I2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1"/>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72</t>
        </is>
      </c>
    </row>
    <row r="6" ht="24" customHeight="1">
      <c r="A6" s="4" t="inlineStr">
        <is>
          <t>Discrepancias detectadas entre el registro de campo, los productos de gabinete y el catálogo maestro. Calificación: SUSTANTIVA / NO SUSTANTIVA / CORREGIDO / CONFORME.</t>
        </is>
      </c>
    </row>
    <row r="7"/>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4" t="inlineStr">
        <is>
          <t>D-01</t>
        </is>
      </c>
      <c r="B10" s="34" t="inlineStr">
        <is>
          <t>Código de microcuenca</t>
        </is>
      </c>
      <c r="C10" s="34" t="inlineStr">
        <is>
          <t>Ficha DT y catálogo maestro coinciden en «C1076-Q9592»</t>
        </is>
      </c>
      <c r="D10" s="35" t="inlineStr">
        <is>
          <t>CONFORME</t>
        </is>
      </c>
      <c r="E10" s="34" t="inlineStr">
        <is>
          <t>Sin acción.</t>
        </is>
      </c>
    </row>
    <row r="11" ht="48" customHeight="1">
      <c r="A11" s="36" t="inlineStr">
        <is>
          <t>D-02</t>
        </is>
      </c>
      <c r="B11" s="36" t="inlineStr">
        <is>
          <t>UTM del punto de muestreo</t>
        </is>
      </c>
      <c r="C11" s="36" t="inlineStr">
        <is>
          <t>El punto de muestreo declarado dista 0 m del centroide de catálogo, compatible con la extensión del bloque</t>
        </is>
      </c>
      <c r="D11" s="35" t="inlineStr">
        <is>
          <t>CONFORME</t>
        </is>
      </c>
      <c r="E11" s="36" t="inlineStr">
        <is>
          <t>Sin acción.</t>
        </is>
      </c>
    </row>
    <row r="12" ht="48" customHeight="1">
      <c r="A12" s="34" t="inlineStr">
        <is>
          <t>D-03</t>
        </is>
      </c>
      <c r="B12" s="34" t="inlineStr">
        <is>
          <t>Superficie del polígono</t>
        </is>
      </c>
      <c r="C12" s="34" t="inlineStr">
        <is>
          <t>La superficie clasificada por el NDVI 2025 (12.400 ha) coincide con la de catálogo (12.4 ha) dentro del ±2 % (+0.00 %)</t>
        </is>
      </c>
      <c r="D12" s="35" t="inlineStr">
        <is>
          <t>CONFORME</t>
        </is>
      </c>
      <c r="E12" s="34" t="inlineStr">
        <is>
          <t>Sin acción: la segmentación valida la geometría del bloque.</t>
        </is>
      </c>
    </row>
    <row r="13" ht="48" customHeight="1">
      <c r="A13" s="36" t="inlineStr">
        <is>
          <t>D-04</t>
        </is>
      </c>
      <c r="B13" s="36" t="inlineStr">
        <is>
          <t>Dimensiones del inventario de cárcavas</t>
        </is>
      </c>
      <c r="C13" s="36" t="inlineStr">
        <is>
          <t>Se registran 4 rasgos erosivos, pero longitud, profundidad y ancho no fueron medidos instrumentalmente</t>
        </is>
      </c>
      <c r="D13" s="13" t="inlineStr">
        <is>
          <t>NO SUSTANTIVA</t>
        </is>
      </c>
      <c r="E13" s="36" t="inlineStr">
        <is>
          <t>El conteo registrado no debe usarse para calcular densidad de cárcavas por hectárea. Pendiente de levantamiento con GPS submétrico.</t>
        </is>
      </c>
    </row>
    <row r="14" ht="48" customHeight="1">
      <c r="A14" s="34" t="inlineStr">
        <is>
          <t>D-05</t>
        </is>
      </c>
      <c r="B14" s="34" t="inlineStr">
        <is>
          <t>Elenco florístico</t>
        </is>
      </c>
      <c r="C14" s="34" t="inlineStr">
        <is>
          <t>La ficha registra 10 taxones, por debajo del mínimo de 15 que exige el formato V5</t>
        </is>
      </c>
      <c r="D14" s="37" t="inlineStr">
        <is>
          <t>SUSTANTIVA</t>
        </is>
      </c>
      <c r="E14" s="34" t="inlineStr">
        <is>
          <t>Registro florístico preliminar, sin colecta ni determinación botánica formal. Debe cerrarse con colecta botánica en la siguiente campaña.</t>
        </is>
      </c>
    </row>
    <row r="15" ht="48" customHeight="1">
      <c r="A15" s="36" t="inlineStr">
        <is>
          <t>D-06</t>
        </is>
      </c>
      <c r="B15" s="36" t="inlineStr">
        <is>
          <t>Representatividad del levantamiento</t>
        </is>
      </c>
      <c r="C15" s="36" t="inlineStr">
        <is>
          <t>Ninguna de las estaciones fotográficas georreferenciadas se localiza dentro del polígono del bloque</t>
        </is>
      </c>
      <c r="D15" s="37" t="inlineStr">
        <is>
          <t>SUSTANTIVA</t>
        </is>
      </c>
      <c r="E15" s="36" t="inlineStr">
        <is>
          <t>La verificación documenta el perímetro y la vista panorámica del bloque, no su interior. Los parámetros que exigen recorrido interno se consignan «Por determinar».</t>
        </is>
      </c>
    </row>
    <row r="16" ht="48" customHeight="1">
      <c r="A16" s="34" t="inlineStr">
        <is>
          <t>D-07</t>
        </is>
      </c>
      <c r="B16" s="34" t="inlineStr">
        <is>
          <t>Centro poblado asociado</t>
        </is>
      </c>
      <c r="C16" s="34" t="inlineStr">
        <is>
          <t>La ficha DT declara «Ramón Castilla»; el cruce INEI-Bloques V5 identifica 1 centro(s) poblado(s) en el bloque: RAMON CASTILLA</t>
        </is>
      </c>
      <c r="D16" s="13" t="inlineStr">
        <is>
          <t>NO SUSTANTIVA</t>
        </is>
      </c>
      <c r="E16" s="34" t="inlineStr">
        <is>
          <t>Se conserva el registro de campo como referencia y se adopta el listado INEI para el diagnóstico social y el cálculo de población beneficiaria.</t>
        </is>
      </c>
    </row>
    <row r="17" ht="48" customHeight="1">
      <c r="A17" s="36" t="inlineStr">
        <is>
          <t>D-08</t>
        </is>
      </c>
      <c r="B17" s="36" t="inlineStr">
        <is>
          <t>Peligro integrado (MCA-AHP)</t>
        </is>
      </c>
      <c r="C17" s="36" t="inlineStr">
        <is>
          <t>El nivel de peligro integrado no está disponible en los insumos de este entregable</t>
        </is>
      </c>
      <c r="D17" s="37" t="inlineStr">
        <is>
          <t>SUSTANTIVA</t>
        </is>
      </c>
      <c r="E17" s="36" t="inlineStr">
        <is>
          <t>Debe tomarse del modelamiento de mesolocalización (PMM + EPH + PGI ponderados por AHP) antes de fijar la prioridad definitiva de intervención del bloque.</t>
        </is>
      </c>
    </row>
    <row r="18" ht="48" customHeight="1">
      <c r="A18" s="34" t="inlineStr">
        <is>
          <t>D-09</t>
        </is>
      </c>
      <c r="B18" s="34" t="inlineStr">
        <is>
          <t>F-DT-01</t>
        </is>
      </c>
      <c r="C18" s="34" t="inlineStr">
        <is>
          <t>D-01: el Bloque 72 no figura en Centroides_Bloques.xls; el centroide se toma de la tabla auxiliar «Bloques V4»</t>
        </is>
      </c>
      <c r="D18" s="13" t="inlineStr">
        <is>
          <t>NO SUSTANTIVA</t>
        </is>
      </c>
      <c r="E18" s="34" t="inlineStr">
        <is>
          <t>Conciliar catálogos de centroides</t>
        </is>
      </c>
    </row>
    <row r="19" ht="48" customHeight="1">
      <c r="A19" s="36" t="inlineStr">
        <is>
          <t>D-10</t>
        </is>
      </c>
      <c r="B19" s="36" t="inlineStr">
        <is>
          <t>F-DT-01 / F-DT-02 / F-DT-05</t>
        </is>
      </c>
      <c r="C19" s="36" t="inlineStr">
        <is>
          <t>D-05: las fotografías de dron carecen de metadatos EXIF/GPS; no es posible georreferenciar rasgos ni fuentes</t>
        </is>
      </c>
      <c r="D19" s="37" t="inlineStr">
        <is>
          <t>SUSTANTIVA</t>
        </is>
      </c>
      <c r="E19" s="36" t="inlineStr">
        <is>
          <t>El panel fotográfico se trata como registro de SECTOR, no de punto; coordenadas en blanco</t>
        </is>
      </c>
    </row>
    <row r="20" ht="48" customHeight="1">
      <c r="A20" s="34" t="inlineStr">
        <is>
          <t>D-11</t>
        </is>
      </c>
      <c r="B20" s="34" t="inlineStr">
        <is>
          <t>F-DT-01</t>
        </is>
      </c>
      <c r="C20" s="34" t="inlineStr">
        <is>
          <t>Completitud física de la verificación estimada &lt;10% (solo vuelo de dron, sin recorrido pedestre interior)</t>
        </is>
      </c>
      <c r="D20" s="37" t="inlineStr">
        <is>
          <t>SUSTANTIVA</t>
        </is>
      </c>
      <c r="E20" s="34" t="inlineStr">
        <is>
          <t>Verificación pedestre pendiente</t>
        </is>
      </c>
    </row>
    <row r="21" ht="48" customHeight="1">
      <c r="A21" s="36" t="inlineStr">
        <is>
          <t>D-12</t>
        </is>
      </c>
      <c r="B21" s="36" t="inlineStr">
        <is>
          <t>F-DT-03</t>
        </is>
      </c>
      <c r="C21" s="36" t="inlineStr">
        <is>
          <t>D-04: ecosistema asignado «Matorral Andino semiárido» frente a Bes-cm en bloques vecinos de la misma microcuenca</t>
        </is>
      </c>
      <c r="D21" s="37" t="inlineStr">
        <is>
          <t>SUSTANTIVA</t>
        </is>
      </c>
      <c r="E21" s="36" t="inlineStr">
        <is>
          <t>Requiere consulta al Reporte de Ecosistemas V5 y decisión de la Subdirección</t>
        </is>
      </c>
    </row>
    <row r="22" ht="48" customHeight="1">
      <c r="A22" s="34" t="inlineStr">
        <is>
          <t>D-13</t>
        </is>
      </c>
      <c r="B22" s="34" t="inlineStr">
        <is>
          <t>F-DT-03</t>
        </is>
      </c>
      <c r="C22" s="34" t="inlineStr">
        <is>
          <t>D-02: divergencia MSAVI 2024 (0.5185, clases bajas) vs. NDVI mediana 2025 («Vegetación alta» casi total)</t>
        </is>
      </c>
      <c r="D22" s="37" t="inlineStr">
        <is>
          <t>SUSTANTIVA</t>
        </is>
      </c>
      <c r="E22" s="34" t="inlineStr">
        <is>
          <t>No interpretar como recuperación de cobertura sin verificación adicional</t>
        </is>
      </c>
    </row>
    <row r="23" ht="48" customHeight="1">
      <c r="A23" s="36" t="inlineStr">
        <is>
          <t>D-14</t>
        </is>
      </c>
      <c r="B23" s="36" t="inlineStr">
        <is>
          <t>F-DT-03</t>
        </is>
      </c>
      <c r="C23" s="36" t="inlineStr">
        <is>
          <t>Inventario florístico de 10 taxones frente al mínimo de 15</t>
        </is>
      </c>
      <c r="D23" s="37" t="inlineStr">
        <is>
          <t>SUSTANTIVA</t>
        </is>
      </c>
      <c r="E23" s="36" t="inlineStr">
        <is>
          <t>Colecta y determinación botánica pendientes</t>
        </is>
      </c>
    </row>
    <row r="24" ht="48" customHeight="1">
      <c r="A24" s="34" t="inlineStr">
        <is>
          <t>D-15</t>
        </is>
      </c>
      <c r="B24" s="34" t="inlineStr">
        <is>
          <t>F-DT-04</t>
        </is>
      </c>
      <c r="C24" s="34" t="inlineStr">
        <is>
          <t>D-06: viviendas, trocha carrozable y cultivos permanentes en el polígono y su entorno</t>
        </is>
      </c>
      <c r="D24" s="37" t="inlineStr">
        <is>
          <t>SUSTANTIVA</t>
        </is>
      </c>
      <c r="E24" s="34" t="inlineStr">
        <is>
          <t>Verificar exclusión de áreas agrícolas (Paso 5) y calificación como ecosistema degradado (R.M. 00213-2024-MINAM); posible redelimitación</t>
        </is>
      </c>
    </row>
    <row r="25" ht="48" customHeight="1">
      <c r="A25" s="34" t="inlineStr">
        <is>
          <t>D-16</t>
        </is>
      </c>
      <c r="B25" s="34" t="inlineStr">
        <is>
          <t>Distribución areal MSAVI 2024</t>
        </is>
      </c>
      <c r="C25" s="34" t="inlineStr">
        <is>
          <t>La distribución por clase de MSAVI no figuraba en los insumos del entregable y se consignaba «Por determinar»; se incorpora la estadística zonal del ráster MSAVI clasificado (48 polígonos, 12.398 ha)</t>
        </is>
      </c>
      <c r="D25" s="37" t="inlineStr">
        <is>
          <t>CORREGIDO</t>
        </is>
      </c>
      <c r="E25" s="34" t="inlineStr">
        <is>
          <t>Se completó la sección A de la hoja «Cobertura MSAVI-NDVI» con superficie y porcentaje por clase DN 1 a DN 5, totales, superficie sobre y bajo el umbral 0.4976 y contraste con el catálogo. La equivalencia DN → clase se sustenta en la nota metodológica de esa hoja (r = 0.9965, error absoluto medio = 0.0091, n = 117 bloques).</t>
        </is>
      </c>
    </row>
    <row r="26" ht="48" customHeight="1">
      <c r="A26" s="34" t="inlineStr">
        <is>
          <t>D-17</t>
        </is>
      </c>
      <c r="B26" s="34" t="inlineStr">
        <is>
          <t>Superficie MSAVI vs. catálogo</t>
        </is>
      </c>
      <c r="C26" s="34" t="inlineStr">
        <is>
          <t>La superficie total clasificada por el MSAVI 2024 (12.398 ha) frente a la de catálogo V5/V6 (12.400 ha): desviación de -0.01 %</t>
        </is>
      </c>
      <c r="D26" s="37" t="inlineStr">
        <is>
          <t>CONFORME</t>
        </is>
      </c>
      <c r="E26" s="34" t="inlineStr">
        <is>
          <t>Sin acción: la segmentación del ráster valida la geometría del bloque dentro del ±2 %.</t>
        </is>
      </c>
    </row>
    <row r="27" ht="48" customHeight="1">
      <c r="A27" s="34" t="inlineStr">
        <is>
          <t>D-18</t>
        </is>
      </c>
      <c r="B27" s="34" t="inlineStr">
        <is>
          <t>Media MSAVI vs. clase DN dominante</t>
        </is>
      </c>
      <c r="C27" s="34" t="inlineStr">
        <is>
          <t>La media del bloque (0.5185) cae en la clase «DN 4 · 0.4976 - 0.6139 (Vigor moderado)»; la clase de mayor superficie es «DN 4 · 0.4976 - 0.6139 (Vigor moderado)», con 49.01 % del bloque. Superficie bajo el umbral 0.4976: 5.127 ha (41.35 %)</t>
        </is>
      </c>
      <c r="D27" s="37" t="inlineStr">
        <is>
          <t>CONFORME</t>
        </is>
      </c>
      <c r="E27" s="34" t="inlineStr">
        <is>
          <t>Sin acción: la media del bloque y la clase de mayor superficie coinciden.</t>
        </is>
      </c>
    </row>
    <row r="28"/>
    <row r="29">
      <c r="A29" s="16" t="inlineStr">
        <is>
          <t>RESUMEN</t>
        </is>
      </c>
      <c r="B29" s="17" t="inlineStr">
        <is>
          <t>18 verificaciones</t>
        </is>
      </c>
      <c r="C29" s="17" t="inlineStr">
        <is>
          <t>CONFORME: 5 · CORREGIDO: 1 · NO SUSTANTIVA: 3 · SUSTANTIVA: 9</t>
        </is>
      </c>
      <c r="D29" s="17" t="inlineStr"/>
      <c r="E29" s="17" t="inlineStr"/>
    </row>
    <row r="30"/>
    <row r="31" ht="60" customHeight="1">
      <c r="A31"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c r="B31" s="41" t="n"/>
      <c r="C31" s="41" t="n"/>
      <c r="D31" s="41" t="n"/>
      <c r="E31" s="42" t="n"/>
    </row>
  </sheetData>
  <mergeCells count="8">
    <mergeCell ref="A4:E4"/>
    <mergeCell ref="A2:E2"/>
    <mergeCell ref="A8:E8"/>
    <mergeCell ref="A5:E5"/>
    <mergeCell ref="A1:E1"/>
    <mergeCell ref="A31:E31"/>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72 — IN Piura</dc:title>
  <dc:subject>Diagnóstico Territorial por bloque de intervención</dc:subject>
  <dcterms:created xsi:type="dcterms:W3CDTF">2026-09-08T03:39:57Z</dcterms:created>
  <dcterms:modified xsi:type="dcterms:W3CDTF">2026-09-10T00:28:29Z</dcterms:modified>
</cp:coreProperties>
</file>