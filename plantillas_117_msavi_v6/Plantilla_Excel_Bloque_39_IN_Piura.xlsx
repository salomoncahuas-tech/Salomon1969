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39</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La Cría</t>
        </is>
      </c>
      <c r="C13" s="6" t="inlineStr">
        <is>
          <t>Comunidad campesina</t>
        </is>
      </c>
      <c r="D13" s="7" t="inlineStr">
        <is>
          <t>Por verificar (consultar Dirección Regional Agraria Piura)</t>
        </is>
      </c>
      <c r="E13" s="8" t="n"/>
      <c r="F13" s="8" t="n"/>
    </row>
    <row r="14">
      <c r="A14" s="6" t="inlineStr">
        <is>
          <t>Superficie de catálogo (V5/V6), ha</t>
        </is>
      </c>
      <c r="B14" s="7" t="n">
        <v>68.56999999999999</v>
      </c>
      <c r="C14" s="6" t="inlineStr">
        <is>
          <t>Fuente de superficie</t>
        </is>
      </c>
      <c r="D14" s="7" t="inlineStr">
        <is>
          <t>Catálogo maestro Bloques V5/V6</t>
        </is>
      </c>
      <c r="E14" s="8" t="n"/>
      <c r="F14" s="8" t="n"/>
    </row>
    <row r="15">
      <c r="A15" s="6" t="inlineStr">
        <is>
          <t>Centroide UTM ESTE (m)</t>
        </is>
      </c>
      <c r="B15" s="7" t="n">
        <v>618523</v>
      </c>
      <c r="C15" s="6" t="inlineStr">
        <is>
          <t>Centroide UTM NORTE (m)</t>
        </is>
      </c>
      <c r="D15" s="7" t="n">
        <v>9448918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1729</v>
      </c>
      <c r="C19" s="6" t="inlineStr">
        <is>
          <t>Altitud máxima (msnm)</t>
        </is>
      </c>
      <c r="D19" s="7" t="n">
        <v>2088</v>
      </c>
      <c r="E19" s="8" t="n"/>
      <c r="F19" s="8" t="n"/>
    </row>
    <row r="20">
      <c r="A20" s="6" t="inlineStr">
        <is>
          <t>Amplitud altitudinal (m)</t>
        </is>
      </c>
      <c r="B20" s="7" t="n">
        <v>359</v>
      </c>
      <c r="C20" s="6" t="inlineStr">
        <is>
          <t>Piso altitudinal dominante</t>
        </is>
      </c>
      <c r="D20" s="7" t="inlineStr">
        <is>
          <t>1500-2000 m (Quechua media)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En blanco (no observable desde estación externa)</t>
        </is>
      </c>
      <c r="C25" s="6" t="inlineStr">
        <is>
          <t>Remociones en masa activas</t>
        </is>
      </c>
      <c r="D25" s="7" t="inlineStr">
        <is>
          <t>En blanco</t>
        </is>
      </c>
      <c r="E25" s="8" t="n"/>
      <c r="F25" s="8" t="n"/>
    </row>
    <row r="26"/>
    <row r="27" ht="18" customHeight="1">
      <c r="A27" s="5" t="inlineStr">
        <is>
          <t>3. ÍNDICES DE VEGETACIÓN (SENTINEL-2)</t>
        </is>
      </c>
    </row>
    <row r="28">
      <c r="A28" s="6" t="inlineStr">
        <is>
          <t>MSAVI 2024 — media del bloque</t>
        </is>
      </c>
      <c r="B28" s="7" t="n">
        <v>0.7016</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(94.05 %)</t>
        </is>
      </c>
      <c r="E29" s="8" t="n"/>
      <c r="F29" s="8" t="n"/>
    </row>
    <row r="30">
      <c r="A30" s="6" t="inlineStr">
        <is>
          <t>Superficie clasificada NDVI 2025 (ha)</t>
        </is>
      </c>
      <c r="B30" s="7" t="n">
        <v>68.59999999999999</v>
      </c>
      <c r="C30" s="6" t="inlineStr">
        <is>
          <t>Desviación frente al catálogo (%)</t>
        </is>
      </c>
      <c r="D30" s="7" t="n">
        <v>0.04</v>
      </c>
      <c r="E30" s="8" t="n"/>
      <c r="F30" s="8" t="n"/>
    </row>
    <row r="31">
      <c r="A31" s="6" t="inlineStr">
        <is>
          <t>Superficie clasificada MSAVI 2024 (ha)</t>
        </is>
      </c>
      <c r="B31" s="38" t="n">
        <v>68.569</v>
      </c>
      <c r="C31" s="6" t="inlineStr">
        <is>
          <t>Desviación MSAVI frente al catálogo (%)</t>
        </is>
      </c>
      <c r="D31" s="39" t="n">
        <v>0</v>
      </c>
      <c r="E31" s="8" t="n"/>
      <c r="F31" s="8" t="n"/>
    </row>
    <row r="32">
      <c r="A32" s="6" t="inlineStr">
        <is>
          <t>Superficie bajo umbral MSAVI 0.4976 (ha)</t>
        </is>
      </c>
      <c r="B32" s="38" t="n">
        <v>2.636</v>
      </c>
      <c r="C32" s="6" t="inlineStr">
        <is>
          <t>% del bloque bajo umbral (brecha espectral)</t>
        </is>
      </c>
      <c r="D32" s="39" t="n">
        <v>3.84</v>
      </c>
      <c r="E32" s="8" t="n"/>
      <c r="F32" s="8" t="n"/>
    </row>
    <row r="33">
      <c r="A33" s="6" t="inlineStr">
        <is>
          <t>Clase DN dominante (MSAVI 2024)</t>
        </is>
      </c>
      <c r="B33" s="7" t="inlineStr">
        <is>
          <t>DN 5 · &gt; 0.6139 (Vigor alto)</t>
        </is>
      </c>
      <c r="C33" s="6" t="inlineStr">
        <is>
          <t>N.° de polígonos MSAVI del bloque</t>
        </is>
      </c>
      <c r="D33" s="40" t="n">
        <v>184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68.57 ha</t>
        </is>
      </c>
      <c r="E36" s="8" t="n"/>
      <c r="F36" s="8" t="n"/>
    </row>
    <row r="37">
      <c r="A37" s="6" t="inlineStr">
        <is>
          <t>Estado de conservación</t>
        </is>
      </c>
      <c r="B37" s="7" t="inlineStr">
        <is>
          <t>Levemente alterado</t>
        </is>
      </c>
      <c r="C37" s="6" t="inlineStr">
        <is>
          <t>Uso actual dominante del suelo</t>
        </is>
      </c>
      <c r="D37" s="7" t="inlineStr">
        <is>
          <t>Forestal protección</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3</v>
      </c>
      <c r="C39" s="6" t="inlineStr">
        <is>
          <t>Regeneración natural</t>
        </is>
      </c>
      <c r="D39" s="7" t="inlineStr">
        <is>
          <t>En blanco (no observable desde estación externa)</t>
        </is>
      </c>
      <c r="E39" s="8" t="n"/>
      <c r="F39" s="8" t="n"/>
    </row>
    <row r="40">
      <c r="A40" s="6" t="inlineStr">
        <is>
          <t>Nivel general de erosión</t>
        </is>
      </c>
      <c r="B40" s="7" t="inlineStr">
        <is>
          <t>Ligera (laminar)</t>
        </is>
      </c>
      <c r="C40" s="6" t="inlineStr">
        <is>
          <t>N.° de cárcavas registradas</t>
        </is>
      </c>
      <c r="D40" s="7" t="inlineStr">
        <is>
          <t>No inventariado</t>
        </is>
      </c>
      <c r="E40" s="8" t="n"/>
      <c r="F40" s="8" t="n"/>
    </row>
    <row r="41">
      <c r="A41" s="6" t="inlineStr">
        <is>
          <t>Elenco florístico (n.° de taxones)</t>
        </is>
      </c>
      <c r="B41" s="7" t="n">
        <v>19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(ANIN / DIME – SESDI)</t>
        </is>
      </c>
      <c r="C44" s="6" t="inlineStr">
        <is>
          <t>Fecha de evaluación</t>
        </is>
      </c>
      <c r="D44" s="7" t="inlineStr">
        <is>
          <t>2026-06-24</t>
        </is>
      </c>
      <c r="E44" s="8" t="n"/>
      <c r="F44" s="8" t="n"/>
    </row>
    <row r="45">
      <c r="A45" s="6" t="inlineStr">
        <is>
          <t>Hora de registro</t>
        </is>
      </c>
      <c r="B45" s="7" t="inlineStr">
        <is>
          <t>11:49 h (24-06) · 15:39-16:42 h (04-09)</t>
        </is>
      </c>
      <c r="C45" s="6" t="inlineStr">
        <is>
          <t>Correlativo de ficha</t>
        </is>
      </c>
      <c r="D45" s="7" t="inlineStr">
        <is>
          <t>F-DT-01 / B39-2026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levantamiento externo</t>
        </is>
      </c>
      <c r="E47" s="8" t="n"/>
      <c r="F47" s="8" t="n"/>
    </row>
    <row r="48">
      <c r="A48" s="6" t="inlineStr">
        <is>
          <t>Estaciones fotográficas georreferenciadas</t>
        </is>
      </c>
      <c r="B48" s="7" t="n">
        <v>14</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familiar desde el C.P. La Cría hacia la cabecera de microcuenca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56.4189</v>
      </c>
      <c r="C10" s="31">
        <f>ROUND(B10/$B$15*100,2)</f>
        <v>82.28</v>
      </c>
      <c r="D10" s="12" t="inlineStr">
        <is>
          <t>Vigor alto</t>
        </is>
      </c>
      <c r="E10" s="12" t="inlineStr">
        <is>
          <t>Sobre umbral</t>
        </is>
      </c>
    </row>
    <row r="11">
      <c r="A11" s="13" t="inlineStr">
        <is>
          <t>0.4976 - 0.6139 · DN 4</t>
        </is>
      </c>
      <c r="B11" s="20" t="n">
        <v>9.5146</v>
      </c>
      <c r="C11" s="21">
        <f>ROUND(B11/$B$15*100,2)</f>
        <v>13.88</v>
      </c>
      <c r="D11" s="14" t="inlineStr">
        <is>
          <t>Vigor moderado</t>
        </is>
      </c>
      <c r="E11" s="14" t="inlineStr">
        <is>
          <t>Sobre umbral</t>
        </is>
      </c>
    </row>
    <row r="12">
      <c r="A12" s="7" t="inlineStr">
        <is>
          <t>0.3813 - 0.4976 · DN 3</t>
        </is>
      </c>
      <c r="B12" s="18" t="n">
        <v>2.6356</v>
      </c>
      <c r="C12" s="19">
        <f>ROUND(B12/$B$15*100,2)</f>
        <v>3.84</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68.5691</v>
      </c>
      <c r="C15" s="45">
        <f>SUM(C10:C14)</f>
        <v>100.0</v>
      </c>
      <c r="D15" s="43" t="inlineStr">
        <is>
          <t>Suma de la distribución areal · 184 polígonos</t>
        </is>
      </c>
      <c r="E15" s="43" t="inlineStr">
        <is>
          <t>—</t>
        </is>
      </c>
    </row>
    <row r="16" ht="30" customHeight="1">
      <c r="A16" s="46" t="inlineStr">
        <is>
          <t>Superficie SOBRE umbral 0.4976 (ha)</t>
        </is>
      </c>
      <c r="B16" s="47">
        <f>SUM(B10:B11)</f>
        <v>65.9335</v>
      </c>
      <c r="C16" s="48">
        <f>ROUND(B16/B15*100,2)</f>
        <v>96.16</v>
      </c>
      <c r="D16" s="46" t="inlineStr">
        <is>
          <t>Vigor alto y moderado (DN 4 y DN 5)</t>
        </is>
      </c>
      <c r="E16" s="46" t="inlineStr">
        <is>
          <t>Sobre umbral 0.4976</t>
        </is>
      </c>
    </row>
    <row r="17" ht="30" customHeight="1">
      <c r="A17" s="46" t="inlineStr">
        <is>
          <t>Superficie BAJO umbral 0.4976 (ha) — brecha</t>
        </is>
      </c>
      <c r="B17" s="47">
        <f>SUM(B12:B14)</f>
        <v>2.6356</v>
      </c>
      <c r="C17" s="48">
        <f>ROUND(B17/B15*100,2)</f>
        <v>3.84</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68.56999999999999</v>
      </c>
      <c r="C18" s="49" t="inlineStr">
        <is>
          <t>—</t>
        </is>
      </c>
      <c r="D18" s="46" t="inlineStr">
        <is>
          <t>Desviación planimétrica frente al catálogo</t>
        </is>
      </c>
      <c r="E18" s="46" t="inlineStr">
        <is>
          <t>+0.00 %</t>
        </is>
      </c>
    </row>
    <row r="19">
      <c r="A19" s="16" t="inlineStr">
        <is>
          <t>MSAVI 2024 — MEDIA DEL BLOQUE</t>
        </is>
      </c>
      <c r="B19" s="17" t="n">
        <v>0.701601</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(0.7016)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64.5172</v>
      </c>
      <c r="C25" s="19" t="n">
        <v>94.05</v>
      </c>
      <c r="D25" s="15" t="inlineStr">
        <is>
          <t>Dosel continuo, matorral denso o mosaico agroforestal</t>
        </is>
      </c>
      <c r="E25" s="15" t="inlineStr"/>
    </row>
    <row r="26">
      <c r="A26" s="13" t="inlineStr">
        <is>
          <t>Vegetación mediana</t>
        </is>
      </c>
      <c r="B26" s="20" t="n">
        <v>4.0607</v>
      </c>
      <c r="C26" s="21" t="n">
        <v>5.92</v>
      </c>
      <c r="D26" s="14" t="inlineStr">
        <is>
          <t>Pastizal cultivado, matorral ralo, parcelas agrícolas</t>
        </is>
      </c>
      <c r="E26" s="14" t="inlineStr"/>
    </row>
    <row r="27">
      <c r="A27" s="7" t="inlineStr">
        <is>
          <t>Vegetación ligera</t>
        </is>
      </c>
      <c r="B27" s="18" t="n">
        <v>0.0222</v>
      </c>
      <c r="C27" s="19" t="n">
        <v>0.03</v>
      </c>
      <c r="D27" s="15" t="inlineStr">
        <is>
          <t>Cobertura discontinua, suelo parcialmente expuesto</t>
        </is>
      </c>
      <c r="E27" s="15" t="inlineStr"/>
    </row>
    <row r="28">
      <c r="A28" s="16" t="inlineStr">
        <is>
          <t>TOTAL CLASIFICADO</t>
        </is>
      </c>
      <c r="B28" s="22">
        <f>SUM(B25:B27)</f>
        <v>68.6001</v>
      </c>
      <c r="C28" s="23">
        <f>SUM(C25:C27)</f>
        <v>100.0</v>
      </c>
      <c r="D28" s="17" t="inlineStr"/>
      <c r="E28" s="17" t="inlineStr"/>
    </row>
    <row r="29">
      <c r="A29" s="24" t="inlineStr">
        <is>
          <t>Superficie de catálogo (V5/V6)</t>
        </is>
      </c>
      <c r="B29" s="25" t="n">
        <v>68.56999999999999</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94.05 % del polígono clasificado como «Vegetación alta» por el NDVI 2025; la observación de campo corresponde a una parcela o recorrido puntual y no es estadísticamente representativa de las 68.570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39</t>
        </is>
      </c>
    </row>
    <row r="6" ht="24" customHeight="1">
      <c r="A6" s="4" t="inlineStr">
        <is>
          <t>Levantamiento del 2026-06-24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619274</v>
      </c>
      <c r="D10" s="26" t="n">
        <v>9449187</v>
      </c>
      <c r="E10" s="15" t="n">
        <v>797.7</v>
      </c>
      <c r="F10" s="15" t="inlineStr"/>
      <c r="G10" s="15" t="inlineStr">
        <is>
          <t>Coordenada consignada en F-DT-01</t>
        </is>
      </c>
    </row>
    <row r="11">
      <c r="A11" s="13" t="inlineStr">
        <is>
          <t>E-01</t>
        </is>
      </c>
      <c r="B11" s="14" t="inlineStr">
        <is>
          <t>Rasgo erosivo — Cárcava somera (externa al polígono)</t>
        </is>
      </c>
      <c r="C11" s="27" t="n">
        <v>619281</v>
      </c>
      <c r="D11" s="27" t="n">
        <v>9449192</v>
      </c>
      <c r="E11" s="14" t="n">
        <v>806</v>
      </c>
      <c r="F11" s="14" t="inlineStr">
        <is>
          <t>Activa</t>
        </is>
      </c>
      <c r="G11" s="14" t="inlineStr">
        <is>
          <t>Caminos / huellas de ganado</t>
        </is>
      </c>
    </row>
    <row r="12">
      <c r="A12" s="7" t="inlineStr">
        <is>
          <t>E-02</t>
        </is>
      </c>
      <c r="B12" s="15" t="inlineStr">
        <is>
          <t>Rasgo erosivo — Cárcava somera (externa al polígono)</t>
        </is>
      </c>
      <c r="C12" s="26" t="n">
        <v>619265</v>
      </c>
      <c r="D12" s="26" t="n">
        <v>9449198</v>
      </c>
      <c r="E12" s="15" t="n">
        <v>793.1</v>
      </c>
      <c r="F12" s="15" t="inlineStr">
        <is>
          <t>Activa</t>
        </is>
      </c>
      <c r="G12" s="15" t="inlineStr">
        <is>
          <t>Concentración natural de escorrentía</t>
        </is>
      </c>
    </row>
    <row r="13">
      <c r="A13" s="13" t="inlineStr">
        <is>
          <t>H-01</t>
        </is>
      </c>
      <c r="B13" s="14" t="inlineStr">
        <is>
          <t>Fuente de agua — Otro (caja de captación)</t>
        </is>
      </c>
      <c r="C13" s="27" t="n">
        <v>619278</v>
      </c>
      <c r="D13" s="27" t="n">
        <v>9449154</v>
      </c>
      <c r="E13" s="14" t="n">
        <v>791</v>
      </c>
      <c r="F13" s="14" t="inlineStr"/>
      <c r="G13" s="14" t="inlineStr">
        <is>
          <t>Captación poblacional en servicio</t>
        </is>
      </c>
    </row>
    <row r="14">
      <c r="A14" s="7" t="inlineStr">
        <is>
          <t>H-02</t>
        </is>
      </c>
      <c r="B14" s="15" t="inlineStr">
        <is>
          <t>Fuente de agua — Otro</t>
        </is>
      </c>
      <c r="C14" s="26" t="inlineStr"/>
      <c r="D14" s="26" t="inlineStr"/>
      <c r="E14" s="15" t="inlineStr"/>
      <c r="F14" s="15" t="inlineStr"/>
      <c r="G14" s="15" t="inlineStr">
        <is>
          <t>Curso de agua que delimita el bloque</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618523</v>
      </c>
      <c r="C17" s="6" t="inlineStr">
        <is>
          <t>Centroide del bloque — UTM NORTE (m)</t>
        </is>
      </c>
      <c r="D17" s="7" t="n">
        <v>9448918</v>
      </c>
      <c r="E17" s="8" t="n"/>
      <c r="F17" s="8" t="n"/>
      <c r="G17" s="8" t="n"/>
      <c r="H17" s="8" t="n"/>
    </row>
    <row r="18">
      <c r="A18" s="6" t="inlineStr">
        <is>
          <t>N.° de estaciones fotográficas declaradas</t>
        </is>
      </c>
      <c r="B18" s="7" t="n">
        <v>14</v>
      </c>
      <c r="C18" s="6" t="inlineStr">
        <is>
          <t>Estaciones dentro del polígono</t>
        </is>
      </c>
      <c r="D18" s="7" t="n">
        <v>0</v>
      </c>
      <c r="E18" s="8" t="n"/>
      <c r="F18" s="8" t="n"/>
      <c r="G18" s="8" t="n"/>
      <c r="H18" s="8" t="n"/>
    </row>
    <row r="19"/>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DE VERIFICACIÓN EXTERNA. NINGUNA de las 14 estaciones fotográficas se localiza dentro del polígono: 13 tomas se concentran en el C.P. La Cría, entre 419 y 458 m al este del límite y a 780-817 m del centroide; la restante a 729 m al NNO. La completitud del levantamiento interno es NULA (0%). Escarpes activos, reptación, deslizamientos y remociones se dejan EN BLANCO —no «No»— porque no son observables desde estaciones externas y un «No» afirmaría una ausencia verificada que este levantamiento no sostiene. Superficie planimétrica medida ≈67.56 ha (−1.5% frente al catálogo).</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39</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13</t>
        </is>
      </c>
      <c r="B10" s="28" t="n">
        <v>100.51</v>
      </c>
      <c r="C10" s="19" t="n">
        <v>40.73</v>
      </c>
      <c r="D10" s="15" t="inlineStr">
        <is>
          <t>1649 – 2267</t>
        </is>
      </c>
      <c r="E10" s="15" t="n">
        <v>618</v>
      </c>
      <c r="F10" s="15" t="n">
        <v>28.99</v>
      </c>
      <c r="G10" s="18" t="n">
        <v>0.6711</v>
      </c>
      <c r="H10" s="19" t="n">
        <v>89.59</v>
      </c>
      <c r="I10" s="19" t="n">
        <v>5.21</v>
      </c>
    </row>
    <row r="11">
      <c r="A11" s="13" t="inlineStr">
        <is>
          <t>56</t>
        </is>
      </c>
      <c r="B11" s="29" t="n">
        <v>77.67</v>
      </c>
      <c r="C11" s="21" t="n">
        <v>31.48</v>
      </c>
      <c r="D11" s="14" t="inlineStr">
        <is>
          <t>2342 – 2770</t>
        </is>
      </c>
      <c r="E11" s="14" t="n">
        <v>428</v>
      </c>
      <c r="F11" s="14" t="n">
        <v>27.27</v>
      </c>
      <c r="G11" s="20" t="n">
        <v>0.6777</v>
      </c>
      <c r="H11" s="21" t="n">
        <v>94.90000000000001</v>
      </c>
      <c r="I11" s="21" t="n">
        <v>2.8</v>
      </c>
    </row>
    <row r="12">
      <c r="A12" s="11" t="inlineStr">
        <is>
          <t>► 39</t>
        </is>
      </c>
      <c r="B12" s="30" t="n">
        <v>68.56999999999999</v>
      </c>
      <c r="C12" s="31" t="n">
        <v>27.79</v>
      </c>
      <c r="D12" s="12" t="inlineStr">
        <is>
          <t>1729 – 2088</t>
        </is>
      </c>
      <c r="E12" s="12" t="n">
        <v>359</v>
      </c>
      <c r="F12" s="12" t="n">
        <v>22.51</v>
      </c>
      <c r="G12" s="32" t="n">
        <v>0.7016</v>
      </c>
      <c r="H12" s="31" t="n">
        <v>94.05</v>
      </c>
      <c r="I12" s="31" t="n">
        <v>3.84</v>
      </c>
    </row>
    <row r="13">
      <c r="A13" s="16" t="inlineStr">
        <is>
          <t>TOTAL / PROMEDIO</t>
        </is>
      </c>
      <c r="B13" s="33">
        <f>SUM(B10:B12)</f>
        <v>246.75</v>
      </c>
      <c r="C13" s="23">
        <f>SUM(C10:C12)</f>
        <v>100.0</v>
      </c>
      <c r="D13" s="17" t="inlineStr">
        <is>
          <t>1649 – 2770</t>
        </is>
      </c>
      <c r="E13" s="17" t="inlineStr"/>
      <c r="F13" s="17">
        <f>ROUND(AVERAGE(F10:F12),2)</f>
        <v>26.26</v>
      </c>
      <c r="G13" s="22">
        <f>ROUND(AVERAGE(G10:G12),4)</f>
        <v>0.6835</v>
      </c>
      <c r="H13" s="23">
        <f>ROUND(AVERAGE(H10:H12),2)</f>
        <v>92.85</v>
      </c>
      <c r="I13" s="23">
        <f>ROUND(AVERAGE(I10:I12),2)</f>
        <v>3.95</v>
      </c>
    </row>
    <row r="14"/>
    <row r="15" ht="84" customHeight="1">
      <c r="A15" s="9" t="inlineStr">
        <is>
          <t>LECTURA INTRAMICROCUENCA. El bloque 39 ocupa el puesto 3 de 3 por superficie dentro de la microcuenca C1096-Q9564 (27.79 % de las 246.75 ha preliminares de la microcuenca). Su pendiente promedio (22.51 %, clase «15-25% (Fuert. inclinado)») es la 1.ª más baja de 3 y se sitúa por debajo del promedio de la microcuenca (26.26 %). Su MSAVI 2024 (0.7016) es el 1.º de 3 y queda por encima del promedio local (0.6835). Amplitud altitudinal del bloque: 359 m (1729–2088 msnm). El cuadro conserva todos los bloques catalogados en la microcuenca, incluidos los descartados en el tamizaje, para referencia del conjunto. Los bloques sin ficha DT figuran con sus parámetros de gabinete. BRECHA ESPECTRAL. El 3.84 % de la superficie del bloque (2.636 ha de 68.569 ha) se sitúa bajo el umbral MSAVI 0.4976, por debajo del promedio local de la microcuenca (3.95 %) calculado sobre los bloques con dato MSAVI disponible.</t>
        </is>
      </c>
      <c r="B15" s="41" t="n"/>
      <c r="C15" s="41" t="n"/>
      <c r="D15" s="41" t="n"/>
      <c r="E15" s="41" t="n"/>
      <c r="F15" s="41" t="n"/>
      <c r="G15" s="41" t="n"/>
      <c r="H15" s="42" t="n"/>
    </row>
    <row r="16"/>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1" t="n"/>
      <c r="C17" s="41" t="n"/>
      <c r="D17" s="41" t="n"/>
      <c r="E17" s="41" t="n"/>
      <c r="F17" s="41" t="n"/>
      <c r="G17" s="41" t="n"/>
      <c r="H17" s="42" t="n"/>
    </row>
  </sheetData>
  <mergeCells count="9">
    <mergeCell ref="A1:I1"/>
    <mergeCell ref="A4:I4"/>
    <mergeCell ref="A3:I3"/>
    <mergeCell ref="A15:I15"/>
    <mergeCell ref="A2:I2"/>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«C1096-Q9564»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798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(68.600 ha) coincide con la de catálogo (68.57 ha) dentro del ±2 % (+0.04 %)</t>
        </is>
      </c>
      <c r="D12" s="35" t="inlineStr">
        <is>
          <t>CONFORME</t>
        </is>
      </c>
      <c r="E12" s="34" t="inlineStr">
        <is>
          <t>Sin acción: la segmentación valida la geometría del bloque.</t>
        </is>
      </c>
    </row>
    <row r="13" ht="48" customHeight="1">
      <c r="A13" s="36" t="inlineStr">
        <is>
          <t>D-04</t>
        </is>
      </c>
      <c r="B13" s="36" t="inlineStr">
        <is>
          <t>Representatividad del levantamiento</t>
        </is>
      </c>
      <c r="C13" s="36" t="inlineStr">
        <is>
          <t>Ninguna de las estaciones fotográficas georreferenciadas se localiza dentro del polígono del bloque</t>
        </is>
      </c>
      <c r="D13" s="37" t="inlineStr">
        <is>
          <t>SUSTANTIVA</t>
        </is>
      </c>
      <c r="E13" s="36" t="inlineStr">
        <is>
          <t>La verificación documenta el perímetro y la vista panorámica del bloque, no su interior. Los parámetros que exigen recorrido interno se consignan «Por determinar».</t>
        </is>
      </c>
    </row>
    <row r="14" ht="48" customHeight="1">
      <c r="A14" s="34" t="inlineStr">
        <is>
          <t>D-05</t>
        </is>
      </c>
      <c r="B14" s="34" t="inlineStr">
        <is>
          <t>Centro poblado asociado</t>
        </is>
      </c>
      <c r="C14" s="34" t="inlineStr">
        <is>
          <t>La ficha DT declara «La Cría»; el cruce INEI-Bloques V5 identifica 1 centro(s) poblado(s) en el bloque: LA CRIA</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(184 polígonos, 68.569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(68.569 ha) frente a la de catálogo V5/V6 (68.570 ha): desviación de +0.00 %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(0.7016) cae en la clase «DN 5 · &gt; 0.6139 (Vigor alto)»; la clase de mayor superficie es «DN 5 · &gt; 0.6139 (Vigor alto)», con 82.28 % del bloque. Superficie bajo el umbral 0.4976: 2.636 ha (3.84 %)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6 · CORREGIDO: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39 — IN Piura</dc:title>
  <dc:subject>Diagnóstico Territorial por bloque de intervención</dc:subject>
  <dcterms:created xsi:type="dcterms:W3CDTF">2026-09-08T03:39:59Z</dcterms:created>
  <dcterms:modified xsi:type="dcterms:W3CDTF">2026-09-10T00:28:27Z</dcterms:modified>
</cp:coreProperties>
</file>