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64</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7" t="inlineStr">
        <is>
          <t>No consignada</t>
        </is>
      </c>
      <c r="E13" s="8" t="n"/>
      <c r="F13" s="8" t="n"/>
    </row>
    <row r="14">
      <c r="A14" s="6" t="inlineStr">
        <is>
          <t>Superficie de catálogo (V5/V6), ha</t>
        </is>
      </c>
      <c r="B14" s="7" t="n">
        <v>35.77</v>
      </c>
      <c r="C14" s="6" t="inlineStr">
        <is>
          <t>Fuente de superficie</t>
        </is>
      </c>
      <c r="D14" s="7" t="inlineStr">
        <is>
          <t>Catálogo maestro Bloques V5/V6</t>
        </is>
      </c>
      <c r="E14" s="8" t="n"/>
      <c r="F14" s="8" t="n"/>
    </row>
    <row r="15">
      <c r="A15" s="6" t="inlineStr">
        <is>
          <t>Centroide UTM ESTE (m)</t>
        </is>
      </c>
      <c r="B15" s="7" t="n">
        <v>657819</v>
      </c>
      <c r="C15" s="6" t="inlineStr">
        <is>
          <t>Centroide UTM NORTE (m)</t>
        </is>
      </c>
      <c r="D15" s="7" t="n">
        <v>9428541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2412</v>
      </c>
      <c r="C19" s="6" t="inlineStr">
        <is>
          <t>Altitud máxima (msnm)</t>
        </is>
      </c>
      <c r="D19" s="7" t="n">
        <v>2651</v>
      </c>
      <c r="E19" s="8" t="n"/>
      <c r="F19" s="8" t="n"/>
    </row>
    <row r="20">
      <c r="A20" s="6" t="inlineStr">
        <is>
          <t>Amplitud altitudinal (m)</t>
        </is>
      </c>
      <c r="B20" s="7" t="n">
        <v>239</v>
      </c>
      <c r="C20" s="6" t="inlineStr">
        <is>
          <t>Piso altitudinal dominante</t>
        </is>
      </c>
      <c r="D20" s="7" t="inlineStr">
        <is>
          <t>2500-3000 m (Suni)</t>
        </is>
      </c>
      <c r="E20" s="8" t="n"/>
      <c r="F20" s="8" t="n"/>
    </row>
    <row r="21">
      <c r="A21" s="6" t="inlineStr">
        <is>
          <t>Pendiente promedio (%)</t>
        </is>
      </c>
      <c r="B21" s="7" t="n">
        <v>28.18</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0.5254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(78.22 %)</t>
        </is>
      </c>
      <c r="E29" s="8" t="n"/>
      <c r="F29" s="8" t="n"/>
    </row>
    <row r="30">
      <c r="A30" s="6" t="inlineStr">
        <is>
          <t>Superficie clasificada NDVI 2025 (ha)</t>
        </is>
      </c>
      <c r="B30" s="7" t="n">
        <v>35.78</v>
      </c>
      <c r="C30" s="6" t="inlineStr">
        <is>
          <t>Desviación frente al catálogo (%)</t>
        </is>
      </c>
      <c r="D30" s="7" t="n">
        <v>0.03</v>
      </c>
      <c r="E30" s="8" t="n"/>
      <c r="F30" s="8" t="n"/>
    </row>
    <row r="31">
      <c r="A31" s="6" t="inlineStr">
        <is>
          <t>Superficie clasificada MSAVI 2024 (ha)</t>
        </is>
      </c>
      <c r="B31" s="38" t="n">
        <v>35.774</v>
      </c>
      <c r="C31" s="6" t="inlineStr">
        <is>
          <t>Desviación MSAVI frente al catálogo (%)</t>
        </is>
      </c>
      <c r="D31" s="39" t="n">
        <v>0.01</v>
      </c>
      <c r="E31" s="8" t="n"/>
      <c r="F31" s="8" t="n"/>
    </row>
    <row r="32">
      <c r="A32" s="6" t="inlineStr">
        <is>
          <t>Superficie bajo umbral MSAVI 0.4976 (ha)</t>
        </is>
      </c>
      <c r="B32" s="38" t="n">
        <v>14.84</v>
      </c>
      <c r="C32" s="6" t="inlineStr">
        <is>
          <t>% del bloque bajo umbral (brecha espectral)</t>
        </is>
      </c>
      <c r="D32" s="39" t="n">
        <v>41.48</v>
      </c>
      <c r="E32" s="8" t="n"/>
      <c r="F32" s="8" t="n"/>
    </row>
    <row r="33">
      <c r="A33" s="6" t="inlineStr">
        <is>
          <t>Clase DN dominante (MSAVI 2024)</t>
        </is>
      </c>
      <c r="B33" s="7" t="inlineStr">
        <is>
          <t>DN 4 · 0.4976 - 0.6139 (Vigor moderado)</t>
        </is>
      </c>
      <c r="C33" s="6" t="inlineStr">
        <is>
          <t>N.° de polígonos MSAVI del bloque</t>
        </is>
      </c>
      <c r="D33" s="40" t="n">
        <v>144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 ha de ecosistema remanente (de 35.77 ha del bloque)</t>
        </is>
      </c>
      <c r="E36" s="8" t="n"/>
      <c r="F36" s="8" t="n"/>
    </row>
    <row r="37">
      <c r="A37" s="6" t="inlineStr">
        <is>
          <t>Estado de conservación</t>
        </is>
      </c>
      <c r="B37" s="7" t="inlineStr">
        <is>
          <t>Alterado (intervención marcada)</t>
        </is>
      </c>
      <c r="C37" s="6" t="inlineStr">
        <is>
          <t>Uso actual dominante del suelo</t>
        </is>
      </c>
      <c r="D37" s="7" t="inlineStr">
        <is>
          <t>Agricultura de secano</t>
        </is>
      </c>
      <c r="E37" s="8" t="n"/>
      <c r="F37" s="8" t="n"/>
    </row>
    <row r="38">
      <c r="A38" s="6" t="inlineStr">
        <is>
          <t>Tipo de cobertura dominante</t>
        </is>
      </c>
      <c r="B38" s="7" t="inlineStr">
        <is>
          <t>Cultivo anual</t>
        </is>
      </c>
      <c r="C38" s="6" t="inlineStr">
        <is>
          <t>Cobertura vegetal total — campo (%)</t>
        </is>
      </c>
      <c r="D38" s="7" t="n">
        <v>17.5</v>
      </c>
      <c r="E38" s="8" t="n"/>
      <c r="F38" s="8" t="n"/>
    </row>
    <row r="39">
      <c r="A39" s="6" t="inlineStr">
        <is>
          <t>Suelo desnudo — campo (%)</t>
        </is>
      </c>
      <c r="B39" s="7" t="n">
        <v>5</v>
      </c>
      <c r="C39" s="6" t="inlineStr">
        <is>
          <t>Regeneración natural</t>
        </is>
      </c>
      <c r="D39" s="7" t="inlineStr">
        <is>
          <t>Ausente</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2026-08-11</t>
        </is>
      </c>
      <c r="E44" s="8" t="n"/>
      <c r="F44" s="8" t="n"/>
    </row>
    <row r="45">
      <c r="A45" s="6" t="inlineStr">
        <is>
          <t>Hora de registro</t>
        </is>
      </c>
      <c r="B45" s="7" t="inlineStr">
        <is>
          <t>11:54 h</t>
        </is>
      </c>
      <c r="C45" s="6" t="inlineStr">
        <is>
          <t>Correlativo de ficha</t>
        </is>
      </c>
      <c r="D45" s="7" t="inlineStr">
        <is>
          <t>F-DT-01/B64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Por determinar (no consignado en campo)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8.141400000000001</v>
      </c>
      <c r="C10" s="19">
        <f>ROUND(B10/$B$15*100,2)</f>
        <v>22.76</v>
      </c>
      <c r="D10" s="11" t="inlineStr">
        <is>
          <t>Vigor alto</t>
        </is>
      </c>
      <c r="E10" s="11" t="inlineStr">
        <is>
          <t>Sobre umbral</t>
        </is>
      </c>
    </row>
    <row r="11">
      <c r="A11" s="12" t="inlineStr">
        <is>
          <t>0.4976 - 0.6139 · DN 4</t>
        </is>
      </c>
      <c r="B11" s="32" t="n">
        <v>12.792</v>
      </c>
      <c r="C11" s="31">
        <f>ROUND(B11/$B$15*100,2)</f>
        <v>35.76</v>
      </c>
      <c r="D11" s="13" t="inlineStr">
        <is>
          <t>Vigor moderado</t>
        </is>
      </c>
      <c r="E11" s="13" t="inlineStr">
        <is>
          <t>Sobre umbral</t>
        </is>
      </c>
    </row>
    <row r="12">
      <c r="A12" s="7" t="inlineStr">
        <is>
          <t>0.3813 - 0.4976 · DN 3</t>
        </is>
      </c>
      <c r="B12" s="18" t="n">
        <v>12.1259</v>
      </c>
      <c r="C12" s="19">
        <f>ROUND(B12/$B$15*100,2)</f>
        <v>33.9</v>
      </c>
      <c r="D12" s="11" t="inlineStr">
        <is>
          <t>Vigor bajo</t>
        </is>
      </c>
      <c r="E12" s="11" t="inlineStr">
        <is>
          <t>BAJO umbral 0.4976</t>
        </is>
      </c>
    </row>
    <row r="13">
      <c r="A13" s="14" t="inlineStr">
        <is>
          <t>0.2650 - 0.3813 · DN 2</t>
        </is>
      </c>
      <c r="B13" s="20" t="n">
        <v>2.7145</v>
      </c>
      <c r="C13" s="21">
        <f>ROUND(B13/$B$15*100,2)</f>
        <v>7.59</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35.7738</v>
      </c>
      <c r="C15" s="45">
        <f>SUM(C10:C14)</f>
        <v>100.01</v>
      </c>
      <c r="D15" s="43" t="inlineStr">
        <is>
          <t>Suma de la distribución areal · 144 polígonos</t>
        </is>
      </c>
      <c r="E15" s="43" t="inlineStr">
        <is>
          <t>—</t>
        </is>
      </c>
    </row>
    <row r="16" ht="30" customHeight="1">
      <c r="A16" s="46" t="inlineStr">
        <is>
          <t>Superficie SOBRE umbral 0.4976 (ha)</t>
        </is>
      </c>
      <c r="B16" s="47">
        <f>SUM(B10:B11)</f>
        <v>20.9334</v>
      </c>
      <c r="C16" s="48">
        <f>ROUND(B16/B15*100,2)</f>
        <v>58.52</v>
      </c>
      <c r="D16" s="46" t="inlineStr">
        <is>
          <t>Vigor alto y moderado (DN 4 y DN 5)</t>
        </is>
      </c>
      <c r="E16" s="46" t="inlineStr">
        <is>
          <t>Sobre umbral 0.4976</t>
        </is>
      </c>
    </row>
    <row r="17" ht="30" customHeight="1">
      <c r="A17" s="46" t="inlineStr">
        <is>
          <t>Superficie BAJO umbral 0.4976 (ha) — brecha</t>
        </is>
      </c>
      <c r="B17" s="47">
        <f>SUM(B12:B14)</f>
        <v>14.8404</v>
      </c>
      <c r="C17" s="48">
        <f>ROUND(B17/B15*100,2)</f>
        <v>41.48</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35.77</v>
      </c>
      <c r="C18" s="49" t="inlineStr">
        <is>
          <t>—</t>
        </is>
      </c>
      <c r="D18" s="46" t="inlineStr">
        <is>
          <t>Desviación planimétrica frente al catálogo</t>
        </is>
      </c>
      <c r="E18" s="46" t="inlineStr">
        <is>
          <t>+0.01 %</t>
        </is>
      </c>
    </row>
    <row r="19">
      <c r="A19" s="16" t="inlineStr">
        <is>
          <t>MSAVI 2024 — MEDIA DEL BLOQUE</t>
        </is>
      </c>
      <c r="B19" s="17" t="n">
        <v>0.525448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144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(0.5254)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27.9881</v>
      </c>
      <c r="C25" s="19" t="n">
        <v>78.22</v>
      </c>
      <c r="D25" s="11" t="inlineStr">
        <is>
          <t>Dosel continuo, matorral denso o mosaico agroforestal</t>
        </is>
      </c>
      <c r="E25" s="11" t="inlineStr"/>
    </row>
    <row r="26">
      <c r="A26" s="14" t="inlineStr">
        <is>
          <t>Vegetación mediana</t>
        </is>
      </c>
      <c r="B26" s="20" t="n">
        <v>7.6043</v>
      </c>
      <c r="C26" s="21" t="n">
        <v>21.25</v>
      </c>
      <c r="D26" s="15" t="inlineStr">
        <is>
          <t>Pastizal cultivado, matorral ralo, parcelas agrícolas</t>
        </is>
      </c>
      <c r="E26" s="15" t="inlineStr"/>
    </row>
    <row r="27">
      <c r="A27" s="7" t="inlineStr">
        <is>
          <t>Vegetación ligera</t>
        </is>
      </c>
      <c r="B27" s="18" t="n">
        <v>0.188</v>
      </c>
      <c r="C27" s="19" t="n">
        <v>0.53</v>
      </c>
      <c r="D27" s="11" t="inlineStr">
        <is>
          <t>Cobertura discontinua, suelo parcialmente expuesto</t>
        </is>
      </c>
      <c r="E27" s="11" t="inlineStr"/>
    </row>
    <row r="28">
      <c r="A28" s="16" t="inlineStr">
        <is>
          <t>TOTAL CLASIFICADO</t>
        </is>
      </c>
      <c r="B28" s="22">
        <f>SUM(B25:B27)</f>
        <v>35.7804</v>
      </c>
      <c r="C28" s="23">
        <f>SUM(C25:C27)</f>
        <v>100.0</v>
      </c>
      <c r="D28" s="17" t="inlineStr"/>
      <c r="E28" s="17" t="inlineStr"/>
    </row>
    <row r="29">
      <c r="A29" s="24" t="inlineStr">
        <is>
          <t>Superficie de catálogo (V5/V6)</t>
        </is>
      </c>
      <c r="B29" s="25" t="n">
        <v>35.77</v>
      </c>
      <c r="C29" s="25" t="inlineStr">
        <is>
          <t>—</t>
        </is>
      </c>
      <c r="D29" s="25" t="inlineStr">
        <is>
          <t>Desviación planimétrica frente al catálogo</t>
        </is>
      </c>
      <c r="E29" s="25" t="inlineStr">
        <is>
          <t>+0.03 %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17.5 % frente a un 78.22 % del polígono clasificado como «Vegetación alta» por el NDVI 2025; la observación de campo corresponde a una parcela o recorrido puntual y no es estadísticamente representativa de las 35.770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64</t>
        </is>
      </c>
    </row>
    <row r="6" ht="24" customHeight="1">
      <c r="A6" s="4" t="inlineStr">
        <is>
          <t>Levantamiento del 2026-08-11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657816</v>
      </c>
      <c r="D10" s="26" t="n">
        <v>9428952</v>
      </c>
      <c r="E10" s="11" t="n">
        <v>411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Quebrada Q9591, colectora</t>
        </is>
      </c>
    </row>
    <row r="12">
      <c r="A12" s="16" t="inlineStr">
        <is>
          <t>TOTAL: 2 puntos</t>
        </is>
      </c>
      <c r="B12" s="17" t="inlineStr"/>
      <c r="C12" s="17" t="inlineStr"/>
      <c r="D12" s="17" t="inlineStr"/>
      <c r="E12" s="17" t="inlineStr"/>
      <c r="F12" s="17" t="inlineStr"/>
      <c r="G12" s="17" t="inlineStr"/>
    </row>
    <row r="13"/>
    <row r="14">
      <c r="A14" s="6" t="inlineStr">
        <is>
          <t>Centroide del bloque — UTM ESTE (m)</t>
        </is>
      </c>
      <c r="B14" s="7" t="n">
        <v>657819</v>
      </c>
      <c r="C14" s="6" t="inlineStr">
        <is>
          <t>Centroide del bloque — UTM NORTE (m)</t>
        </is>
      </c>
      <c r="D14" s="7" t="n">
        <v>9428541</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6"/>
    <row r="17" ht="16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inferior al 60%, que se incrementa al ascender. Afloramientos rocosos con piedras pequeñas a medianas dispersas. La ladera es empleada para siembra de maíz y papa; en el área cercana existen rodales de plantaciones de Pinus patula. El suelo presenta erosión eólica. Dominancia de pajonal y especies achaparradas. Se desarrollan actividades de pastoreo de ganado vacuno y existe un cerco de alambre. En áreas próximas hay rodales remanentes de Polylepis y evidencia de deslizamientos. NOTA DE GABINETE (SESDI): la ficha consigna «altitud de 3 000 msnm aprox.» y una altitud GPS de 2 669 msnm, mientras el MDE sitúa el bloque entre 2 412 y 2 651 msnm y la descripción del paisaje entre 2 400 y 2 600 msnm. EL PUNTO DE MUESTREO (657 816 E / 9 428 952 N) SE LOCALIZA 146 m AL NORTE DEL LÍMITE DEL POLÍGONO y a 411 m del centroide catastral: la caracterización de campo debe considerarse de ENTORNO INMEDIATO y no de interior del bloque (D-01).</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64</t>
        </is>
      </c>
    </row>
    <row r="6" ht="24" customHeight="1">
      <c r="A6" s="4" t="inlineStr">
        <is>
          <t>Distrito de Huancabamba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1" t="inlineStr">
        <is>
          <t>1171 – 1769</t>
        </is>
      </c>
      <c r="E10" s="11" t="n">
        <v>598</v>
      </c>
      <c r="F10" s="11" t="n">
        <v>31.55</v>
      </c>
      <c r="G10" s="18" t="n">
        <v>0.6403</v>
      </c>
      <c r="H10" s="19" t="n">
        <v>94.08</v>
      </c>
      <c r="I10" s="19" t="n">
        <v>8.84</v>
      </c>
    </row>
    <row r="11">
      <c r="A11" s="14" t="inlineStr">
        <is>
          <t>M30B5</t>
        </is>
      </c>
      <c r="B11" s="29" t="n">
        <v>90.90000000000001</v>
      </c>
      <c r="C11" s="21" t="n">
        <v>16.46</v>
      </c>
      <c r="D11" s="15" t="inlineStr">
        <is>
          <t>1782 – 2307</t>
        </is>
      </c>
      <c r="E11" s="15" t="n">
        <v>525</v>
      </c>
      <c r="F11" s="15" t="n">
        <v>21.23</v>
      </c>
      <c r="G11" s="20" t="n">
        <v>0.5564</v>
      </c>
      <c r="H11" s="21" t="n">
        <v>79.45999999999999</v>
      </c>
      <c r="I11" s="21" t="n">
        <v>33.03</v>
      </c>
    </row>
    <row r="12">
      <c r="A12" s="7" t="inlineStr">
        <is>
          <t>21</t>
        </is>
      </c>
      <c r="B12" s="28" t="n">
        <v>84.23</v>
      </c>
      <c r="C12" s="19" t="n">
        <v>15.25</v>
      </c>
      <c r="D12" s="11" t="inlineStr">
        <is>
          <t>1353 – 2004</t>
        </is>
      </c>
      <c r="E12" s="11" t="n">
        <v>651</v>
      </c>
      <c r="F12" s="11" t="n">
        <v>31.71</v>
      </c>
      <c r="G12" s="18" t="n">
        <v>0.6201</v>
      </c>
      <c r="H12" s="19" t="n">
        <v>89.39</v>
      </c>
      <c r="I12" s="19" t="n">
        <v>5.17</v>
      </c>
    </row>
    <row r="13">
      <c r="A13" s="14" t="inlineStr">
        <is>
          <t>28</t>
        </is>
      </c>
      <c r="B13" s="29" t="n">
        <v>52.97</v>
      </c>
      <c r="C13" s="21" t="n">
        <v>9.59</v>
      </c>
      <c r="D13" s="15" t="inlineStr">
        <is>
          <t>1462 – 1856</t>
        </is>
      </c>
      <c r="E13" s="15" t="n">
        <v>394</v>
      </c>
      <c r="F13" s="15" t="n">
        <v>30.36</v>
      </c>
      <c r="G13" s="20" t="n">
        <v>0.6394</v>
      </c>
      <c r="H13" s="21" t="n">
        <v>96.64</v>
      </c>
      <c r="I13" s="21" t="n">
        <v>0.93</v>
      </c>
    </row>
    <row r="14">
      <c r="A14" s="7" t="inlineStr">
        <is>
          <t>26</t>
        </is>
      </c>
      <c r="B14" s="28" t="n">
        <v>46.96</v>
      </c>
      <c r="C14" s="19" t="n">
        <v>8.5</v>
      </c>
      <c r="D14" s="11" t="inlineStr">
        <is>
          <t>1260 – 1855</t>
        </is>
      </c>
      <c r="E14" s="11" t="n">
        <v>595</v>
      </c>
      <c r="F14" s="11" t="n">
        <v>32.26</v>
      </c>
      <c r="G14" s="18" t="n">
        <v>0.6733</v>
      </c>
      <c r="H14" s="19" t="n">
        <v>97.29000000000001</v>
      </c>
      <c r="I14" s="19" t="n">
        <v>2.35</v>
      </c>
    </row>
    <row r="15">
      <c r="A15" s="14" t="inlineStr">
        <is>
          <t>60</t>
        </is>
      </c>
      <c r="B15" s="29" t="n">
        <v>40.13</v>
      </c>
      <c r="C15" s="21" t="n">
        <v>7.27</v>
      </c>
      <c r="D15" s="15" t="inlineStr">
        <is>
          <t>1638 – 2073</t>
        </is>
      </c>
      <c r="E15" s="15" t="n">
        <v>435</v>
      </c>
      <c r="F15" s="15" t="n">
        <v>32.67</v>
      </c>
      <c r="G15" s="20" t="n">
        <v>0.6745</v>
      </c>
      <c r="H15" s="21" t="n">
        <v>99.90000000000001</v>
      </c>
      <c r="I15" s="21" t="n">
        <v>0.61</v>
      </c>
    </row>
    <row r="16">
      <c r="A16" s="12" t="inlineStr">
        <is>
          <t>► 64</t>
        </is>
      </c>
      <c r="B16" s="30" t="n">
        <v>35.77</v>
      </c>
      <c r="C16" s="31" t="n">
        <v>6.48</v>
      </c>
      <c r="D16" s="13" t="inlineStr">
        <is>
          <t>2412 – 2651</t>
        </is>
      </c>
      <c r="E16" s="13" t="n">
        <v>239</v>
      </c>
      <c r="F16" s="13" t="n">
        <v>28.18</v>
      </c>
      <c r="G16" s="32" t="n">
        <v>0.5254</v>
      </c>
      <c r="H16" s="31" t="n">
        <v>78.22</v>
      </c>
      <c r="I16" s="31" t="n">
        <v>41.48</v>
      </c>
    </row>
    <row r="17">
      <c r="A17" s="14" t="inlineStr">
        <is>
          <t>37</t>
        </is>
      </c>
      <c r="B17" s="29" t="n">
        <v>35.49</v>
      </c>
      <c r="C17" s="21" t="n">
        <v>6.43</v>
      </c>
      <c r="D17" s="15" t="inlineStr">
        <is>
          <t>1184 – 1455</t>
        </is>
      </c>
      <c r="E17" s="15" t="n">
        <v>271</v>
      </c>
      <c r="F17" s="15" t="n">
        <v>23.59</v>
      </c>
      <c r="G17" s="20" t="n">
        <v>0.6588000000000001</v>
      </c>
      <c r="H17" s="21" t="n">
        <v>98.02</v>
      </c>
      <c r="I17" s="21" t="n">
        <v>1.92</v>
      </c>
    </row>
    <row r="18">
      <c r="A18" s="7" t="inlineStr">
        <is>
          <t>30</t>
        </is>
      </c>
      <c r="B18" s="28" t="n">
        <v>34.87</v>
      </c>
      <c r="C18" s="19" t="n">
        <v>6.31</v>
      </c>
      <c r="D18" s="11" t="inlineStr">
        <is>
          <t>1216 – 1541</t>
        </is>
      </c>
      <c r="E18" s="11" t="n">
        <v>325</v>
      </c>
      <c r="F18" s="11" t="n">
        <v>27.91</v>
      </c>
      <c r="G18" s="18" t="n">
        <v>0.6637999999999999</v>
      </c>
      <c r="H18" s="19" t="n">
        <v>99.38</v>
      </c>
      <c r="I18" s="19" t="n">
        <v>1.31</v>
      </c>
    </row>
    <row r="19">
      <c r="A19" s="14" t="inlineStr">
        <is>
          <t>40</t>
        </is>
      </c>
      <c r="B19" s="29" t="n">
        <v>28.52</v>
      </c>
      <c r="C19" s="21" t="n">
        <v>5.16</v>
      </c>
      <c r="D19" s="15" t="inlineStr">
        <is>
          <t>1407 – 1656</t>
        </is>
      </c>
      <c r="E19" s="15" t="n">
        <v>249</v>
      </c>
      <c r="F19" s="15"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64 ocupa el puesto 7 de 10 por superficie dentro de la microcuenca C1081-Q9591 (6.48 % de las 552.18 ha preliminares de la microcuenca). Su pendiente promedio (28.18 %, clase «25-50% (Mod. escarpado)») es la 4.ª más baja de 10 y se sitúa por debajo del promedio de la microcuenca (29.09 %). Su MSAVI 2024 (0.5254) es el 10.º de 10 y queda por debajo del promedio local (0.6292). Amplitud altitudinal del bloque: 239 m (2412–2651 msnm). El cuadro conserva todos los bloques catalogados en la microcuenca, incluidos los descartados en el tamizaje, para referencia del conjunto. Los bloques sin ficha DT figuran con sus parámetros de gabinete. BRECHA ESPECTRAL. El 41.48 % de la superficie del bloque (14.840 ha de 35.774 ha) se sitúa bajo el umbral MSAVI 0.4976, por encima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411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(35.780 ha) coincide con la de catálogo (35.77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17.5 %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4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«Pariamarca centro»; el cruce INEI-Bloques V5 identifica 1 centro(s) poblado(s) en el bloque: PARIAMARCA CENTRO</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D-01: el punto de muestreo (657 816 E / 9 428 952 N) se localiza 146 m al NORTE del límite del polígono y a 411 m del centroide</t>
        </is>
      </c>
      <c r="D18" s="37" t="inlineStr">
        <is>
          <t>SUSTANTIVA</t>
        </is>
      </c>
      <c r="E18" s="34" t="inlineStr">
        <is>
          <t>La caracterización de campo corresponde al entorno inmediato, no al interior del bloque</t>
        </is>
      </c>
    </row>
    <row r="19" ht="48" customHeight="1">
      <c r="A19" s="36" t="inlineStr">
        <is>
          <t>D-10</t>
        </is>
      </c>
      <c r="B19" s="36" t="inlineStr">
        <is>
          <t>F-DT-01</t>
        </is>
      </c>
      <c r="C19" s="36" t="inlineStr">
        <is>
          <t>Altitud: ficha «3 000 msnm aprox.» vs. GPS 2 669 msnm vs. MDE 2 412-2 651 msnm</t>
        </is>
      </c>
      <c r="D19" s="37" t="inlineStr">
        <is>
          <t>SUSTANTIVA</t>
        </is>
      </c>
      <c r="E19" s="36" t="inlineStr">
        <is>
          <t>Tres valores incompatibles; se conserva el rango del MDE para el cálculo de piso altitudinal</t>
        </is>
      </c>
    </row>
    <row r="20" ht="48" customHeight="1">
      <c r="A20" s="34" t="inlineStr">
        <is>
          <t>D-11</t>
        </is>
      </c>
      <c r="B20" s="34" t="inlineStr">
        <is>
          <t>F-DT-02</t>
        </is>
      </c>
      <c r="C20" s="34" t="inlineStr">
        <is>
          <t>FICHA NO LEVANTADA EN CAMPO; valores derivados de F-DT-01 y F-DT-04</t>
        </is>
      </c>
      <c r="D20" s="37" t="inlineStr">
        <is>
          <t>SUSTANTIVA</t>
        </is>
      </c>
      <c r="E20" s="34" t="inlineStr">
        <is>
          <t>Levantamiento de suelo y procesos erosivos pendiente</t>
        </is>
      </c>
    </row>
    <row r="21" ht="48" customHeight="1">
      <c r="A21" s="36" t="inlineStr">
        <is>
          <t>D-12</t>
        </is>
      </c>
      <c r="B21" s="36" t="inlineStr">
        <is>
          <t>F-DT-02 / F-DT-04</t>
        </is>
      </c>
      <c r="C21" s="36" t="inlineStr">
        <is>
          <t>Densidad de cárcavas declarada 0 N.°/ha con inventario vacío</t>
        </is>
      </c>
      <c r="D21" s="37" t="inlineStr">
        <is>
          <t>SUSTANTIVA</t>
        </is>
      </c>
      <c r="E21" s="36" t="inlineStr">
        <is>
          <t>Incompatibilidad a resolver en campo</t>
        </is>
      </c>
    </row>
    <row r="22" ht="48" customHeight="1">
      <c r="A22" s="34" t="inlineStr">
        <is>
          <t>D-13</t>
        </is>
      </c>
      <c r="B22" s="34" t="inlineStr">
        <is>
          <t>F-DT-03</t>
        </is>
      </c>
      <c r="C22" s="34" t="inlineStr">
        <is>
          <t>D-02 / D-03: registro florístico de 3 especies nativas frente al mínimo de 15 exigido; especies clave en blanco</t>
        </is>
      </c>
      <c r="D22" s="37" t="inlineStr">
        <is>
          <t>SUSTANTIVA</t>
        </is>
      </c>
      <c r="E22" s="34" t="inlineStr">
        <is>
          <t>Colecta y determinación botánica formal pendientes, en particular del género Polylepis</t>
        </is>
      </c>
    </row>
    <row r="23" ht="48" customHeight="1">
      <c r="A23" s="36" t="inlineStr">
        <is>
          <t>D-14</t>
        </is>
      </c>
      <c r="B23" s="36" t="inlineStr">
        <is>
          <t>F-DT-04</t>
        </is>
      </c>
      <c r="C23" s="36" t="inlineStr">
        <is>
          <t>D-04: urgencia declarada «Media» pese a remociones en masa activas y 41.71% de la superficie bajo el umbral MSAVI 0.4976</t>
        </is>
      </c>
      <c r="D23" s="37" t="inlineStr">
        <is>
          <t>SUSTANTIVA</t>
        </is>
      </c>
      <c r="E23" s="36" t="inlineStr">
        <is>
          <t>Se propone elevar la urgencia a ALTA</t>
        </is>
      </c>
    </row>
    <row r="24" ht="48" customHeight="1">
      <c r="A24" s="34" t="inlineStr">
        <is>
          <t>D-15</t>
        </is>
      </c>
      <c r="B24" s="34" t="inlineStr">
        <is>
          <t>F-DT-05</t>
        </is>
      </c>
      <c r="C24" s="34" t="inlineStr">
        <is>
          <t>FICHA NO LEVANTADA EN CAMPO; datos de acceso tomados de la narrativa del entregable</t>
        </is>
      </c>
      <c r="D24" s="37" t="inlineStr">
        <is>
          <t>SUSTANTIVA</t>
        </is>
      </c>
      <c r="E24" s="34" t="inlineStr">
        <is>
          <t>Recursos hídricos y accesibilidad pendientes de levantamiento</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(144 polígonos, 35.774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(35.774 ha) frente a la de catálogo V5/V6 (35.770 ha): desviación de +0.01 %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(0.5254) cae en la clase «DN 4 · 0.4976 - 0.6139 (Vigor moderado)»; la clase de mayor superficie es «DN 4 · 0.4976 - 0.6139 (Vigor moderado)», con 35.76 % del bloque. Superficie bajo el umbral 0.4976: 14.840 ha (41.48 %)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6 · CORREGIDO: 1 · NO SUSTANTIVA: 1 · SUSTANTIVA: 10</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64 — IN Piura</dc:title>
  <dc:subject>Diagnóstico Territorial por bloque de intervención</dc:subject>
  <dcterms:created xsi:type="dcterms:W3CDTF">2026-09-08T03:39:54Z</dcterms:created>
  <dcterms:modified xsi:type="dcterms:W3CDTF">2026-09-10T00:28:29Z</dcterms:modified>
</cp:coreProperties>
</file>