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64</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64</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Huancabamba</t>
        </is>
      </c>
      <c r="C12" s="6" t="inlineStr">
        <is>
          <t>Capital distrital</t>
        </is>
      </c>
      <c r="D12" s="7" t="inlineStr">
        <is>
          <t>Huancabamba</t>
        </is>
      </c>
      <c r="E12" s="8" t="n"/>
      <c r="F12" s="8" t="n"/>
    </row>
    <row r="13">
      <c r="A13" s="6" t="inlineStr">
        <is>
          <t>Centro poblado asociado</t>
        </is>
      </c>
      <c r="B13" s="7" t="inlineStr">
        <is>
          <t>Pariamarca centro</t>
        </is>
      </c>
      <c r="C13" s="6" t="inlineStr">
        <is>
          <t>Comunidad campesina</t>
        </is>
      </c>
      <c r="D13" s="7" t="inlineStr">
        <is>
          <t>No consignada</t>
        </is>
      </c>
      <c r="E13" s="8" t="n"/>
      <c r="F13" s="8" t="n"/>
    </row>
    <row r="14">
      <c r="A14" s="6" t="inlineStr">
        <is>
          <t>Superficie de catálogo (V5/V6), ha</t>
        </is>
      </c>
      <c r="B14" s="7" t="n">
        <v>35.77</v>
      </c>
      <c r="C14" s="6" t="inlineStr">
        <is>
          <t>Fuente de superficie</t>
        </is>
      </c>
      <c r="D14" s="7" t="inlineStr">
        <is>
          <t>Catálogo maestro Bloques V5/V6</t>
        </is>
      </c>
      <c r="E14" s="8" t="n"/>
      <c r="F14" s="8" t="n"/>
    </row>
    <row r="15">
      <c r="A15" s="6" t="inlineStr">
        <is>
          <t>Centroide UTM ESTE (m)</t>
        </is>
      </c>
      <c r="B15" s="7" t="n">
        <v>657819</v>
      </c>
      <c r="C15" s="6" t="inlineStr">
        <is>
          <t>Centroide UTM NORTE (m)</t>
        </is>
      </c>
      <c r="D15" s="7" t="n">
        <v>9428541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2412</v>
      </c>
      <c r="C19" s="6" t="inlineStr">
        <is>
          <t>Altitud máxima (msnm)</t>
        </is>
      </c>
      <c r="D19" s="7" t="n">
        <v>2651</v>
      </c>
      <c r="E19" s="8" t="n"/>
      <c r="F19" s="8" t="n"/>
    </row>
    <row r="20">
      <c r="A20" s="6" t="inlineStr">
        <is>
          <t>Amplitud altitudinal (m)</t>
        </is>
      </c>
      <c r="B20" s="7" t="n">
        <v>239</v>
      </c>
      <c r="C20" s="6" t="inlineStr">
        <is>
          <t>Piso altitudinal dominante</t>
        </is>
      </c>
      <c r="D20" s="7" t="inlineStr">
        <is>
          <t>2500-3000 m (Suni)</t>
        </is>
      </c>
      <c r="E20" s="8" t="n"/>
      <c r="F20" s="8" t="n"/>
    </row>
    <row r="21">
      <c r="A21" s="6" t="inlineStr">
        <is>
          <t>Pendiente promedio (%)</t>
        </is>
      </c>
      <c r="B21" s="7" t="n">
        <v>28.18</v>
      </c>
      <c r="C21" s="6" t="inlineStr">
        <is>
          <t>Pendiente promedio (grados)</t>
        </is>
      </c>
      <c r="D21" s="7" t="n">
        <v>15.7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alta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0.5254</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(78.22 %)</t>
        </is>
      </c>
      <c r="E29" s="8" t="n"/>
      <c r="F29" s="8" t="n"/>
    </row>
    <row r="30">
      <c r="A30" s="6" t="inlineStr">
        <is>
          <t>Superficie clasificada NDVI 2025 (ha)</t>
        </is>
      </c>
      <c r="B30" s="7" t="n">
        <v>35.78</v>
      </c>
      <c r="C30" s="6" t="inlineStr">
        <is>
          <t>Desviación frente al catálogo (%)</t>
        </is>
      </c>
      <c r="D30" s="7" t="n">
        <v>0.03</v>
      </c>
      <c r="E30" s="8" t="n"/>
      <c r="F30" s="8" t="n"/>
    </row>
    <row r="31">
      <c r="A31" s="6" t="inlineStr">
        <is>
          <t>Superficie clasificada MSAVI 2024 (ha)</t>
        </is>
      </c>
      <c r="B31" s="38" t="n">
        <v>35.774</v>
      </c>
      <c r="C31" s="6" t="inlineStr">
        <is>
          <t>Desviación MSAVI frente al catálogo (%)</t>
        </is>
      </c>
      <c r="D31" s="39" t="n">
        <v>0.01</v>
      </c>
      <c r="E31" s="8" t="n"/>
      <c r="F31" s="8" t="n"/>
    </row>
    <row r="32">
      <c r="A32" s="6" t="inlineStr">
        <is>
          <t>Superficie bajo umbral MSAVI 0.4976 (ha)</t>
        </is>
      </c>
      <c r="B32" s="38" t="n">
        <v>14.84</v>
      </c>
      <c r="C32" s="6" t="inlineStr">
        <is>
          <t>% del bloque bajo umbral (brecha espectral)</t>
        </is>
      </c>
      <c r="D32" s="39" t="n">
        <v>41.48</v>
      </c>
      <c r="E32" s="8" t="n"/>
      <c r="F32" s="8" t="n"/>
    </row>
    <row r="33">
      <c r="A33" s="6" t="inlineStr">
        <is>
          <t>Clase DN dominante (MSAVI 2024)</t>
        </is>
      </c>
      <c r="B33" s="7" t="inlineStr">
        <is>
          <t>DN 4 · 0.4976 - 0.6139 (Vigor moderado)</t>
        </is>
      </c>
      <c r="C33" s="6" t="inlineStr">
        <is>
          <t>N.° de polígonos MSAVI del bloque</t>
        </is>
      </c>
      <c r="D33" s="40" t="n">
        <v>144</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5 ha de ecosistema remanente (de 35.77 ha del bloque)</t>
        </is>
      </c>
      <c r="E36" s="8" t="n"/>
      <c r="F36" s="8" t="n"/>
    </row>
    <row r="37">
      <c r="A37" s="6" t="inlineStr">
        <is>
          <t>Estado de conservación</t>
        </is>
      </c>
      <c r="B37" s="7" t="inlineStr">
        <is>
          <t>Alterado (intervención marcada)</t>
        </is>
      </c>
      <c r="C37" s="6" t="inlineStr">
        <is>
          <t>Uso actual dominante del suelo</t>
        </is>
      </c>
      <c r="D37" s="7" t="inlineStr">
        <is>
          <t>Agricultura de secano</t>
        </is>
      </c>
      <c r="E37" s="8" t="n"/>
      <c r="F37" s="8" t="n"/>
    </row>
    <row r="38">
      <c r="A38" s="6" t="inlineStr">
        <is>
          <t>Tipo de cobertura dominante</t>
        </is>
      </c>
      <c r="B38" s="7" t="inlineStr">
        <is>
          <t>Cultivo anual</t>
        </is>
      </c>
      <c r="C38" s="6" t="inlineStr">
        <is>
          <t>Cobertura vegetal total — campo (%)</t>
        </is>
      </c>
      <c r="D38" s="7" t="n">
        <v>17.5</v>
      </c>
      <c r="E38" s="8" t="n"/>
      <c r="F38" s="8" t="n"/>
    </row>
    <row r="39">
      <c r="A39" s="6" t="inlineStr">
        <is>
          <t>Suelo desnudo — campo (%)</t>
        </is>
      </c>
      <c r="B39" s="7" t="n">
        <v>5</v>
      </c>
      <c r="C39" s="6" t="inlineStr">
        <is>
          <t>Regeneración natural</t>
        </is>
      </c>
      <c r="D39" s="7" t="inlineStr">
        <is>
          <t>Ausente</t>
        </is>
      </c>
      <c r="E39" s="8" t="n"/>
      <c r="F39" s="8" t="n"/>
    </row>
    <row r="40">
      <c r="A40" s="6" t="inlineStr">
        <is>
          <t>Nivel general de erosión</t>
        </is>
      </c>
      <c r="B40" s="7" t="inlineStr">
        <is>
          <t>Moderada (surcos)</t>
        </is>
      </c>
      <c r="C40" s="6" t="inlineStr">
        <is>
          <t>N.° de cárcavas registradas</t>
        </is>
      </c>
      <c r="D40" s="7" t="inlineStr">
        <is>
          <t>0 = no inventariadas</t>
        </is>
      </c>
      <c r="E40" s="8" t="n"/>
      <c r="F40" s="8" t="n"/>
    </row>
    <row r="41">
      <c r="A41" s="6" t="inlineStr">
        <is>
          <t>Elenco florístico (n.° de taxones)</t>
        </is>
      </c>
      <c r="B41" s="7" t="n">
        <v>4</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Domínguez</t>
        </is>
      </c>
      <c r="C44" s="6" t="inlineStr">
        <is>
          <t>Fecha de evaluación</t>
        </is>
      </c>
      <c r="D44" s="7" t="inlineStr">
        <is>
          <t>2026-08-11</t>
        </is>
      </c>
      <c r="E44" s="8" t="n"/>
      <c r="F44" s="8" t="n"/>
    </row>
    <row r="45">
      <c r="A45" s="6" t="inlineStr">
        <is>
          <t>Hora de registro</t>
        </is>
      </c>
      <c r="B45" s="7" t="inlineStr">
        <is>
          <t>11:54 h</t>
        </is>
      </c>
      <c r="C45" s="6" t="inlineStr">
        <is>
          <t>Correlativo de ficha</t>
        </is>
      </c>
      <c r="D45" s="7" t="inlineStr">
        <is>
          <t>F-DT-01/B64</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consignada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Por determinar (no consignado en campo)</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64</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8.141400000000001</v>
      </c>
      <c r="C10" s="19">
        <f>ROUND(B10/$B$15*100,2)</f>
        <v/>
      </c>
      <c r="D10" s="11" t="inlineStr">
        <is>
          <t>Vigor alto</t>
        </is>
      </c>
      <c r="E10" s="11" t="inlineStr">
        <is>
          <t>Sobre umbral</t>
        </is>
      </c>
    </row>
    <row r="11">
      <c r="A11" s="12" t="inlineStr">
        <is>
          <t>0.4976 - 0.6139 · DN 4</t>
        </is>
      </c>
      <c r="B11" s="32" t="n">
        <v>12.792</v>
      </c>
      <c r="C11" s="31">
        <f>ROUND(B11/$B$15*100,2)</f>
        <v/>
      </c>
      <c r="D11" s="13" t="inlineStr">
        <is>
          <t>Vigor moderado</t>
        </is>
      </c>
      <c r="E11" s="13" t="inlineStr">
        <is>
          <t>Sobre umbral</t>
        </is>
      </c>
    </row>
    <row r="12">
      <c r="A12" s="7" t="inlineStr">
        <is>
          <t>0.3813 - 0.4976 · DN 3</t>
        </is>
      </c>
      <c r="B12" s="18" t="n">
        <v>12.1259</v>
      </c>
      <c r="C12" s="19">
        <f>ROUND(B12/$B$15*100,2)</f>
        <v/>
      </c>
      <c r="D12" s="11" t="inlineStr">
        <is>
          <t>Vigor bajo</t>
        </is>
      </c>
      <c r="E12" s="11" t="inlineStr">
        <is>
          <t>BAJO umbral 0.4976</t>
        </is>
      </c>
    </row>
    <row r="13">
      <c r="A13" s="14" t="inlineStr">
        <is>
          <t>0.2650 - 0.3813 · DN 2</t>
        </is>
      </c>
      <c r="B13" s="20" t="n">
        <v>2.7145</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144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35.77</v>
      </c>
      <c r="C18" s="49" t="inlineStr">
        <is>
          <t>—</t>
        </is>
      </c>
      <c r="D18" s="46" t="inlineStr">
        <is>
          <t>Desviación planimétrica frente al catálogo</t>
        </is>
      </c>
      <c r="E18" s="46" t="inlineStr">
        <is>
          <t>+0.01 %</t>
        </is>
      </c>
    </row>
    <row r="19">
      <c r="A19" s="16" t="inlineStr">
        <is>
          <t>MSAVI 2024 — MEDIA DEL BLOQUE</t>
        </is>
      </c>
      <c r="B19" s="17" t="n">
        <v>0.525448</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144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(0.5254)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27.9881</v>
      </c>
      <c r="C25" s="19" t="n">
        <v>78.22</v>
      </c>
      <c r="D25" s="11" t="inlineStr">
        <is>
          <t>Dosel continuo, matorral denso o mosaico agroforestal</t>
        </is>
      </c>
      <c r="E25" s="11" t="inlineStr"/>
    </row>
    <row r="26">
      <c r="A26" s="14" t="inlineStr">
        <is>
          <t>Vegetación mediana</t>
        </is>
      </c>
      <c r="B26" s="20" t="n">
        <v>7.6043</v>
      </c>
      <c r="C26" s="21" t="n">
        <v>21.25</v>
      </c>
      <c r="D26" s="15" t="inlineStr">
        <is>
          <t>Pastizal cultivado, matorral ralo, parcelas agrícolas</t>
        </is>
      </c>
      <c r="E26" s="15" t="inlineStr"/>
    </row>
    <row r="27">
      <c r="A27" s="7" t="inlineStr">
        <is>
          <t>Vegetación ligera</t>
        </is>
      </c>
      <c r="B27" s="18" t="n">
        <v>0.188</v>
      </c>
      <c r="C27" s="19" t="n">
        <v>0.53</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35.77</v>
      </c>
      <c r="C29" s="25" t="inlineStr">
        <is>
          <t>—</t>
        </is>
      </c>
      <c r="D29" s="25" t="inlineStr">
        <is>
          <t>Desviación planimétrica frente al catálogo</t>
        </is>
      </c>
      <c r="E29" s="25" t="inlineStr">
        <is>
          <t>+0.03 %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17.5 % frente a un 78.22 % del polígono clasificado como «Vegetación alta» por el NDVI 2025; la observación de campo corresponde a una parcela o recorrido puntual y no es estadísticamente representativa de las 35.770 ha del bloque.</t>
        </is>
      </c>
      <c r="B31" s="41" t="n"/>
      <c r="C31" s="41" t="n"/>
      <c r="D31" s="41" t="n"/>
      <c r="E31" s="42"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64</t>
        </is>
      </c>
    </row>
    <row r="6" ht="24" customHeight="1">
      <c r="A6" s="4" t="inlineStr">
        <is>
          <t>Levantamiento del 2026-08-11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657816</v>
      </c>
      <c r="D10" s="26" t="n">
        <v>9428952</v>
      </c>
      <c r="E10" s="11" t="n">
        <v>411</v>
      </c>
      <c r="F10" s="11" t="inlineStr"/>
      <c r="G10" s="11" t="inlineStr">
        <is>
          <t>Coordenada consignada en F-DT-01</t>
        </is>
      </c>
    </row>
    <row r="11">
      <c r="A11" s="14" t="inlineStr">
        <is>
          <t>H-01</t>
        </is>
      </c>
      <c r="B11" s="15" t="inlineStr">
        <is>
          <t>Fuente de agua — Quebrada estacional</t>
        </is>
      </c>
      <c r="C11" s="27" t="inlineStr">
        <is>
          <t>Por determinar</t>
        </is>
      </c>
      <c r="D11" s="27" t="inlineStr">
        <is>
          <t>Por determinar</t>
        </is>
      </c>
      <c r="E11" s="15" t="inlineStr"/>
      <c r="F11" s="15" t="inlineStr">
        <is>
          <t>Estacional</t>
        </is>
      </c>
      <c r="G11" s="15" t="inlineStr">
        <is>
          <t>Quebrada Q9591, colectora</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657819</v>
      </c>
      <c r="C14" s="6" t="inlineStr">
        <is>
          <t>Centroide del bloque — UTM NORTE (m)</t>
        </is>
      </c>
      <c r="D14" s="7" t="n">
        <v>9428541</v>
      </c>
      <c r="E14" s="8" t="n"/>
      <c r="F14" s="8" t="n"/>
      <c r="G14" s="8" t="n"/>
      <c r="H14" s="8" t="n"/>
    </row>
    <row r="15">
      <c r="A15" s="6" t="inlineStr">
        <is>
          <t>N.° de estaciones fotográficas declaradas</t>
        </is>
      </c>
      <c r="B15" s="7" t="n">
        <v>0</v>
      </c>
      <c r="C15" s="6" t="inlineStr">
        <is>
          <t>Estaciones dentro del polígono</t>
        </is>
      </c>
      <c r="D15" s="7" t="n">
        <v>0</v>
      </c>
      <c r="E15" s="8" t="n"/>
      <c r="F15" s="8" t="n"/>
      <c r="G15" s="8" t="n"/>
      <c r="H15" s="8" t="n"/>
    </row>
    <row r="17" ht="168"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Ladera de montaña alta con pendiente general inferior al 60%, que se incrementa al ascender. Afloramientos rocosos con piedras pequeñas a medianas dispersas. La ladera es empleada para siembra de maíz y papa; en el área cercana existen rodales de plantaciones de Pinus patula. El suelo presenta erosión eólica. Dominancia de pajonal y especies achaparradas. Se desarrollan actividades de pastoreo de ganado vacuno y existe un cerco de alambre. En áreas próximas hay rodales remanentes de Polylepis y evidencia de deslizamientos. NOTA DE GABINETE (SESDI): la ficha consigna «altitud de 3 000 msnm aprox.» y una altitud GPS de 2 669 msnm, mientras el MDE sitúa el bloque entre 2 412 y 2 651 msnm y la descripción del paisaje entre 2 400 y 2 600 msnm. EL PUNTO DE MUESTREO (657 816 E / 9 428 952 N) SE LOCALIZA 146 m AL NORTE DEL LÍMITE DEL POLÍGONO y a 411 m del centroide catastral: la caracterización de campo debe considerarse de ENTORNO INMEDIATO y no de interior del bloque (D-01).</t>
        </is>
      </c>
      <c r="B17" s="41" t="n"/>
      <c r="C17" s="41" t="n"/>
      <c r="D17" s="41" t="n"/>
      <c r="E17" s="41" t="n"/>
      <c r="F17" s="41" t="n"/>
      <c r="G17" s="42"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64</t>
        </is>
      </c>
    </row>
    <row r="6" ht="24" customHeight="1">
      <c r="A6" s="4" t="inlineStr">
        <is>
          <t>Distrito de Huancabamba · Provincia de Huancabamba · Comparación de los bloques preliminares de intervención de la misma microcuenca</t>
        </is>
      </c>
    </row>
    <row r="7"/>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66</t>
        </is>
      </c>
      <c r="B10" s="28" t="n">
        <v>102.34</v>
      </c>
      <c r="C10" s="19" t="n">
        <v>18.53</v>
      </c>
      <c r="D10" s="11" t="inlineStr">
        <is>
          <t>1171 – 1769</t>
        </is>
      </c>
      <c r="E10" s="11" t="n">
        <v>598</v>
      </c>
      <c r="F10" s="11" t="n">
        <v>31.55</v>
      </c>
      <c r="G10" s="18" t="n">
        <v>0.6403</v>
      </c>
      <c r="H10" s="19" t="n">
        <v>94.08</v>
      </c>
      <c r="I10" s="19" t="n">
        <v>8.84</v>
      </c>
    </row>
    <row r="11">
      <c r="A11" s="14" t="inlineStr">
        <is>
          <t>M30B5</t>
        </is>
      </c>
      <c r="B11" s="29" t="n">
        <v>90.90000000000001</v>
      </c>
      <c r="C11" s="21" t="n">
        <v>16.46</v>
      </c>
      <c r="D11" s="15" t="inlineStr">
        <is>
          <t>1782 – 2307</t>
        </is>
      </c>
      <c r="E11" s="15" t="n">
        <v>525</v>
      </c>
      <c r="F11" s="15" t="n">
        <v>21.23</v>
      </c>
      <c r="G11" s="20" t="n">
        <v>0.5564</v>
      </c>
      <c r="H11" s="21" t="n">
        <v>79.45999999999999</v>
      </c>
      <c r="I11" s="21" t="n">
        <v>33.03</v>
      </c>
    </row>
    <row r="12">
      <c r="A12" s="7" t="inlineStr">
        <is>
          <t>21</t>
        </is>
      </c>
      <c r="B12" s="28" t="n">
        <v>84.23</v>
      </c>
      <c r="C12" s="19" t="n">
        <v>15.25</v>
      </c>
      <c r="D12" s="11" t="inlineStr">
        <is>
          <t>1353 – 2004</t>
        </is>
      </c>
      <c r="E12" s="11" t="n">
        <v>651</v>
      </c>
      <c r="F12" s="11" t="n">
        <v>31.71</v>
      </c>
      <c r="G12" s="18" t="n">
        <v>0.6201</v>
      </c>
      <c r="H12" s="19" t="n">
        <v>89.39</v>
      </c>
      <c r="I12" s="19" t="n">
        <v>5.17</v>
      </c>
    </row>
    <row r="13">
      <c r="A13" s="14" t="inlineStr">
        <is>
          <t>28</t>
        </is>
      </c>
      <c r="B13" s="29" t="n">
        <v>52.97</v>
      </c>
      <c r="C13" s="21" t="n">
        <v>9.59</v>
      </c>
      <c r="D13" s="15" t="inlineStr">
        <is>
          <t>1462 – 1856</t>
        </is>
      </c>
      <c r="E13" s="15" t="n">
        <v>394</v>
      </c>
      <c r="F13" s="15" t="n">
        <v>30.36</v>
      </c>
      <c r="G13" s="20" t="n">
        <v>0.6394</v>
      </c>
      <c r="H13" s="21" t="n">
        <v>96.64</v>
      </c>
      <c r="I13" s="21" t="n">
        <v>0.93</v>
      </c>
    </row>
    <row r="14">
      <c r="A14" s="7" t="inlineStr">
        <is>
          <t>26</t>
        </is>
      </c>
      <c r="B14" s="28" t="n">
        <v>46.96</v>
      </c>
      <c r="C14" s="19" t="n">
        <v>8.5</v>
      </c>
      <c r="D14" s="11" t="inlineStr">
        <is>
          <t>1260 – 1855</t>
        </is>
      </c>
      <c r="E14" s="11" t="n">
        <v>595</v>
      </c>
      <c r="F14" s="11" t="n">
        <v>32.26</v>
      </c>
      <c r="G14" s="18" t="n">
        <v>0.6733</v>
      </c>
      <c r="H14" s="19" t="n">
        <v>97.29000000000001</v>
      </c>
      <c r="I14" s="19" t="n">
        <v>2.35</v>
      </c>
    </row>
    <row r="15">
      <c r="A15" s="14" t="inlineStr">
        <is>
          <t>60</t>
        </is>
      </c>
      <c r="B15" s="29" t="n">
        <v>40.13</v>
      </c>
      <c r="C15" s="21" t="n">
        <v>7.27</v>
      </c>
      <c r="D15" s="15" t="inlineStr">
        <is>
          <t>1638 – 2073</t>
        </is>
      </c>
      <c r="E15" s="15" t="n">
        <v>435</v>
      </c>
      <c r="F15" s="15" t="n">
        <v>32.67</v>
      </c>
      <c r="G15" s="20" t="n">
        <v>0.6745</v>
      </c>
      <c r="H15" s="21" t="n">
        <v>99.90000000000001</v>
      </c>
      <c r="I15" s="21" t="n">
        <v>0.61</v>
      </c>
    </row>
    <row r="16">
      <c r="A16" s="12" t="inlineStr">
        <is>
          <t>► 64</t>
        </is>
      </c>
      <c r="B16" s="30" t="n">
        <v>35.77</v>
      </c>
      <c r="C16" s="31" t="n">
        <v>6.48</v>
      </c>
      <c r="D16" s="13" t="inlineStr">
        <is>
          <t>2412 – 2651</t>
        </is>
      </c>
      <c r="E16" s="13" t="n">
        <v>239</v>
      </c>
      <c r="F16" s="13" t="n">
        <v>28.18</v>
      </c>
      <c r="G16" s="32" t="n">
        <v>0.5254</v>
      </c>
      <c r="H16" s="31" t="n">
        <v>78.22</v>
      </c>
      <c r="I16" s="31" t="n">
        <v>41.48</v>
      </c>
    </row>
    <row r="17">
      <c r="A17" s="14" t="inlineStr">
        <is>
          <t>37</t>
        </is>
      </c>
      <c r="B17" s="29" t="n">
        <v>35.49</v>
      </c>
      <c r="C17" s="21" t="n">
        <v>6.43</v>
      </c>
      <c r="D17" s="15" t="inlineStr">
        <is>
          <t>1184 – 1455</t>
        </is>
      </c>
      <c r="E17" s="15" t="n">
        <v>271</v>
      </c>
      <c r="F17" s="15" t="n">
        <v>23.59</v>
      </c>
      <c r="G17" s="20" t="n">
        <v>0.6588000000000001</v>
      </c>
      <c r="H17" s="21" t="n">
        <v>98.02</v>
      </c>
      <c r="I17" s="21" t="n">
        <v>1.92</v>
      </c>
    </row>
    <row r="18">
      <c r="A18" s="7" t="inlineStr">
        <is>
          <t>30</t>
        </is>
      </c>
      <c r="B18" s="28" t="n">
        <v>34.87</v>
      </c>
      <c r="C18" s="19" t="n">
        <v>6.31</v>
      </c>
      <c r="D18" s="11" t="inlineStr">
        <is>
          <t>1216 – 1541</t>
        </is>
      </c>
      <c r="E18" s="11" t="n">
        <v>325</v>
      </c>
      <c r="F18" s="11" t="n">
        <v>27.91</v>
      </c>
      <c r="G18" s="18" t="n">
        <v>0.6637999999999999</v>
      </c>
      <c r="H18" s="19" t="n">
        <v>99.38</v>
      </c>
      <c r="I18" s="19" t="n">
        <v>1.31</v>
      </c>
    </row>
    <row r="19">
      <c r="A19" s="14" t="inlineStr">
        <is>
          <t>40</t>
        </is>
      </c>
      <c r="B19" s="29" t="n">
        <v>28.52</v>
      </c>
      <c r="C19" s="21" t="n">
        <v>5.16</v>
      </c>
      <c r="D19" s="15" t="inlineStr">
        <is>
          <t>1407 – 1656</t>
        </is>
      </c>
      <c r="E19" s="15" t="n">
        <v>249</v>
      </c>
      <c r="F19" s="15" t="n">
        <v>31.4</v>
      </c>
      <c r="G19" s="20" t="n">
        <v>0.6401</v>
      </c>
      <c r="H19" s="21" t="n">
        <v>99.55</v>
      </c>
      <c r="I19" s="21" t="n">
        <v>2.9</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c r="I20" s="23">
        <f>ROUND(AVERAGE(I10:I19),2)</f>
        <v/>
      </c>
    </row>
    <row r="21"/>
    <row r="22" ht="84" customHeight="1">
      <c r="A22" s="9" t="inlineStr">
        <is>
          <t>LECTURA INTRAMICROCUENCA. El bloque 64 ocupa el puesto 7 de 10 por superficie dentro de la microcuenca C1081-Q9591 (6.48 % de las 552.18 ha preliminares de la microcuenca). Su pendiente promedio (28.18 %, clase «25-50% (Mod. escarpado)») es la 4.ª más baja de 10 y se sitúa por debajo del promedio de la microcuenca (29.09 %). Su MSAVI 2024 (0.5254) es el 10.º de 10 y queda por debajo del promedio local (0.6292). Amplitud altitudinal del bloque: 239 m (2412–2651 msnm). El cuadro conserva todos los bloques catalogados en la microcuenca, incluidos los descartados en el tamizaje, para referencia del conjunto. Los bloques sin ficha DT figuran con sus parámetros de gabinete. BRECHA ESPECTRAL. El 41.48 % de la superficie del bloque (14.840 ha de 35.774 ha) se sitúa bajo el umbral MSAVI 0.4976, por encima del promedio local de la microcuenca (9.85 %) calculado sobre los bloques con dato MSAVI disponible.</t>
        </is>
      </c>
      <c r="B22" s="41" t="n"/>
      <c r="C22" s="41" t="n"/>
      <c r="D22" s="41" t="n"/>
      <c r="E22" s="41" t="n"/>
      <c r="F22" s="41" t="n"/>
      <c r="G22" s="41" t="n"/>
      <c r="H22" s="42"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2" t="n"/>
    </row>
  </sheetData>
  <mergeCells count="9">
    <mergeCell ref="A1:I1"/>
    <mergeCell ref="A4:I4"/>
    <mergeCell ref="A3:I3"/>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64</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411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(35.780 ha) coincide con la de catálogo (35.77 ha) dentro del ±2 % (+0.03 %)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17.5 % de cobertura vegetal en campo; el NDVI mediana 2025 clasifica 100.00 % del polígono en clases de vegetación</t>
        </is>
      </c>
      <c r="D13" s="13"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Elenco florístico</t>
        </is>
      </c>
      <c r="C14" s="34" t="inlineStr">
        <is>
          <t>La ficha registra 4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«Pariamarca centro»; el cruce INEI-Bloques V5 identifica 1 centro(s) poblado(s) en el bloque: PARIAMARCA CENTRO</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F-DT-01</t>
        </is>
      </c>
      <c r="C18" s="34" t="inlineStr">
        <is>
          <t>D-01: el punto de muestreo (657 816 E / 9 428 952 N) se localiza 146 m al NORTE del límite del polígono y a 411 m del centroide</t>
        </is>
      </c>
      <c r="D18" s="37" t="inlineStr">
        <is>
          <t>SUSTANTIVA</t>
        </is>
      </c>
      <c r="E18" s="34" t="inlineStr">
        <is>
          <t>La caracterización de campo corresponde al entorno inmediato, no al interior del bloque</t>
        </is>
      </c>
    </row>
    <row r="19" ht="48" customHeight="1">
      <c r="A19" s="36" t="inlineStr">
        <is>
          <t>D-10</t>
        </is>
      </c>
      <c r="B19" s="36" t="inlineStr">
        <is>
          <t>F-DT-01</t>
        </is>
      </c>
      <c r="C19" s="36" t="inlineStr">
        <is>
          <t>Altitud: ficha «3 000 msnm aprox.» vs. GPS 2 669 msnm vs. MDE 2 412-2 651 msnm</t>
        </is>
      </c>
      <c r="D19" s="37" t="inlineStr">
        <is>
          <t>SUSTANTIVA</t>
        </is>
      </c>
      <c r="E19" s="36" t="inlineStr">
        <is>
          <t>Tres valores incompatibles; se conserva el rango del MDE para el cálculo de piso altitudinal</t>
        </is>
      </c>
    </row>
    <row r="20" ht="48" customHeight="1">
      <c r="A20" s="34" t="inlineStr">
        <is>
          <t>D-11</t>
        </is>
      </c>
      <c r="B20" s="34" t="inlineStr">
        <is>
          <t>F-DT-02</t>
        </is>
      </c>
      <c r="C20" s="34" t="inlineStr">
        <is>
          <t>FICHA NO LEVANTADA EN CAMPO; valores derivados de F-DT-01 y F-DT-04</t>
        </is>
      </c>
      <c r="D20" s="37" t="inlineStr">
        <is>
          <t>SUSTANTIVA</t>
        </is>
      </c>
      <c r="E20" s="34" t="inlineStr">
        <is>
          <t>Levantamiento de suelo y procesos erosivos pendiente</t>
        </is>
      </c>
    </row>
    <row r="21" ht="48" customHeight="1">
      <c r="A21" s="36" t="inlineStr">
        <is>
          <t>D-12</t>
        </is>
      </c>
      <c r="B21" s="36" t="inlineStr">
        <is>
          <t>F-DT-02 / F-DT-04</t>
        </is>
      </c>
      <c r="C21" s="36" t="inlineStr">
        <is>
          <t>Densidad de cárcavas declarada 0 N.°/ha con inventario vacío</t>
        </is>
      </c>
      <c r="D21" s="37" t="inlineStr">
        <is>
          <t>SUSTANTIVA</t>
        </is>
      </c>
      <c r="E21" s="36" t="inlineStr">
        <is>
          <t>Incompatibilidad a resolver en campo</t>
        </is>
      </c>
    </row>
    <row r="22" ht="48" customHeight="1">
      <c r="A22" s="34" t="inlineStr">
        <is>
          <t>D-13</t>
        </is>
      </c>
      <c r="B22" s="34" t="inlineStr">
        <is>
          <t>F-DT-03</t>
        </is>
      </c>
      <c r="C22" s="34" t="inlineStr">
        <is>
          <t>D-02 / D-03: registro florístico de 3 especies nativas frente al mínimo de 15 exigido; especies clave en blanco</t>
        </is>
      </c>
      <c r="D22" s="37" t="inlineStr">
        <is>
          <t>SUSTANTIVA</t>
        </is>
      </c>
      <c r="E22" s="34" t="inlineStr">
        <is>
          <t>Colecta y determinación botánica formal pendientes, en particular del género Polylepis</t>
        </is>
      </c>
    </row>
    <row r="23" ht="48" customHeight="1">
      <c r="A23" s="36" t="inlineStr">
        <is>
          <t>D-14</t>
        </is>
      </c>
      <c r="B23" s="36" t="inlineStr">
        <is>
          <t>F-DT-04</t>
        </is>
      </c>
      <c r="C23" s="36" t="inlineStr">
        <is>
          <t>D-04: urgencia declarada «Media» pese a remociones en masa activas y 41.71% de la superficie bajo el umbral MSAVI 0.4976</t>
        </is>
      </c>
      <c r="D23" s="37" t="inlineStr">
        <is>
          <t>SUSTANTIVA</t>
        </is>
      </c>
      <c r="E23" s="36" t="inlineStr">
        <is>
          <t>Se propone elevar la urgencia a ALTA</t>
        </is>
      </c>
    </row>
    <row r="24" ht="48" customHeight="1">
      <c r="A24" s="34" t="inlineStr">
        <is>
          <t>D-15</t>
        </is>
      </c>
      <c r="B24" s="34" t="inlineStr">
        <is>
          <t>F-DT-05</t>
        </is>
      </c>
      <c r="C24" s="34" t="inlineStr">
        <is>
          <t>FICHA NO LEVANTADA EN CAMPO; datos de acceso tomados de la narrativa del entregable</t>
        </is>
      </c>
      <c r="D24" s="37" t="inlineStr">
        <is>
          <t>SUSTANTIVA</t>
        </is>
      </c>
      <c r="E24" s="34" t="inlineStr">
        <is>
          <t>Recursos hídricos y accesibilidad pendientes de levantamiento</t>
        </is>
      </c>
    </row>
    <row r="25" ht="48" customHeight="1">
      <c r="A25" s="34" t="inlineStr">
        <is>
          <t>D-16</t>
        </is>
      </c>
      <c r="B25" s="34" t="inlineStr">
        <is>
          <t>Distribución areal MSAVI 2024</t>
        </is>
      </c>
      <c r="C25" s="34" t="inlineStr">
        <is>
          <t>La distribución por clase de MSAVI no figuraba en los insumos del entregable y se consignaba «Por determinar»; se incorpora la estadística zonal del ráster MSAVI clasificado (144 polígonos, 35.774 ha)</t>
        </is>
      </c>
      <c r="D25" s="37" t="inlineStr">
        <is>
          <t>CORREGIDO</t>
        </is>
      </c>
      <c r="E25"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6" ht="48" customHeight="1">
      <c r="A26" s="34" t="inlineStr">
        <is>
          <t>D-17</t>
        </is>
      </c>
      <c r="B26" s="34" t="inlineStr">
        <is>
          <t>Superficie MSAVI vs. catálogo</t>
        </is>
      </c>
      <c r="C26" s="34" t="inlineStr">
        <is>
          <t>La superficie total clasificada por el MSAVI 2024 (35.774 ha) frente a la de catálogo V5/V6 (35.770 ha): desviación de +0.01 %</t>
        </is>
      </c>
      <c r="D26" s="37" t="inlineStr">
        <is>
          <t>CONFORME</t>
        </is>
      </c>
      <c r="E26" s="34" t="inlineStr">
        <is>
          <t>Sin acción: la segmentación del ráster valida la geometría del bloque dentro del ±2 %.</t>
        </is>
      </c>
    </row>
    <row r="27" ht="48" customHeight="1">
      <c r="A27" s="34" t="inlineStr">
        <is>
          <t>D-18</t>
        </is>
      </c>
      <c r="B27" s="34" t="inlineStr">
        <is>
          <t>Media MSAVI vs. clase DN dominante</t>
        </is>
      </c>
      <c r="C27" s="34" t="inlineStr">
        <is>
          <t>La media del bloque (0.5254) cae en la clase «DN 4 · 0.4976 - 0.6139 (Vigor moderado)»; la clase de mayor superficie es «DN 4 · 0.4976 - 0.6139 (Vigor moderado)», con 35.76 % del bloque. Superficie bajo el umbral 0.4976: 14.840 ha (41.48 %)</t>
        </is>
      </c>
      <c r="D27" s="37" t="inlineStr">
        <is>
          <t>CONFORME</t>
        </is>
      </c>
      <c r="E27" s="34" t="inlineStr">
        <is>
          <t>Sin acción: la media del bloque y la clase de mayor superficie coinciden.</t>
        </is>
      </c>
    </row>
    <row r="28"/>
    <row r="29">
      <c r="A29" s="16" t="inlineStr">
        <is>
          <t>RESUMEN</t>
        </is>
      </c>
      <c r="B29" s="17" t="inlineStr">
        <is>
          <t>18 verificaciones</t>
        </is>
      </c>
      <c r="C29" s="17" t="inlineStr">
        <is>
          <t>CONFORME: 6 · CORREGIDO: 1 · NO SUSTANTIVA: 1 · SUSTANTIVA: 10</t>
        </is>
      </c>
      <c r="D29" s="17" t="inlineStr"/>
      <c r="E29" s="17" t="inlineStr"/>
    </row>
    <row r="30"/>
    <row r="31" ht="60" customHeight="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1" s="41" t="n"/>
      <c r="C31" s="41" t="n"/>
      <c r="D31" s="41" t="n"/>
      <c r="E31" s="42" t="n"/>
    </row>
  </sheetData>
  <mergeCells count="8">
    <mergeCell ref="A4:E4"/>
    <mergeCell ref="A2:E2"/>
    <mergeCell ref="A8:E8"/>
    <mergeCell ref="A5:E5"/>
    <mergeCell ref="A1:E1"/>
    <mergeCell ref="A31:E31"/>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64 — IN Piura</dc:title>
  <dc:subject>Diagnóstico Territorial por bloque de intervención</dc:subject>
  <dcterms:created xsi:type="dcterms:W3CDTF">2026-09-08T03:39:54Z</dcterms:created>
  <dcterms:modified xsi:type="dcterms:W3CDTF">2026-09-09T23:30:53Z</dcterms:modified>
</cp:coreProperties>
</file>