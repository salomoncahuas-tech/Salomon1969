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t>
        </is>
      </c>
      <c r="C13" s="6" t="inlineStr">
        <is>
          <t>Comunidad campesina</t>
        </is>
      </c>
      <c r="D13" s="7" t="inlineStr">
        <is>
          <t>Por verificar</t>
        </is>
      </c>
      <c r="E13" s="8" t="n"/>
      <c r="F13" s="8" t="n"/>
    </row>
    <row r="14">
      <c r="A14" s="6" t="inlineStr">
        <is>
          <t>Superficie de catálogo (V5/V6), ha</t>
        </is>
      </c>
      <c r="B14" s="7" t="n">
        <v>10.67</v>
      </c>
      <c r="C14" s="6" t="inlineStr">
        <is>
          <t>Fuente de superficie</t>
        </is>
      </c>
      <c r="D14" s="7" t="inlineStr">
        <is>
          <t>Catálogo maestro Bloques V5/V6</t>
        </is>
      </c>
      <c r="E14" s="8" t="n"/>
      <c r="F14" s="8" t="n"/>
    </row>
    <row r="15">
      <c r="A15" s="6" t="inlineStr">
        <is>
          <t>Centroide UTM ESTE (m)</t>
        </is>
      </c>
      <c r="B15" s="7" t="n">
        <v>652104</v>
      </c>
      <c r="C15" s="6" t="inlineStr">
        <is>
          <t>Centroide UTM NORTE (m)</t>
        </is>
      </c>
      <c r="D15" s="7" t="n">
        <v>9373045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1478</v>
      </c>
      <c r="C19" s="6" t="inlineStr">
        <is>
          <t>Altitud máxima (msnm)</t>
        </is>
      </c>
      <c r="D19" s="7" t="n">
        <v>1609</v>
      </c>
      <c r="E19" s="8" t="n"/>
      <c r="F19" s="8" t="n"/>
    </row>
    <row r="20">
      <c r="A20" s="6" t="inlineStr">
        <is>
          <t>Amplitud altitudinal (m)</t>
        </is>
      </c>
      <c r="B20" s="7" t="n">
        <v>131</v>
      </c>
      <c r="C20" s="6" t="inlineStr">
        <is>
          <t>Piso altitudinal dominante</t>
        </is>
      </c>
      <c r="D20" s="7" t="inlineStr">
        <is>
          <t>1500-2000 m (Quechua media)</t>
        </is>
      </c>
      <c r="E20" s="8" t="n"/>
      <c r="F20" s="8" t="n"/>
    </row>
    <row r="21">
      <c r="A21" s="6" t="inlineStr">
        <is>
          <t>Pendiente promedio (%)</t>
        </is>
      </c>
      <c r="B21" s="7" t="n">
        <v>29.45</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0.5571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(81.37 %)</t>
        </is>
      </c>
      <c r="E29" s="8" t="n"/>
      <c r="F29" s="8" t="n"/>
    </row>
    <row r="30">
      <c r="A30" s="6" t="inlineStr">
        <is>
          <t>Superficie clasificada NDVI 2025 (ha)</t>
        </is>
      </c>
      <c r="B30" s="7" t="n">
        <v>10.676</v>
      </c>
      <c r="C30" s="6" t="inlineStr">
        <is>
          <t>Desviación frente al catálogo (%)</t>
        </is>
      </c>
      <c r="D30" s="7" t="n">
        <v>0.05</v>
      </c>
      <c r="E30" s="8" t="n"/>
      <c r="F30" s="8" t="n"/>
    </row>
    <row r="31">
      <c r="A31" s="6" t="inlineStr">
        <is>
          <t>Superficie clasificada MSAVI 2024 (ha)</t>
        </is>
      </c>
      <c r="B31" s="38" t="n">
        <v>10.673</v>
      </c>
      <c r="C31" s="6" t="inlineStr">
        <is>
          <t>Desviación MSAVI frente al catálogo (%)</t>
        </is>
      </c>
      <c r="D31" s="39" t="n">
        <v>0.03</v>
      </c>
      <c r="E31" s="8" t="n"/>
      <c r="F31" s="8" t="n"/>
    </row>
    <row r="32">
      <c r="A32" s="6" t="inlineStr">
        <is>
          <t>Superficie bajo umbral MSAVI 0.4976 (ha)</t>
        </is>
      </c>
      <c r="B32" s="38" t="n">
        <v>2.768</v>
      </c>
      <c r="C32" s="6" t="inlineStr">
        <is>
          <t>% del bloque bajo umbral (brecha espectral)</t>
        </is>
      </c>
      <c r="D32" s="39" t="n">
        <v>25.94</v>
      </c>
      <c r="E32" s="8" t="n"/>
      <c r="F32" s="8" t="n"/>
    </row>
    <row r="33">
      <c r="A33" s="6" t="inlineStr">
        <is>
          <t>Clase DN dominante (MSAVI 2024)</t>
        </is>
      </c>
      <c r="B33" s="7" t="inlineStr">
        <is>
          <t>DN 4 · 0.4976 - 0.6139 (Vigor moderado)</t>
        </is>
      </c>
      <c r="C33" s="6" t="inlineStr">
        <is>
          <t>N.° de polígonos MSAVI del bloque</t>
        </is>
      </c>
      <c r="D33" s="40" t="n">
        <v>56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adscripción por continuidad con el Bloque 8</t>
        </is>
      </c>
      <c r="C36" s="6" t="inlineStr">
        <is>
          <t>Superficie de ecosistema (ha)</t>
        </is>
      </c>
      <c r="D36" s="7" t="inlineStr">
        <is>
          <t>Por determinar (sin intersección con capa MINAM)</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No verificado (celda en blanco)</t>
        </is>
      </c>
      <c r="E38" s="8" t="n"/>
      <c r="F38" s="8" t="n"/>
    </row>
    <row r="39">
      <c r="A39" s="6" t="inlineStr">
        <is>
          <t>Suelo desnudo — campo (%)</t>
        </is>
      </c>
      <c r="B39" s="7" t="inlineStr">
        <is>
          <t>No verificado (celda en blanco)</t>
        </is>
      </c>
      <c r="C39" s="6" t="inlineStr">
        <is>
          <t>Regeneración natural</t>
        </is>
      </c>
      <c r="D39" s="7" t="inlineStr">
        <is>
          <t>No verificado (celda en blanco)</t>
        </is>
      </c>
      <c r="E39" s="8" t="n"/>
      <c r="F39" s="8" t="n"/>
    </row>
    <row r="40">
      <c r="A40" s="6" t="inlineStr">
        <is>
          <t>Nivel general de erosión</t>
        </is>
      </c>
      <c r="B40" s="7" t="inlineStr">
        <is>
          <t>Moderada (surcos) — describe el BORDE del bloque</t>
        </is>
      </c>
      <c r="C40" s="6" t="inlineStr">
        <is>
          <t>N.° de cárcavas registradas</t>
        </is>
      </c>
      <c r="D40" s="7" t="inlineStr">
        <is>
          <t>Sin inventario</t>
        </is>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 Talledo H. / Ing. H. S. Cahuas M.</t>
        </is>
      </c>
      <c r="C44" s="6" t="inlineStr">
        <is>
          <t>Fecha de evaluación</t>
        </is>
      </c>
      <c r="D44" s="7" t="inlineStr">
        <is>
          <t>2026-08-18</t>
        </is>
      </c>
      <c r="E44" s="8" t="n"/>
      <c r="F44" s="8" t="n"/>
    </row>
    <row r="45">
      <c r="A45" s="6" t="inlineStr">
        <is>
          <t>Hora de registro</t>
        </is>
      </c>
      <c r="B45" s="7" t="inlineStr">
        <is>
          <t>14:37 - 14:45 h</t>
        </is>
      </c>
      <c r="C45" s="6" t="inlineStr">
        <is>
          <t>Correlativo de ficha</t>
        </is>
      </c>
      <c r="D45" s="7" t="inlineStr">
        <is>
          <t>F-DT-01-B71-2026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parcela instalada</t>
        </is>
      </c>
      <c r="E47" s="8" t="n"/>
      <c r="F47" s="8" t="n"/>
    </row>
    <row r="48">
      <c r="A48" s="6" t="inlineStr">
        <is>
          <t>Estaciones fotográficas georreferenciadas</t>
        </is>
      </c>
      <c r="B48" s="7" t="n">
        <v>9</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un centro poblado consolidado (C.P. Pirga) asentado sobre el límite del bloque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2.7909</v>
      </c>
      <c r="C10" s="19">
        <f>ROUND(B10/$B$15*100,2)</f>
        <v>26.15</v>
      </c>
      <c r="D10" s="11" t="inlineStr">
        <is>
          <t>Vigor alto</t>
        </is>
      </c>
      <c r="E10" s="11" t="inlineStr">
        <is>
          <t>Sobre umbral</t>
        </is>
      </c>
    </row>
    <row r="11">
      <c r="A11" s="12" t="inlineStr">
        <is>
          <t>0.4976 - 0.6139 · DN 4</t>
        </is>
      </c>
      <c r="B11" s="32" t="n">
        <v>5.1139</v>
      </c>
      <c r="C11" s="31">
        <f>ROUND(B11/$B$15*100,2)</f>
        <v>47.91</v>
      </c>
      <c r="D11" s="13" t="inlineStr">
        <is>
          <t>Vigor moderado</t>
        </is>
      </c>
      <c r="E11" s="13" t="inlineStr">
        <is>
          <t>Sobre umbral</t>
        </is>
      </c>
    </row>
    <row r="12">
      <c r="A12" s="7" t="inlineStr">
        <is>
          <t>0.3813 - 0.4976 · DN 3</t>
        </is>
      </c>
      <c r="B12" s="18" t="n">
        <v>2.6885</v>
      </c>
      <c r="C12" s="19">
        <f>ROUND(B12/$B$15*100,2)</f>
        <v>25.19</v>
      </c>
      <c r="D12" s="11" t="inlineStr">
        <is>
          <t>Vigor bajo</t>
        </is>
      </c>
      <c r="E12" s="11" t="inlineStr">
        <is>
          <t>BAJO umbral 0.4976</t>
        </is>
      </c>
    </row>
    <row r="13">
      <c r="A13" s="14" t="inlineStr">
        <is>
          <t>0.2650 - 0.3813 · DN 2</t>
        </is>
      </c>
      <c r="B13" s="20" t="n">
        <v>0.08</v>
      </c>
      <c r="C13" s="21">
        <f>ROUND(B13/$B$15*100,2)</f>
        <v>0.75</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10.6733</v>
      </c>
      <c r="C15" s="45">
        <f>SUM(C10:C14)</f>
        <v>100.0</v>
      </c>
      <c r="D15" s="43" t="inlineStr">
        <is>
          <t>Suma de la distribución areal · 56 polígonos</t>
        </is>
      </c>
      <c r="E15" s="43" t="inlineStr">
        <is>
          <t>—</t>
        </is>
      </c>
    </row>
    <row r="16" ht="30" customHeight="1">
      <c r="A16" s="46" t="inlineStr">
        <is>
          <t>Superficie SOBRE umbral 0.4976 (ha)</t>
        </is>
      </c>
      <c r="B16" s="47">
        <f>SUM(B10:B11)</f>
        <v>7.9048</v>
      </c>
      <c r="C16" s="48">
        <f>ROUND(B16/B15*100,2)</f>
        <v>74.06</v>
      </c>
      <c r="D16" s="46" t="inlineStr">
        <is>
          <t>Vigor alto y moderado (DN 4 y DN 5)</t>
        </is>
      </c>
      <c r="E16" s="46" t="inlineStr">
        <is>
          <t>Sobre umbral 0.4976</t>
        </is>
      </c>
    </row>
    <row r="17" ht="30" customHeight="1">
      <c r="A17" s="46" t="inlineStr">
        <is>
          <t>Superficie BAJO umbral 0.4976 (ha) — brecha</t>
        </is>
      </c>
      <c r="B17" s="47">
        <f>SUM(B12:B14)</f>
        <v>2.7685</v>
      </c>
      <c r="C17" s="48">
        <f>ROUND(B17/B15*100,2)</f>
        <v>25.94</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10.67</v>
      </c>
      <c r="C18" s="49" t="inlineStr">
        <is>
          <t>—</t>
        </is>
      </c>
      <c r="D18" s="46" t="inlineStr">
        <is>
          <t>Desviación planimétrica frente al catálogo</t>
        </is>
      </c>
      <c r="E18" s="46" t="inlineStr">
        <is>
          <t>+0.03 %</t>
        </is>
      </c>
    </row>
    <row r="19">
      <c r="A19" s="16" t="inlineStr">
        <is>
          <t>MSAVI 2024 — MEDIA DEL BLOQUE</t>
        </is>
      </c>
      <c r="B19" s="17" t="n">
        <v>0.557066</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(0.5571)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8.686299999999999</v>
      </c>
      <c r="C25" s="19" t="n">
        <v>81.37</v>
      </c>
      <c r="D25" s="11" t="inlineStr">
        <is>
          <t>Dosel continuo, matorral denso o mosaico agroforestal</t>
        </is>
      </c>
      <c r="E25" s="11" t="inlineStr"/>
    </row>
    <row r="26">
      <c r="A26" s="14" t="inlineStr">
        <is>
          <t>Vegetación mediana</t>
        </is>
      </c>
      <c r="B26" s="20" t="n">
        <v>1.9893</v>
      </c>
      <c r="C26" s="21" t="n">
        <v>18.63</v>
      </c>
      <c r="D26" s="15" t="inlineStr">
        <is>
          <t>Pastizal cultivado, matorral ralo, parcelas agrícolas</t>
        </is>
      </c>
      <c r="E26" s="15" t="inlineStr"/>
    </row>
    <row r="27">
      <c r="A27" s="16" t="inlineStr">
        <is>
          <t>TOTAL CLASIFICADO</t>
        </is>
      </c>
      <c r="B27" s="22">
        <f>SUM(B25:B26)</f>
        <v>10.6756</v>
      </c>
      <c r="C27" s="23">
        <f>SUM(C25:C26)</f>
        <v>100.0</v>
      </c>
      <c r="D27" s="17" t="inlineStr"/>
      <c r="E27" s="17" t="inlineStr"/>
    </row>
    <row r="28">
      <c r="A28" s="24" t="inlineStr">
        <is>
          <t>Superficie de catálogo (V5/V6)</t>
        </is>
      </c>
      <c r="B28" s="25" t="n">
        <v>10.67</v>
      </c>
      <c r="C28" s="25" t="inlineStr">
        <is>
          <t>—</t>
        </is>
      </c>
      <c r="D28" s="25" t="inlineStr">
        <is>
          <t>Desviación planimétrica frente al catálogo</t>
        </is>
      </c>
      <c r="E28" s="25" t="inlineStr">
        <is>
          <t>+0.05 %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71</t>
        </is>
      </c>
    </row>
    <row r="6" ht="24" customHeight="1">
      <c r="A6" s="4" t="inlineStr">
        <is>
          <t>Levantamiento del 2026-08-18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651794</v>
      </c>
      <c r="D10" s="26" t="n">
        <v>9373040</v>
      </c>
      <c r="E10" s="11" t="n">
        <v>310</v>
      </c>
      <c r="F10" s="11" t="inlineStr"/>
      <c r="G10" s="11" t="inlineStr">
        <is>
          <t>Coordenada consignada en F-DT-01</t>
        </is>
      </c>
    </row>
    <row r="11">
      <c r="A11" s="14" t="inlineStr">
        <is>
          <t>H-01</t>
        </is>
      </c>
      <c r="B11" s="15" t="inlineStr">
        <is>
          <t>Fuente de agua — Reservorio / Represa</t>
        </is>
      </c>
      <c r="C11" s="27" t="n">
        <v>652382</v>
      </c>
      <c r="D11" s="27" t="n">
        <v>9373255</v>
      </c>
      <c r="E11" s="15" t="n">
        <v>348.4</v>
      </c>
      <c r="F11" s="15" t="inlineStr">
        <is>
          <t>Permanente</t>
        </is>
      </c>
      <c r="G11" s="15" t="inlineStr">
        <is>
          <t>Caja de concreto con tubería (E-07)</t>
        </is>
      </c>
    </row>
    <row r="12">
      <c r="A12" s="7" t="inlineStr">
        <is>
          <t>H-02</t>
        </is>
      </c>
      <c r="B12" s="11" t="inlineStr">
        <is>
          <t>Fuente de agua — Quebrada estacional</t>
        </is>
      </c>
      <c r="C12" s="26" t="n">
        <v>651828</v>
      </c>
      <c r="D12" s="26" t="n">
        <v>9373159</v>
      </c>
      <c r="E12" s="11" t="n">
        <v>298.6</v>
      </c>
      <c r="F12" s="11" t="inlineStr">
        <is>
          <t>Estacional</t>
        </is>
      </c>
      <c r="G12" s="11" t="inlineStr">
        <is>
          <t>Vaguada de lecho pedregoso</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652104</v>
      </c>
      <c r="C15" s="6" t="inlineStr">
        <is>
          <t>Centroide del bloque — UTM NORTE (m)</t>
        </is>
      </c>
      <c r="D15" s="7" t="n">
        <v>9373045</v>
      </c>
      <c r="E15" s="8" t="n"/>
      <c r="F15" s="8" t="n"/>
      <c r="G15" s="8" t="n"/>
      <c r="H15" s="8" t="n"/>
    </row>
    <row r="16">
      <c r="A16" s="6" t="inlineStr">
        <is>
          <t>N.° de estaciones fotográficas declaradas</t>
        </is>
      </c>
      <c r="B16" s="7" t="n">
        <v>9</v>
      </c>
      <c r="C16" s="6" t="inlineStr">
        <is>
          <t>Estaciones dentro del polígono</t>
        </is>
      </c>
      <c r="D16" s="7" t="n">
        <v>0</v>
      </c>
      <c r="E16" s="8" t="n"/>
      <c r="F16" s="8" t="n"/>
      <c r="G16" s="8" t="n"/>
      <c r="H16" s="8" t="n"/>
    </row>
    <row r="17"/>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 prellenado de gabinete (SESDI) a partir de 9 fotografías georreferenciadas del 18-08-2026, estadística zonal sobre MDE y planos temáticos MSAVI 2024 / NDVI mediana 2025. CONTROL GEOMÉTRICO: LAS 9 ESTACIONES SE LOCALIZAN FUERA DEL POLÍGONO, entre 15.8 y 42.9 m de sus límites norte y oriental, sobre la trocha carrozable. EL INTERIOR DEL BLOQUE —donde se concentra la degradación— NO FUE VERIFICADO. Escarpes activos y afloramientos: taludes de corte de la trocha (E-03, E-04, E-09) y gran corte de movimiento de tierras en E-08. Remociones en masa activas: material suelto y superficie removida en plataforma y taludes sin tratamiento. Reptación de suelo: no observada; ausencia NO verificada instrumentalmente. Altitud GPS no registrada. El rango altitudinal 1 478-1 609 msnm procede del MDE, no de medición instrumental.</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71</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4" t="inlineStr">
        <is>
          <t>8</t>
        </is>
      </c>
      <c r="B11" s="29" t="n">
        <v>126.95</v>
      </c>
      <c r="C11" s="21" t="n">
        <v>24.23</v>
      </c>
      <c r="D11" s="15" t="inlineStr">
        <is>
          <t>1504 – 1970</t>
        </is>
      </c>
      <c r="E11" s="15" t="n">
        <v>466</v>
      </c>
      <c r="F11" s="15"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29" t="n">
        <v>81.33</v>
      </c>
      <c r="C13" s="21" t="n">
        <v>15.52</v>
      </c>
      <c r="D13" s="15" t="inlineStr">
        <is>
          <t>1217 – 1607</t>
        </is>
      </c>
      <c r="E13" s="15" t="n">
        <v>390</v>
      </c>
      <c r="F13" s="15"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4" t="inlineStr">
        <is>
          <t>51</t>
        </is>
      </c>
      <c r="B15" s="29"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2" t="inlineStr">
        <is>
          <t>► 71</t>
        </is>
      </c>
      <c r="B17" s="30" t="n">
        <v>10.67</v>
      </c>
      <c r="C17" s="31" t="n">
        <v>2.04</v>
      </c>
      <c r="D17" s="13" t="inlineStr">
        <is>
          <t>1478 – 1609</t>
        </is>
      </c>
      <c r="E17" s="13" t="n">
        <v>131</v>
      </c>
      <c r="F17" s="13" t="n">
        <v>29.45</v>
      </c>
      <c r="G17" s="32" t="n">
        <v>0.5571</v>
      </c>
      <c r="H17" s="31" t="n">
        <v>81.37</v>
      </c>
      <c r="I17" s="31" t="n">
        <v>25.94</v>
      </c>
    </row>
    <row r="18">
      <c r="A18" s="16" t="inlineStr">
        <is>
          <t>TOTAL / PROMEDIO</t>
        </is>
      </c>
      <c r="B18" s="33">
        <f>SUM(B10:B17)</f>
        <v>523.87</v>
      </c>
      <c r="C18" s="23">
        <f>SUM(C10:C17)</f>
        <v>100.0</v>
      </c>
      <c r="D18" s="17" t="inlineStr">
        <is>
          <t>912 – 2491</t>
        </is>
      </c>
      <c r="E18" s="17" t="inlineStr"/>
      <c r="F18" s="17">
        <f>ROUND(AVERAGE(F10:F17),2)</f>
        <v>28.06</v>
      </c>
      <c r="G18" s="22">
        <f>ROUND(AVERAGE(G10:G17),4)</f>
        <v>0.5477</v>
      </c>
      <c r="H18" s="23">
        <f>ROUND(AVERAGE(H10:H17),2)</f>
        <v>72.48</v>
      </c>
      <c r="I18" s="23">
        <f>ROUND(AVERAGE(I10:I17),2)</f>
        <v>31.88</v>
      </c>
    </row>
    <row r="19"/>
    <row r="20" ht="84" customHeight="1">
      <c r="A20" s="9" t="inlineStr">
        <is>
          <t>LECTURA INTRAMICROCUENCA. El bloque 71 ocupa el puesto 8 de 8 por superficie dentro de la microcuenca C1076-Q9593 (2.04 % de las 523.87 ha preliminares de la microcuenca). Su pendiente promedio (29.45 %, clase «25-50% (Mod. escarpado)») es la 5.ª más baja de 8 y se sitúa por encima del promedio de la microcuenca (28.06 %). Su MSAVI 2024 (0.5571) es el 3.º de 8 y queda por encima del promedio local (0.5477). Amplitud altitudinal del bloque: 131 m (1478–1609 msnm). El cuadro conserva todos los bloques catalogados en la microcuenca, incluidos los descartados en el tamizaje, para referencia del conjunto. Los bloques sin ficha DT figuran con sus parámetros de gabinete. BRECHA ESPECTRAL. El 25.94 % de la superficie del bloque (2.768 ha de 10.673 ha) se sitúa bajo el umbral MSAVI 0.4976, por debajo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310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(10.676 ha) coincide con la de catálogo (10.67 ha) dentro del ±2 % (+0.05 %)</t>
        </is>
      </c>
      <c r="D12" s="35"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7"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«Pirga»; el cruce INEI-Bloques V5 identifica 1 centro(s) poblado(s) en el bloque: PIRGA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Fichas F-DT</t>
        </is>
      </c>
      <c r="C18" s="34" t="inlineStr">
        <is>
          <t>NO DILIGENCIADAS EN CAMPO: prellenado de gabinete a partir de 9 fotografías georreferenciadas, MDE y planos temáticos</t>
        </is>
      </c>
      <c r="D18" s="37" t="inlineStr">
        <is>
          <t>SUSTANTIVA</t>
        </is>
      </c>
      <c r="E18" s="34" t="inlineStr">
        <is>
          <t>Levantamiento de campo pendiente</t>
        </is>
      </c>
    </row>
    <row r="19" ht="48" customHeight="1">
      <c r="A19" s="36" t="inlineStr">
        <is>
          <t>D-10</t>
        </is>
      </c>
      <c r="B19" s="36" t="inlineStr">
        <is>
          <t>F-DT-01</t>
        </is>
      </c>
      <c r="C19" s="36" t="inlineStr">
        <is>
          <t>Las 9 estaciones fotográficas se localizan FUERA del polígono (15.8 a 42.9 m de los límites N y E); el interior no fue verificado</t>
        </is>
      </c>
      <c r="D19" s="37" t="inlineStr">
        <is>
          <t>SUSTANTIVA</t>
        </is>
      </c>
      <c r="E19" s="36" t="inlineStr">
        <is>
          <t>La caracterización describe el borde, no el núcleo del bloque</t>
        </is>
      </c>
    </row>
    <row r="20" ht="48" customHeight="1">
      <c r="A20" s="34" t="inlineStr">
        <is>
          <t>D-11</t>
        </is>
      </c>
      <c r="B20" s="34" t="inlineStr">
        <is>
          <t>F-DT-02</t>
        </is>
      </c>
      <c r="C20" s="34" t="inlineStr">
        <is>
          <t>Inventario georreferenciado de cárcavas no ejecutado; sellamiento, compactación, raíces expuestas y socavamiento en blanco</t>
        </is>
      </c>
      <c r="D20" s="37" t="inlineStr">
        <is>
          <t>SUSTANTIVA</t>
        </is>
      </c>
      <c r="E20" s="34" t="inlineStr">
        <is>
          <t>No observados ni descartados</t>
        </is>
      </c>
    </row>
    <row r="21" ht="48" customHeight="1">
      <c r="A21" s="36" t="inlineStr">
        <is>
          <t>D-12</t>
        </is>
      </c>
      <c r="B21" s="36" t="inlineStr">
        <is>
          <t>F-DT-03</t>
        </is>
      </c>
      <c r="C21" s="36" t="inlineStr">
        <is>
          <t>Lista florística de 11 registros frente al mínimo de 15; ningún binomio confirmado</t>
        </is>
      </c>
      <c r="D21" s="37" t="inlineStr">
        <is>
          <t>SUSTANTIVA</t>
        </is>
      </c>
      <c r="E21" s="36" t="inlineStr">
        <is>
          <t>Determinación de «Flor de agua» es acción de cierre prioritaria</t>
        </is>
      </c>
    </row>
    <row r="22" ht="48" customHeight="1">
      <c r="A22" s="34" t="inlineStr">
        <is>
          <t>D-13</t>
        </is>
      </c>
      <c r="B22" s="34" t="inlineStr">
        <is>
          <t>F-DT-03</t>
        </is>
      </c>
      <c r="C22" s="34" t="inlineStr">
        <is>
          <t>Adscripción a Bes-cm por continuidad con el Bloque 8; la fisonomía observada sugiere transición a matorral andino subhúmedo</t>
        </is>
      </c>
      <c r="D22" s="37" t="inlineStr">
        <is>
          <t>SUSTANTIVA</t>
        </is>
      </c>
      <c r="E22" s="34" t="inlineStr">
        <is>
          <t>Verificar con la capa nacional de ecosistemas del MINAM</t>
        </is>
      </c>
    </row>
    <row r="23" ht="48" customHeight="1">
      <c r="A23" s="36" t="inlineStr">
        <is>
          <t>D-14</t>
        </is>
      </c>
      <c r="B23" s="36" t="inlineStr">
        <is>
          <t>F-DT-04</t>
        </is>
      </c>
      <c r="C23" s="36" t="inlineStr">
        <is>
          <t>El núcleo interior de 2.82 ha bajo umbral MSAVI no es atribuible a las causas documentadas en el perímetro</t>
        </is>
      </c>
      <c r="D23" s="37" t="inlineStr">
        <is>
          <t>SUSTANTIVA</t>
        </is>
      </c>
      <c r="E23" s="36" t="inlineStr">
        <is>
          <t>Requiere comparación multitemporal del índice</t>
        </is>
      </c>
    </row>
    <row r="24" ht="48" customHeight="1">
      <c r="A24" s="34" t="inlineStr">
        <is>
          <t>D-15</t>
        </is>
      </c>
      <c r="B24" s="34" t="inlineStr">
        <is>
          <t>F-DT-05</t>
        </is>
      </c>
      <c r="C24" s="34" t="inlineStr">
        <is>
          <t>Infraestructura de agua del borde oriental (E-07) no inventariada como elemento expuesto, a &lt;50 m de un talud de corte reciente</t>
        </is>
      </c>
      <c r="D24" s="37" t="inlineStr">
        <is>
          <t>SUSTANTIVA</t>
        </is>
      </c>
      <c r="E24" s="34" t="inlineStr">
        <is>
          <t>Incorporar al registro de elementos expuestos — prioridad ALTA</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(56 polígonos, 10.673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(10.673 ha) frente a la de catálogo V5/V6 (10.670 ha): desviación de +0.03 %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(0.5571) cae en la clase «DN 4 · 0.4976 - 0.6139 (Vigor moderado)»; la clase de mayor superficie es «DN 4 · 0.4976 - 0.6139 (Vigor moderado)», con 47.91 % del bloque. Superficie bajo el umbral 0.4976: 2.768 ha (25.94 %)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6 · CORREGIDO: 1 · SUSTANTIVA: 11</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71 — IN Piura</dc:title>
  <dc:subject>Diagnóstico Territorial por bloque de intervención</dc:subject>
  <dcterms:created xsi:type="dcterms:W3CDTF">2026-09-08T03:39:57Z</dcterms:created>
  <dcterms:modified xsi:type="dcterms:W3CDTF">2026-09-10T00:28:29Z</dcterms:modified>
</cp:coreProperties>
</file>