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 (y Chonta de Platanal)</t>
        </is>
      </c>
      <c r="C13" s="6" t="inlineStr">
        <is>
          <t>Comunidad campesina</t>
        </is>
      </c>
      <c r="D13" s="7" t="inlineStr">
        <is>
          <t>Por verificar</t>
        </is>
      </c>
      <c r="E13" s="8" t="n"/>
      <c r="F13" s="8" t="n"/>
    </row>
    <row r="14">
      <c r="A14" s="6" t="inlineStr">
        <is>
          <t>Superficie de catálogo (V5/V6), ha</t>
        </is>
      </c>
      <c r="B14" s="7" t="n">
        <v>126.95</v>
      </c>
      <c r="C14" s="6" t="inlineStr">
        <is>
          <t>Fuente de superficie</t>
        </is>
      </c>
      <c r="D14" s="7" t="inlineStr">
        <is>
          <t>Catálogo maestro Bloques V5/V6</t>
        </is>
      </c>
      <c r="E14" s="8" t="n"/>
      <c r="F14" s="8" t="n"/>
    </row>
    <row r="15">
      <c r="A15" s="6" t="inlineStr">
        <is>
          <t>Centroide UTM ESTE (m)</t>
        </is>
      </c>
      <c r="B15" s="7" t="n">
        <v>651673</v>
      </c>
      <c r="C15" s="6" t="inlineStr">
        <is>
          <t>Centroide UTM NORTE (m)</t>
        </is>
      </c>
      <c r="D15" s="7" t="n">
        <v>9373383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1504</v>
      </c>
      <c r="C19" s="6" t="inlineStr">
        <is>
          <t>Altitud máxima (msnm)</t>
        </is>
      </c>
      <c r="D19" s="7" t="n">
        <v>1970</v>
      </c>
      <c r="E19" s="8" t="n"/>
      <c r="F19" s="8" t="n"/>
    </row>
    <row r="20">
      <c r="A20" s="6" t="inlineStr">
        <is>
          <t>Amplitud altitudinal (m)</t>
        </is>
      </c>
      <c r="B20" s="7" t="n">
        <v>466</v>
      </c>
      <c r="C20" s="6" t="inlineStr">
        <is>
          <t>Piso altitudinal dominante</t>
        </is>
      </c>
      <c r="D20" s="7" t="inlineStr">
        <is>
          <t>1500-2000 m (Quechua media)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0.5548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(72.25 %)</t>
        </is>
      </c>
      <c r="E29" s="8" t="n"/>
      <c r="F29" s="8" t="n"/>
    </row>
    <row r="30">
      <c r="A30" s="6" t="inlineStr">
        <is>
          <t>Superficie clasificada NDVI 2025 (ha)</t>
        </is>
      </c>
      <c r="B30" s="7" t="n">
        <v>126.981</v>
      </c>
      <c r="C30" s="6" t="inlineStr">
        <is>
          <t>Desviación frente al catálogo (%)</t>
        </is>
      </c>
      <c r="D30" s="7" t="n">
        <v>0.02</v>
      </c>
      <c r="E30" s="8" t="n"/>
      <c r="F30" s="8" t="n"/>
    </row>
    <row r="31">
      <c r="A31" s="6" t="inlineStr">
        <is>
          <t>Superficie clasificada MSAVI 2024 (ha)</t>
        </is>
      </c>
      <c r="B31" s="38" t="n">
        <v>126.952</v>
      </c>
      <c r="C31" s="6" t="inlineStr">
        <is>
          <t>Desviación MSAVI frente al catálogo (%)</t>
        </is>
      </c>
      <c r="D31" s="39" t="n">
        <v>0</v>
      </c>
      <c r="E31" s="8" t="n"/>
      <c r="F31" s="8" t="n"/>
    </row>
    <row r="32">
      <c r="A32" s="6" t="inlineStr">
        <is>
          <t>Superficie bajo umbral MSAVI 0.4976 (ha)</t>
        </is>
      </c>
      <c r="B32" s="38" t="n">
        <v>36.058</v>
      </c>
      <c r="C32" s="6" t="inlineStr">
        <is>
          <t>% del bloque bajo umbral (brecha espectral)</t>
        </is>
      </c>
      <c r="D32" s="39" t="n">
        <v>28.4</v>
      </c>
      <c r="E32" s="8" t="n"/>
      <c r="F32" s="8" t="n"/>
    </row>
    <row r="33">
      <c r="A33" s="6" t="inlineStr">
        <is>
          <t>Clase DN dominante (MSAVI 2024)</t>
        </is>
      </c>
      <c r="B33" s="7" t="inlineStr">
        <is>
          <t>DN 4 · 0.4976 - 0.6139 (Vigor moderado)</t>
        </is>
      </c>
      <c r="C33" s="6" t="inlineStr">
        <is>
          <t>N.° de polígonos MSAVI del bloque</t>
        </is>
      </c>
      <c r="D33" s="40" t="n">
        <v>463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 e Ing. Héctor S. Cahuas Miller</t>
        </is>
      </c>
      <c r="C44" s="6" t="inlineStr">
        <is>
          <t>Fecha de evaluación</t>
        </is>
      </c>
      <c r="D44" s="7" t="inlineStr">
        <is>
          <t>2026-08-18</t>
        </is>
      </c>
      <c r="E44" s="8" t="n"/>
      <c r="F44" s="8" t="n"/>
    </row>
    <row r="45">
      <c r="A45" s="6" t="inlineStr">
        <is>
          <t>Hora de registro</t>
        </is>
      </c>
      <c r="B45" s="7" t="inlineStr">
        <is>
          <t>14:38 - 14:48 h</t>
        </is>
      </c>
      <c r="C45" s="6" t="inlineStr">
        <is>
          <t>Correlativo de ficha</t>
        </is>
      </c>
      <c r="D45" s="7" t="inlineStr">
        <is>
          <t>DT-B08-2026-01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habilitación vial y de frontera agropecuaria sobre laderas de fuerte pendiente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36.8754</v>
      </c>
      <c r="C10" s="19">
        <f>ROUND(B10/$B$15*100,2)</f>
        <v>29.05</v>
      </c>
      <c r="D10" s="11" t="inlineStr">
        <is>
          <t>Vigor alto</t>
        </is>
      </c>
      <c r="E10" s="11" t="inlineStr">
        <is>
          <t>Sobre umbral</t>
        </is>
      </c>
    </row>
    <row r="11">
      <c r="A11" s="12" t="inlineStr">
        <is>
          <t>0.4976 - 0.6139 · DN 4</t>
        </is>
      </c>
      <c r="B11" s="31" t="n">
        <v>54.0181</v>
      </c>
      <c r="C11" s="30">
        <f>ROUND(B11/$B$15*100,2)</f>
        <v>42.55</v>
      </c>
      <c r="D11" s="13" t="inlineStr">
        <is>
          <t>Vigor moderado</t>
        </is>
      </c>
      <c r="E11" s="13" t="inlineStr">
        <is>
          <t>Sobre umbral</t>
        </is>
      </c>
    </row>
    <row r="12">
      <c r="A12" s="7" t="inlineStr">
        <is>
          <t>0.3813 - 0.4976 · DN 3</t>
        </is>
      </c>
      <c r="B12" s="18" t="n">
        <v>31.6455</v>
      </c>
      <c r="C12" s="19">
        <f>ROUND(B12/$B$15*100,2)</f>
        <v>24.93</v>
      </c>
      <c r="D12" s="11" t="inlineStr">
        <is>
          <t>Vigor bajo</t>
        </is>
      </c>
      <c r="E12" s="11" t="inlineStr">
        <is>
          <t>BAJO umbral 0.4976</t>
        </is>
      </c>
    </row>
    <row r="13">
      <c r="A13" s="14" t="inlineStr">
        <is>
          <t>0.2650 - 0.3813 · DN 2</t>
        </is>
      </c>
      <c r="B13" s="20" t="n">
        <v>4.36</v>
      </c>
      <c r="C13" s="21">
        <f>ROUND(B13/$B$15*100,2)</f>
        <v>3.43</v>
      </c>
      <c r="D13" s="15" t="inlineStr">
        <is>
          <t>Vigor muy bajo</t>
        </is>
      </c>
      <c r="E13" s="15" t="inlineStr">
        <is>
          <t>BAJO umbral 0.4976</t>
        </is>
      </c>
    </row>
    <row r="14">
      <c r="A14" s="7" t="inlineStr">
        <is>
          <t>&lt;= 0.2650 · DN 1</t>
        </is>
      </c>
      <c r="B14" s="18" t="n">
        <v>0.053</v>
      </c>
      <c r="C14" s="19">
        <f>ROUND(B14/$B$15*100,2)</f>
        <v>0.04</v>
      </c>
      <c r="D14" s="11" t="inlineStr">
        <is>
          <t>Suelo desnudo / no vegetal</t>
        </is>
      </c>
      <c r="E14" s="11" t="inlineStr">
        <is>
          <t>BAJO umbral 0.4976</t>
        </is>
      </c>
    </row>
    <row r="15" ht="30" customHeight="1">
      <c r="A15" s="43" t="inlineStr">
        <is>
          <t>TOTAL CLASIFICADO MSAVI 2024</t>
        </is>
      </c>
      <c r="B15" s="44">
        <f>SUM(B10:B14)</f>
        <v>126.952</v>
      </c>
      <c r="C15" s="45">
        <f>SUM(C10:C14)</f>
        <v>100.0</v>
      </c>
      <c r="D15" s="43" t="inlineStr">
        <is>
          <t>Suma de la distribución areal · 463 polígonos</t>
        </is>
      </c>
      <c r="E15" s="43" t="inlineStr">
        <is>
          <t>—</t>
        </is>
      </c>
    </row>
    <row r="16" ht="30" customHeight="1">
      <c r="A16" s="46" t="inlineStr">
        <is>
          <t>Superficie SOBRE umbral 0.4976 (ha)</t>
        </is>
      </c>
      <c r="B16" s="47">
        <f>SUM(B10:B11)</f>
        <v>90.8935</v>
      </c>
      <c r="C16" s="48">
        <f>ROUND(B16/B15*100,2)</f>
        <v>71.6</v>
      </c>
      <c r="D16" s="46" t="inlineStr">
        <is>
          <t>Vigor alto y moderado (DN 4 y DN 5)</t>
        </is>
      </c>
      <c r="E16" s="46" t="inlineStr">
        <is>
          <t>Sobre umbral 0.4976</t>
        </is>
      </c>
    </row>
    <row r="17" ht="30" customHeight="1">
      <c r="A17" s="46" t="inlineStr">
        <is>
          <t>Superficie BAJO umbral 0.4976 (ha) — brecha</t>
        </is>
      </c>
      <c r="B17" s="47">
        <f>SUM(B12:B14)</f>
        <v>36.0585</v>
      </c>
      <c r="C17" s="48">
        <f>ROUND(B17/B15*100,2)</f>
        <v>28.4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126.95</v>
      </c>
      <c r="C18" s="49" t="inlineStr">
        <is>
          <t>—</t>
        </is>
      </c>
      <c r="D18" s="46" t="inlineStr">
        <is>
          <t>Desviación planimétrica frente al catálogo</t>
        </is>
      </c>
      <c r="E18" s="46" t="inlineStr">
        <is>
          <t>+0.00 %</t>
        </is>
      </c>
    </row>
    <row r="19">
      <c r="A19" s="16" t="inlineStr">
        <is>
          <t>MSAVI 2024 — MEDIA DEL BLOQUE</t>
        </is>
      </c>
      <c r="B19" s="17" t="n">
        <v>0.554802</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463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(0.5548)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91.74630000000001</v>
      </c>
      <c r="C25" s="19" t="n">
        <v>72.25</v>
      </c>
      <c r="D25" s="11" t="inlineStr">
        <is>
          <t>Dosel continuo, matorral denso o mosaico agroforestal</t>
        </is>
      </c>
      <c r="E25" s="11" t="inlineStr"/>
    </row>
    <row r="26">
      <c r="A26" s="14" t="inlineStr">
        <is>
          <t>Vegetación mediana</t>
        </is>
      </c>
      <c r="B26" s="20" t="n">
        <v>32.8202</v>
      </c>
      <c r="C26" s="21" t="n">
        <v>25.85</v>
      </c>
      <c r="D26" s="15" t="inlineStr">
        <is>
          <t>Pastizal cultivado, matorral ralo, parcelas agrícolas</t>
        </is>
      </c>
      <c r="E26" s="15" t="inlineStr"/>
    </row>
    <row r="27">
      <c r="A27" s="7" t="inlineStr">
        <is>
          <t>Vegetación ligera</t>
        </is>
      </c>
      <c r="B27" s="18" t="n">
        <v>2.3386</v>
      </c>
      <c r="C27" s="19" t="n">
        <v>1.84</v>
      </c>
      <c r="D27" s="11" t="inlineStr">
        <is>
          <t>Cobertura discontinua, suelo parcialmente expuesto</t>
        </is>
      </c>
      <c r="E27" s="11" t="inlineStr"/>
    </row>
    <row r="28">
      <c r="A28" s="14" t="inlineStr">
        <is>
          <t>Tierra desnuda</t>
        </is>
      </c>
      <c r="B28" s="20" t="n">
        <v>0.0762</v>
      </c>
      <c r="C28" s="21" t="n">
        <v>0.06</v>
      </c>
      <c r="D28" s="15" t="inlineStr">
        <is>
          <t>Suelo desnudo, afloramientos, plataformas y taludes</t>
        </is>
      </c>
      <c r="E28" s="15" t="inlineStr"/>
    </row>
    <row r="29">
      <c r="A29" s="16" t="inlineStr">
        <is>
          <t>TOTAL CLASIFICADO</t>
        </is>
      </c>
      <c r="B29" s="22">
        <f>SUM(B25:B28)</f>
        <v>126.9813</v>
      </c>
      <c r="C29" s="23">
        <f>SUM(C25:C28)</f>
        <v>100.0</v>
      </c>
      <c r="D29" s="17" t="inlineStr"/>
      <c r="E29" s="17" t="inlineStr"/>
    </row>
    <row r="30">
      <c r="A30" s="24" t="inlineStr">
        <is>
          <t>Superficie de catálogo (V5/V6)</t>
        </is>
      </c>
      <c r="B30" s="25" t="n">
        <v>126.95</v>
      </c>
      <c r="C30" s="25" t="inlineStr">
        <is>
          <t>—</t>
        </is>
      </c>
      <c r="D30" s="25" t="inlineStr">
        <is>
          <t>Desviación planimétrica frente al catálogo</t>
        </is>
      </c>
      <c r="E30" s="25" t="inlineStr">
        <is>
          <t>+0.02 %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t>
        </is>
      </c>
    </row>
    <row r="6" ht="24" customHeight="1">
      <c r="A6" s="4" t="inlineStr">
        <is>
          <t>Levantamiento del 2026-08-18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651673</v>
      </c>
      <c r="D10" s="26" t="n">
        <v>9373383</v>
      </c>
      <c r="E10" s="11" t="n">
        <v>0</v>
      </c>
      <c r="F10" s="11" t="inlineStr"/>
      <c r="G10" s="11" t="inlineStr">
        <is>
          <t>Coordenada consignada en F-DT-01</t>
        </is>
      </c>
    </row>
    <row r="11">
      <c r="A11" s="14" t="inlineStr">
        <is>
          <t>E-01</t>
        </is>
      </c>
      <c r="B11" s="15" t="inlineStr">
        <is>
          <t>Estación fotográfica</t>
        </is>
      </c>
      <c r="C11" s="27" t="n">
        <v>651827</v>
      </c>
      <c r="D11" s="27" t="n">
        <v>9373156</v>
      </c>
      <c r="E11" s="15" t="n">
        <v>274.3</v>
      </c>
      <c r="F11" s="15" t="inlineStr"/>
      <c r="G11" s="15" t="inlineStr">
        <is>
          <t>Registro fotográfico georreferenciado</t>
        </is>
      </c>
    </row>
    <row r="12">
      <c r="A12" s="7" t="inlineStr">
        <is>
          <t>E-02</t>
        </is>
      </c>
      <c r="B12" s="11" t="inlineStr">
        <is>
          <t>Estación fotográfica</t>
        </is>
      </c>
      <c r="C12" s="26" t="n">
        <v>651828</v>
      </c>
      <c r="D12" s="26" t="n">
        <v>9373159</v>
      </c>
      <c r="E12" s="11" t="n">
        <v>272.4</v>
      </c>
      <c r="F12" s="11" t="inlineStr"/>
      <c r="G12" s="11" t="inlineStr">
        <is>
          <t>Registro fotográfico georreferenciado</t>
        </is>
      </c>
    </row>
    <row r="13">
      <c r="A13" s="14" t="inlineStr">
        <is>
          <t>E-05</t>
        </is>
      </c>
      <c r="B13" s="15" t="inlineStr">
        <is>
          <t>Estación fotográfica</t>
        </is>
      </c>
      <c r="C13" s="27" t="n">
        <v>652148</v>
      </c>
      <c r="D13" s="27" t="n">
        <v>9373246</v>
      </c>
      <c r="E13" s="15" t="n">
        <v>494.4</v>
      </c>
      <c r="F13" s="15" t="inlineStr"/>
      <c r="G13" s="15" t="inlineStr">
        <is>
          <t>Registro fotográfico georreferenciado</t>
        </is>
      </c>
    </row>
    <row r="14">
      <c r="A14" s="7" t="inlineStr">
        <is>
          <t>E-10</t>
        </is>
      </c>
      <c r="B14" s="11" t="inlineStr">
        <is>
          <t>Estación fotográfica</t>
        </is>
      </c>
      <c r="C14" s="26" t="n">
        <v>652380</v>
      </c>
      <c r="D14" s="26" t="n">
        <v>9373408</v>
      </c>
      <c r="E14" s="11" t="n">
        <v>707.4</v>
      </c>
      <c r="F14" s="11" t="inlineStr"/>
      <c r="G14" s="11" t="inlineStr">
        <is>
          <t>Registro fotográfico georreferenciado</t>
        </is>
      </c>
    </row>
    <row r="15">
      <c r="A15" s="14" t="inlineStr">
        <is>
          <t>H-01</t>
        </is>
      </c>
      <c r="B15" s="15" t="inlineStr">
        <is>
          <t>Fuente de agua — Quebrada estacional</t>
        </is>
      </c>
      <c r="C15" s="27" t="n">
        <v>651828</v>
      </c>
      <c r="D15" s="27" t="n">
        <v>9373159</v>
      </c>
      <c r="E15" s="15" t="n">
        <v>272.4</v>
      </c>
      <c r="F15" s="15" t="inlineStr"/>
      <c r="G15" s="15" t="inlineStr">
        <is>
          <t>Vaguada de lecho pedregoso</t>
        </is>
      </c>
    </row>
    <row r="16">
      <c r="A16" s="7" t="inlineStr">
        <is>
          <t>H-02</t>
        </is>
      </c>
      <c r="B16" s="11" t="inlineStr">
        <is>
          <t>Fuente de agua — Quebrada estacional</t>
        </is>
      </c>
      <c r="C16" s="26" t="n">
        <v>652381</v>
      </c>
      <c r="D16" s="26" t="n">
        <v>9373408</v>
      </c>
      <c r="E16" s="11" t="n">
        <v>708.4</v>
      </c>
      <c r="F16" s="11" t="inlineStr"/>
      <c r="G16" s="11" t="inlineStr">
        <is>
          <t>Cruce de la trocha</t>
        </is>
      </c>
    </row>
    <row r="17">
      <c r="A17" s="16" t="inlineStr">
        <is>
          <t>TOTAL: 7 puntos</t>
        </is>
      </c>
      <c r="B17" s="17" t="inlineStr"/>
      <c r="C17" s="17" t="inlineStr"/>
      <c r="D17" s="17" t="inlineStr"/>
      <c r="E17" s="17" t="inlineStr"/>
      <c r="F17" s="17" t="inlineStr"/>
      <c r="G17" s="17" t="inlineStr"/>
    </row>
    <row r="18"/>
    <row r="19">
      <c r="A19" s="6" t="inlineStr">
        <is>
          <t>Centroide del bloque — UTM ESTE (m)</t>
        </is>
      </c>
      <c r="B19" s="7" t="n">
        <v>651673</v>
      </c>
      <c r="C19" s="6" t="inlineStr">
        <is>
          <t>Centroide del bloque — UTM NORTE (m)</t>
        </is>
      </c>
      <c r="D19" s="7" t="n">
        <v>9373383</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1"/>
    <row r="22" ht="132"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Reconocimiento por recorrido vehicular sobre la trocha que separa los bloques 8 (norte) y 71 (sur); 11 tomas en 6 posiciones sobre ~800 m. CONTROL GEOMÉTRICO: las 11 tomas se sitúan FUERA del polígono, entre ~20 y ~90 m del límite; la caracterización es representativa del corredor vial, NO del interior. Las coordenadas corresponden al CENTROIDE del catálogo, no a un punto GPS. Indicios: afloramientos de roca metamórfica fracturada, taludes de corte activos de 2-5 m sin banquetas, bloque rocoso métrico desprendido y árbol volteado, cicatriz de deslizamiento antiguo.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 8</t>
        </is>
      </c>
      <c r="B11" s="29" t="n">
        <v>126.95</v>
      </c>
      <c r="C11" s="30" t="n">
        <v>24.23</v>
      </c>
      <c r="D11" s="13" t="inlineStr">
        <is>
          <t>1504 – 1970</t>
        </is>
      </c>
      <c r="E11" s="13" t="n">
        <v>466</v>
      </c>
      <c r="F11" s="13" t="n">
        <v>29.85</v>
      </c>
      <c r="G11" s="31" t="n">
        <v>0.5548</v>
      </c>
      <c r="H11" s="30" t="n">
        <v>72.25</v>
      </c>
      <c r="I11" s="30"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32" t="n">
        <v>81.33</v>
      </c>
      <c r="C13" s="21" t="n">
        <v>15.52</v>
      </c>
      <c r="D13" s="15" t="inlineStr">
        <is>
          <t>1217 – 1607</t>
        </is>
      </c>
      <c r="E13" s="15" t="n">
        <v>390</v>
      </c>
      <c r="F13" s="15"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4" t="inlineStr">
        <is>
          <t>51</t>
        </is>
      </c>
      <c r="B15" s="32"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4" t="inlineStr">
        <is>
          <t>71</t>
        </is>
      </c>
      <c r="B17" s="32" t="n">
        <v>10.67</v>
      </c>
      <c r="C17" s="21" t="n">
        <v>2.04</v>
      </c>
      <c r="D17" s="15" t="inlineStr">
        <is>
          <t>1478 – 1609</t>
        </is>
      </c>
      <c r="E17" s="15" t="n">
        <v>131</v>
      </c>
      <c r="F17" s="15" t="n">
        <v>29.45</v>
      </c>
      <c r="G17" s="20" t="n">
        <v>0.5571</v>
      </c>
      <c r="H17" s="21" t="n">
        <v>81.37</v>
      </c>
      <c r="I17" s="21" t="n">
        <v>25.94</v>
      </c>
    </row>
    <row r="18">
      <c r="A18" s="16" t="inlineStr">
        <is>
          <t>TOTAL / PROMEDIO</t>
        </is>
      </c>
      <c r="B18" s="33">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8 ocupa el puesto 2 de 8 por superficie dentro de la microcuenca C1076-Q9593 (24.23 % de las 523.87 ha preliminares de la microcuenca). Su pendiente promedio (29.85 %, clase «25-50% (Mod. escarpado)») es la 6.ª más baja de 8 y se sitúa por encima del promedio de la microcuenca (28.06 %). Su MSAVI 2024 (0.5548) es el 4.º de 8 y queda por encima del promedio local (0.5477). Amplitud altitudinal del bloque: 466 m (1504–1970 msnm). El cuadro conserva todos los bloques catalogados en la microcuenca, incluidos los descartados en el tamizaje, para referencia del conjunto. Los bloques sin ficha DT figuran con sus parámetros de gabinete. BRECHA ESPECTRAL. El 28.40 % de la superficie del bloque (36.058 ha de 126.952 ha) se sitúa bajo el umbral MSAVI 0.4976, por debajo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(126.981 ha) coincide con la de catálogo (126.95 ha) dentro del ±2 % (+0.02 %)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(1504–1970 msnm) y la pendiente promedio (29.85 %)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14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«Pirga (y Chonta de Platanal)»; el cruce INEI-Bloques V5 identifica 1 centro(s) poblado(s) en el bloque: PIRGA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(463 polígonos, 126.952 ha)</t>
        </is>
      </c>
      <c r="D19" s="35"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(126.952 ha) frente a la de catálogo V5/V6 (126.950 ha): desviación de +0.00 %</t>
        </is>
      </c>
      <c r="D20" s="35"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(0.5548) cae en la clase «DN 4 · 0.4976 - 0.6139 (Vigor moderado)»; la clase de mayor superficie es «DN 4 · 0.4976 - 0.6139 (Vigor moderado)», con 42.55 % del bloque. Superficie bajo el umbral 0.4976: 36.058 ha (28.40 %)</t>
        </is>
      </c>
      <c r="D21" s="35"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5 · CORREGIDO: 1 · NO SUSTANTIVA: 1 · SUSTANTIVA: 5</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 — IN Piura</dc:title>
  <dc:subject>Diagnóstico Territorial por bloque de intervención</dc:subject>
  <dcterms:created xsi:type="dcterms:W3CDTF">2026-09-08T03:39:55Z</dcterms:created>
  <dcterms:modified xsi:type="dcterms:W3CDTF">2026-09-10T00:28:30Z</dcterms:modified>
</cp:coreProperties>
</file>