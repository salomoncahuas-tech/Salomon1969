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Pirga (y Chonta de Platanal)</t>
        </is>
      </c>
      <c r="C13" s="6" t="inlineStr">
        <is>
          <t>Comunidad campesina</t>
        </is>
      </c>
      <c r="D13" s="7" t="inlineStr">
        <is>
          <t>Por verificar</t>
        </is>
      </c>
      <c r="E13" s="8" t="n"/>
      <c r="F13" s="8" t="n"/>
    </row>
    <row r="14">
      <c r="A14" s="6" t="inlineStr">
        <is>
          <t>Superficie de catálogo (V5/V6), ha</t>
        </is>
      </c>
      <c r="B14" s="7" t="n">
        <v>126.95</v>
      </c>
      <c r="C14" s="6" t="inlineStr">
        <is>
          <t>Fuente de superficie</t>
        </is>
      </c>
      <c r="D14" s="7" t="inlineStr">
        <is>
          <t>Catálogo maestro Bloques V5/V6</t>
        </is>
      </c>
      <c r="E14" s="8" t="n"/>
      <c r="F14" s="8" t="n"/>
    </row>
    <row r="15">
      <c r="A15" s="6" t="inlineStr">
        <is>
          <t>Centroide UTM ESTE (m)</t>
        </is>
      </c>
      <c r="B15" s="7" t="n">
        <v>651673</v>
      </c>
      <c r="C15" s="6" t="inlineStr">
        <is>
          <t>Centroide UTM NORTE (m)</t>
        </is>
      </c>
      <c r="D15" s="7" t="n">
        <v>9373383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1504</v>
      </c>
      <c r="C19" s="6" t="inlineStr">
        <is>
          <t>Altitud máxima (msnm)</t>
        </is>
      </c>
      <c r="D19" s="7" t="n">
        <v>1970</v>
      </c>
      <c r="E19" s="8" t="n"/>
      <c r="F19" s="8" t="n"/>
    </row>
    <row r="20">
      <c r="A20" s="6" t="inlineStr">
        <is>
          <t>Amplitud altitudinal (m)</t>
        </is>
      </c>
      <c r="B20" s="7" t="n">
        <v>466</v>
      </c>
      <c r="C20" s="6" t="inlineStr">
        <is>
          <t>Piso altitudinal dominante</t>
        </is>
      </c>
      <c r="D20" s="7" t="inlineStr">
        <is>
          <t>1500-2000 m (Quechua media)</t>
        </is>
      </c>
      <c r="E20" s="8" t="n"/>
      <c r="F20" s="8" t="n"/>
    </row>
    <row r="21">
      <c r="A21" s="6" t="inlineStr">
        <is>
          <t>Pendiente promedio (%)</t>
        </is>
      </c>
      <c r="B21" s="7" t="n">
        <v>29.85</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0.5548</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(72.25 %)</t>
        </is>
      </c>
      <c r="E29" s="8" t="n"/>
      <c r="F29" s="8" t="n"/>
    </row>
    <row r="30">
      <c r="A30" s="6" t="inlineStr">
        <is>
          <t>Superficie clasificada NDVI 2025 (ha)</t>
        </is>
      </c>
      <c r="B30" s="7" t="n">
        <v>126.981</v>
      </c>
      <c r="C30" s="6" t="inlineStr">
        <is>
          <t>Desviación frente al catálogo (%)</t>
        </is>
      </c>
      <c r="D30" s="7" t="n">
        <v>0.02</v>
      </c>
      <c r="E30" s="8" t="n"/>
      <c r="F30" s="8" t="n"/>
    </row>
    <row r="31">
      <c r="A31" s="6" t="inlineStr">
        <is>
          <t>Superficie clasificada MSAVI 2024 (ha)</t>
        </is>
      </c>
      <c r="B31" s="38" t="n">
        <v>126.952</v>
      </c>
      <c r="C31" s="6" t="inlineStr">
        <is>
          <t>Desviación MSAVI frente al catálogo (%)</t>
        </is>
      </c>
      <c r="D31" s="39" t="n">
        <v>0</v>
      </c>
      <c r="E31" s="8" t="n"/>
      <c r="F31" s="8" t="n"/>
    </row>
    <row r="32">
      <c r="A32" s="6" t="inlineStr">
        <is>
          <t>Superficie bajo umbral MSAVI 0.4976 (ha)</t>
        </is>
      </c>
      <c r="B32" s="38" t="n">
        <v>36.058</v>
      </c>
      <c r="C32" s="6" t="inlineStr">
        <is>
          <t>% del bloque bajo umbral (brecha espectral)</t>
        </is>
      </c>
      <c r="D32" s="39" t="n">
        <v>28.4</v>
      </c>
      <c r="E32" s="8" t="n"/>
      <c r="F32" s="8" t="n"/>
    </row>
    <row r="33">
      <c r="A33" s="6" t="inlineStr">
        <is>
          <t>Clase DN dominante (MSAVI 2024)</t>
        </is>
      </c>
      <c r="B33" s="7" t="inlineStr">
        <is>
          <t>DN 4 · 0.4976 - 0.6139 (Vigor moderado)</t>
        </is>
      </c>
      <c r="C33" s="6" t="inlineStr">
        <is>
          <t>N.° de polígonos MSAVI del bloque</t>
        </is>
      </c>
      <c r="D33" s="40" t="n">
        <v>463</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inlineStr">
        <is>
          <t>Sin inventario</t>
        </is>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 e Ing. Héctor S. Cahuas Miller</t>
        </is>
      </c>
      <c r="C44" s="6" t="inlineStr">
        <is>
          <t>Fecha de evaluación</t>
        </is>
      </c>
      <c r="D44" s="7" t="inlineStr">
        <is>
          <t>2026-08-18</t>
        </is>
      </c>
      <c r="E44" s="8" t="n"/>
      <c r="F44" s="8" t="n"/>
    </row>
    <row r="45">
      <c r="A45" s="6" t="inlineStr">
        <is>
          <t>Hora de registro</t>
        </is>
      </c>
      <c r="B45" s="7" t="inlineStr">
        <is>
          <t>14:38 - 14:48 h</t>
        </is>
      </c>
      <c r="C45" s="6" t="inlineStr">
        <is>
          <t>Correlativo de ficha</t>
        </is>
      </c>
      <c r="D45" s="7" t="inlineStr">
        <is>
          <t>DT-B08-2026-01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11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habilitación vial y de frontera agropecuaria sobre laderas de fuerte pendiente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36.8754</v>
      </c>
      <c r="C10" s="19">
        <f>ROUND(B10/$B$15*100,2)</f>
        <v/>
      </c>
      <c r="D10" s="11" t="inlineStr">
        <is>
          <t>Vigor alto</t>
        </is>
      </c>
      <c r="E10" s="11" t="inlineStr">
        <is>
          <t>Sobre umbral</t>
        </is>
      </c>
    </row>
    <row r="11">
      <c r="A11" s="12" t="inlineStr">
        <is>
          <t>0.4976 - 0.6139 · DN 4</t>
        </is>
      </c>
      <c r="B11" s="31" t="n">
        <v>54.0181</v>
      </c>
      <c r="C11" s="30">
        <f>ROUND(B11/$B$15*100,2)</f>
        <v/>
      </c>
      <c r="D11" s="13" t="inlineStr">
        <is>
          <t>Vigor moderado</t>
        </is>
      </c>
      <c r="E11" s="13" t="inlineStr">
        <is>
          <t>Sobre umbral</t>
        </is>
      </c>
    </row>
    <row r="12">
      <c r="A12" s="7" t="inlineStr">
        <is>
          <t>0.3813 - 0.4976 · DN 3</t>
        </is>
      </c>
      <c r="B12" s="18" t="n">
        <v>31.6455</v>
      </c>
      <c r="C12" s="19">
        <f>ROUND(B12/$B$15*100,2)</f>
        <v/>
      </c>
      <c r="D12" s="11" t="inlineStr">
        <is>
          <t>Vigor bajo</t>
        </is>
      </c>
      <c r="E12" s="11" t="inlineStr">
        <is>
          <t>BAJO umbral 0.4976</t>
        </is>
      </c>
    </row>
    <row r="13">
      <c r="A13" s="14" t="inlineStr">
        <is>
          <t>0.2650 - 0.3813 · DN 2</t>
        </is>
      </c>
      <c r="B13" s="20" t="n">
        <v>4.36</v>
      </c>
      <c r="C13" s="21">
        <f>ROUND(B13/$B$15*100,2)</f>
        <v/>
      </c>
      <c r="D13" s="15" t="inlineStr">
        <is>
          <t>Vigor muy bajo</t>
        </is>
      </c>
      <c r="E13" s="15" t="inlineStr">
        <is>
          <t>BAJO umbral 0.4976</t>
        </is>
      </c>
    </row>
    <row r="14">
      <c r="A14" s="7" t="inlineStr">
        <is>
          <t>&lt;= 0.2650 · DN 1</t>
        </is>
      </c>
      <c r="B14" s="18" t="n">
        <v>0.053</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463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126.95</v>
      </c>
      <c r="C18" s="49" t="inlineStr">
        <is>
          <t>—</t>
        </is>
      </c>
      <c r="D18" s="46" t="inlineStr">
        <is>
          <t>Desviación planimétrica frente al catálogo</t>
        </is>
      </c>
      <c r="E18" s="46" t="inlineStr">
        <is>
          <t>+0.00 %</t>
        </is>
      </c>
    </row>
    <row r="19">
      <c r="A19" s="16" t="inlineStr">
        <is>
          <t>MSAVI 2024 — MEDIA DEL BLOQUE</t>
        </is>
      </c>
      <c r="B19" s="17" t="n">
        <v>0.554802</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463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(0.5548)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91.74630000000001</v>
      </c>
      <c r="C25" s="19" t="n">
        <v>72.25</v>
      </c>
      <c r="D25" s="11" t="inlineStr">
        <is>
          <t>Dosel continuo, matorral denso o mosaico agroforestal</t>
        </is>
      </c>
      <c r="E25" s="11" t="inlineStr"/>
    </row>
    <row r="26">
      <c r="A26" s="14" t="inlineStr">
        <is>
          <t>Vegetación mediana</t>
        </is>
      </c>
      <c r="B26" s="20" t="n">
        <v>32.8202</v>
      </c>
      <c r="C26" s="21" t="n">
        <v>25.85</v>
      </c>
      <c r="D26" s="15" t="inlineStr">
        <is>
          <t>Pastizal cultivado, matorral ralo, parcelas agrícolas</t>
        </is>
      </c>
      <c r="E26" s="15" t="inlineStr"/>
    </row>
    <row r="27">
      <c r="A27" s="7" t="inlineStr">
        <is>
          <t>Vegetación ligera</t>
        </is>
      </c>
      <c r="B27" s="18" t="n">
        <v>2.3386</v>
      </c>
      <c r="C27" s="19" t="n">
        <v>1.84</v>
      </c>
      <c r="D27" s="11" t="inlineStr">
        <is>
          <t>Cobertura discontinua, suelo parcialmente expuesto</t>
        </is>
      </c>
      <c r="E27" s="11" t="inlineStr"/>
    </row>
    <row r="28">
      <c r="A28" s="14" t="inlineStr">
        <is>
          <t>Tierra desnuda</t>
        </is>
      </c>
      <c r="B28" s="20" t="n">
        <v>0.0762</v>
      </c>
      <c r="C28" s="21" t="n">
        <v>0.06</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126.95</v>
      </c>
      <c r="C30" s="25" t="inlineStr">
        <is>
          <t>—</t>
        </is>
      </c>
      <c r="D30" s="25" t="inlineStr">
        <is>
          <t>Desviación planimétrica frente al catálogo</t>
        </is>
      </c>
      <c r="E30" s="25" t="inlineStr">
        <is>
          <t>+0.02 %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t>
        </is>
      </c>
    </row>
    <row r="6" ht="24" customHeight="1">
      <c r="A6" s="4" t="inlineStr">
        <is>
          <t>Levantamiento del 2026-08-18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651673</v>
      </c>
      <c r="D10" s="26" t="n">
        <v>9373383</v>
      </c>
      <c r="E10" s="11" t="n">
        <v>0</v>
      </c>
      <c r="F10" s="11" t="inlineStr"/>
      <c r="G10" s="11" t="inlineStr">
        <is>
          <t>Coordenada consignada en F-DT-01</t>
        </is>
      </c>
    </row>
    <row r="11">
      <c r="A11" s="14" t="inlineStr">
        <is>
          <t>E-01</t>
        </is>
      </c>
      <c r="B11" s="15" t="inlineStr">
        <is>
          <t>Estación fotográfica</t>
        </is>
      </c>
      <c r="C11" s="27" t="n">
        <v>651827</v>
      </c>
      <c r="D11" s="27" t="n">
        <v>9373156</v>
      </c>
      <c r="E11" s="15" t="n">
        <v>274.3</v>
      </c>
      <c r="F11" s="15" t="inlineStr"/>
      <c r="G11" s="15" t="inlineStr">
        <is>
          <t>Registro fotográfico georreferenciado</t>
        </is>
      </c>
    </row>
    <row r="12">
      <c r="A12" s="7" t="inlineStr">
        <is>
          <t>E-02</t>
        </is>
      </c>
      <c r="B12" s="11" t="inlineStr">
        <is>
          <t>Estación fotográfica</t>
        </is>
      </c>
      <c r="C12" s="26" t="n">
        <v>651828</v>
      </c>
      <c r="D12" s="26" t="n">
        <v>9373159</v>
      </c>
      <c r="E12" s="11" t="n">
        <v>272.4</v>
      </c>
      <c r="F12" s="11" t="inlineStr"/>
      <c r="G12" s="11" t="inlineStr">
        <is>
          <t>Registro fotográfico georreferenciado</t>
        </is>
      </c>
    </row>
    <row r="13">
      <c r="A13" s="14" t="inlineStr">
        <is>
          <t>E-05</t>
        </is>
      </c>
      <c r="B13" s="15" t="inlineStr">
        <is>
          <t>Estación fotográfica</t>
        </is>
      </c>
      <c r="C13" s="27" t="n">
        <v>652148</v>
      </c>
      <c r="D13" s="27" t="n">
        <v>9373246</v>
      </c>
      <c r="E13" s="15" t="n">
        <v>494.4</v>
      </c>
      <c r="F13" s="15" t="inlineStr"/>
      <c r="G13" s="15" t="inlineStr">
        <is>
          <t>Registro fotográfico georreferenciado</t>
        </is>
      </c>
    </row>
    <row r="14">
      <c r="A14" s="7" t="inlineStr">
        <is>
          <t>E-10</t>
        </is>
      </c>
      <c r="B14" s="11" t="inlineStr">
        <is>
          <t>Estación fotográfica</t>
        </is>
      </c>
      <c r="C14" s="26" t="n">
        <v>652380</v>
      </c>
      <c r="D14" s="26" t="n">
        <v>9373408</v>
      </c>
      <c r="E14" s="11" t="n">
        <v>707.4</v>
      </c>
      <c r="F14" s="11" t="inlineStr"/>
      <c r="G14" s="11" t="inlineStr">
        <is>
          <t>Registro fotográfico georreferenciado</t>
        </is>
      </c>
    </row>
    <row r="15">
      <c r="A15" s="14" t="inlineStr">
        <is>
          <t>H-01</t>
        </is>
      </c>
      <c r="B15" s="15" t="inlineStr">
        <is>
          <t>Fuente de agua — Quebrada estacional</t>
        </is>
      </c>
      <c r="C15" s="27" t="n">
        <v>651828</v>
      </c>
      <c r="D15" s="27" t="n">
        <v>9373159</v>
      </c>
      <c r="E15" s="15" t="n">
        <v>272.4</v>
      </c>
      <c r="F15" s="15" t="inlineStr"/>
      <c r="G15" s="15" t="inlineStr">
        <is>
          <t>Vaguada de lecho pedregoso</t>
        </is>
      </c>
    </row>
    <row r="16">
      <c r="A16" s="7" t="inlineStr">
        <is>
          <t>H-02</t>
        </is>
      </c>
      <c r="B16" s="11" t="inlineStr">
        <is>
          <t>Fuente de agua — Quebrada estacional</t>
        </is>
      </c>
      <c r="C16" s="26" t="n">
        <v>652381</v>
      </c>
      <c r="D16" s="26" t="n">
        <v>9373408</v>
      </c>
      <c r="E16" s="11" t="n">
        <v>708.4</v>
      </c>
      <c r="F16" s="11" t="inlineStr"/>
      <c r="G16" s="11" t="inlineStr">
        <is>
          <t>Cruce de la trocha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651673</v>
      </c>
      <c r="C19" s="6" t="inlineStr">
        <is>
          <t>Centroide del bloque — UTM NORTE (m)</t>
        </is>
      </c>
      <c r="D19" s="7" t="n">
        <v>9373383</v>
      </c>
      <c r="E19" s="8" t="n"/>
      <c r="F19" s="8" t="n"/>
      <c r="G19" s="8" t="n"/>
      <c r="H19" s="8" t="n"/>
    </row>
    <row r="20">
      <c r="A20" s="6" t="inlineStr">
        <is>
          <t>N.° de estaciones fotográficas declaradas</t>
        </is>
      </c>
      <c r="B20" s="7" t="n">
        <v>11</v>
      </c>
      <c r="C20" s="6" t="inlineStr">
        <is>
          <t>Estaciones dentro del polígono</t>
        </is>
      </c>
      <c r="D20" s="7" t="n">
        <v>0</v>
      </c>
      <c r="E20" s="8" t="n"/>
      <c r="F20" s="8" t="n"/>
      <c r="G20" s="8" t="n"/>
      <c r="H20" s="8" t="n"/>
    </row>
    <row r="22" ht="132"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Reconocimiento por recorrido vehicular sobre la trocha que separa los bloques 8 (norte) y 71 (sur); 11 tomas en 6 posiciones sobre ~800 m. CONTROL GEOMÉTRICO: las 11 tomas se sitúan FUERA del polígono, entre ~20 y ~90 m del límite; la caracterización es representativa del corredor vial, NO del interior. Las coordenadas corresponden al CENTROIDE del catálogo, no a un punto GPS. Indicios: afloramientos de roca metamórfica fracturada, taludes de corte activos de 2-5 m sin banquetas, bloque rocoso métrico desprendido y árbol volteado, cicatriz de deslizamiento antiguo.</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8</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2" t="inlineStr">
        <is>
          <t>► 8</t>
        </is>
      </c>
      <c r="B11" s="29" t="n">
        <v>126.95</v>
      </c>
      <c r="C11" s="30" t="n">
        <v>24.23</v>
      </c>
      <c r="D11" s="13" t="inlineStr">
        <is>
          <t>1504 – 1970</t>
        </is>
      </c>
      <c r="E11" s="13" t="n">
        <v>466</v>
      </c>
      <c r="F11" s="13" t="n">
        <v>29.85</v>
      </c>
      <c r="G11" s="31" t="n">
        <v>0.5548</v>
      </c>
      <c r="H11" s="30" t="n">
        <v>72.25</v>
      </c>
      <c r="I11" s="30"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4" t="inlineStr">
        <is>
          <t>20</t>
        </is>
      </c>
      <c r="B13" s="32" t="n">
        <v>81.33</v>
      </c>
      <c r="C13" s="21" t="n">
        <v>15.52</v>
      </c>
      <c r="D13" s="15" t="inlineStr">
        <is>
          <t>1217 – 1607</t>
        </is>
      </c>
      <c r="E13" s="15" t="n">
        <v>390</v>
      </c>
      <c r="F13" s="15" t="n">
        <v>24.54</v>
      </c>
      <c r="G13" s="20" t="n">
        <v>0.4851</v>
      </c>
      <c r="H13" s="21" t="n">
        <v>52.44</v>
      </c>
      <c r="I13" s="21" t="n">
        <v>59.23</v>
      </c>
    </row>
    <row r="14">
      <c r="A14" s="7" t="inlineStr">
        <is>
          <t>80</t>
        </is>
      </c>
      <c r="B14" s="28" t="n">
        <v>28.83</v>
      </c>
      <c r="C14" s="19" t="n">
        <v>5.5</v>
      </c>
      <c r="D14" s="11" t="inlineStr">
        <is>
          <t>2180 – 2491</t>
        </is>
      </c>
      <c r="E14" s="11" t="n">
        <v>311</v>
      </c>
      <c r="F14" s="11" t="n">
        <v>32.9</v>
      </c>
      <c r="G14" s="18" t="n">
        <v>0.5931</v>
      </c>
      <c r="H14" s="19" t="n">
        <v>78.73</v>
      </c>
      <c r="I14" s="19" t="n">
        <v>16.88</v>
      </c>
    </row>
    <row r="15">
      <c r="A15" s="14" t="inlineStr">
        <is>
          <t>51</t>
        </is>
      </c>
      <c r="B15" s="32" t="n">
        <v>22.93</v>
      </c>
      <c r="C15" s="21" t="n">
        <v>4.38</v>
      </c>
      <c r="D15" s="15" t="inlineStr">
        <is>
          <t>1734 – 2018</t>
        </is>
      </c>
      <c r="E15" s="15" t="n">
        <v>284</v>
      </c>
      <c r="F15" s="15" t="n">
        <v>31.74</v>
      </c>
      <c r="G15" s="20" t="n">
        <v>0.5238</v>
      </c>
      <c r="H15" s="21" t="n">
        <v>69.45999999999999</v>
      </c>
      <c r="I15" s="21" t="n">
        <v>34.63</v>
      </c>
    </row>
    <row r="16">
      <c r="A16" s="7" t="inlineStr">
        <is>
          <t>76</t>
        </is>
      </c>
      <c r="B16" s="28" t="n">
        <v>19.62</v>
      </c>
      <c r="C16" s="19" t="n">
        <v>3.75</v>
      </c>
      <c r="D16" s="11" t="inlineStr">
        <is>
          <t>1647 – 1838</t>
        </is>
      </c>
      <c r="E16" s="11" t="n">
        <v>191</v>
      </c>
      <c r="F16" s="11" t="n">
        <v>26.25</v>
      </c>
      <c r="G16" s="18" t="n">
        <v>0.4925</v>
      </c>
      <c r="H16" s="19" t="n">
        <v>46.27</v>
      </c>
      <c r="I16" s="19" t="n">
        <v>54.14</v>
      </c>
    </row>
    <row r="17">
      <c r="A17" s="14" t="inlineStr">
        <is>
          <t>71</t>
        </is>
      </c>
      <c r="B17" s="32" t="n">
        <v>10.67</v>
      </c>
      <c r="C17" s="21" t="n">
        <v>2.04</v>
      </c>
      <c r="D17" s="15" t="inlineStr">
        <is>
          <t>1478 – 1609</t>
        </is>
      </c>
      <c r="E17" s="15" t="n">
        <v>131</v>
      </c>
      <c r="F17" s="15"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19"/>
    <row r="20" ht="84" customHeight="1">
      <c r="A20" s="9" t="inlineStr">
        <is>
          <t>LECTURA INTRAMICROCUENCA. El bloque 8 ocupa el puesto 2 de 8 por superficie dentro de la microcuenca C1076-Q9593 (24.23 % de las 523.87 ha preliminares de la microcuenca). Su pendiente promedio (29.85 %, clase «25-50% (Mod. escarpado)») es la 6.ª más baja de 8 y se sitúa por encima del promedio de la microcuenca (28.06 %). Su MSAVI 2024 (0.5548) es el 4.º de 8 y queda por encima del promedio local (0.5477). Amplitud altitudinal del bloque: 466 m (1504–1970 msnm). El cuadro conserva todos los bloques catalogados en la microcuenca, incluidos los descartados en el tamizaje, para referencia del conjunto. Los bloques sin ficha DT figuran con sus parámetros de gabinete. BRECHA ESPECTRAL. El 28.40 % de la superficie del bloque (36.058 ha de 126.952 ha) se sitúa bajo el umbral MSAVI 0.4976, por debajo del promedio local de la microcuenca (31.88 %) calculado sobre los bloques con dato MSAVI disponible.</t>
        </is>
      </c>
      <c r="B20" s="41" t="n"/>
      <c r="C20" s="41" t="n"/>
      <c r="D20" s="41" t="n"/>
      <c r="E20" s="41" t="n"/>
      <c r="F20" s="41" t="n"/>
      <c r="G20" s="41" t="n"/>
      <c r="H20" s="42" t="n"/>
    </row>
    <row r="21"/>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2" t="n"/>
    </row>
  </sheetData>
  <mergeCells count="9">
    <mergeCell ref="A1:I1"/>
    <mergeCell ref="A4:I4"/>
    <mergeCell ref="A3:I3"/>
    <mergeCell ref="A20:I20"/>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(126.981 ha) coincide con la de catálogo (126.95 ha) dentro del ±2 % (+0.02 %)</t>
        </is>
      </c>
      <c r="D12" s="37" t="inlineStr">
        <is>
          <t>CONFORME</t>
        </is>
      </c>
      <c r="E12" s="34" t="inlineStr">
        <is>
          <t>Sin acción: la segmentación valida la geometría del bloque.</t>
        </is>
      </c>
    </row>
    <row r="13" ht="48" customHeight="1">
      <c r="A13" s="36" t="inlineStr">
        <is>
          <t>D-04</t>
        </is>
      </c>
      <c r="B13" s="36" t="inlineStr">
        <is>
          <t>Altitud GPS del punto de muestreo</t>
        </is>
      </c>
      <c r="C13" s="36" t="inlineStr">
        <is>
          <t>La aplicación de captura no registró altitud GPS en campo</t>
        </is>
      </c>
      <c r="D13" s="13" t="inlineStr">
        <is>
          <t>NO SUSTANTIVA</t>
        </is>
      </c>
      <c r="E13" s="36" t="inlineStr">
        <is>
          <t>El rango altitudinal del bloque (1504–1970 msnm) y la pendiente promedio (29.85 %) se toman de la estadística zonal sobre el MDE, no de medición de campo. Se declara la fuente.</t>
        </is>
      </c>
    </row>
    <row r="14" ht="48" customHeight="1">
      <c r="A14" s="34" t="inlineStr">
        <is>
          <t>D-05</t>
        </is>
      </c>
      <c r="B14" s="34" t="inlineStr">
        <is>
          <t>Inventario georreferenciado de cárcavas</t>
        </is>
      </c>
      <c r="C14" s="34" t="inlineStr">
        <is>
          <t>El inventario de cárcavas no fue ejecutado o no consta en la ficha DT</t>
        </is>
      </c>
      <c r="D14" s="35" t="inlineStr">
        <is>
          <t>SUSTANTIVA</t>
        </is>
      </c>
      <c r="E14" s="34" t="inlineStr">
        <is>
          <t>La ausencia de registros NO equivale a ausencia verificada de cárcavas. Queda pendiente el levantamiento instrumental a cargo del especialista de Infraestructura Marrón antes de fijar metas físicas de infraestructura gris.</t>
        </is>
      </c>
    </row>
    <row r="15" ht="48" customHeight="1">
      <c r="A15" s="36" t="inlineStr">
        <is>
          <t>D-06</t>
        </is>
      </c>
      <c r="B15" s="36" t="inlineStr">
        <is>
          <t>Elenco florístico</t>
        </is>
      </c>
      <c r="C15" s="36" t="inlineStr">
        <is>
          <t>La ficha registra 14 taxones, por debajo del mínimo de 15 que exige el formato V5</t>
        </is>
      </c>
      <c r="D15" s="35"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5"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«Pirga (y Chonta de Platanal)»; el cruce INEI-Bloques V5 identifica 1 centro(s) poblado(s) en el bloque: PIRGA</t>
        </is>
      </c>
      <c r="D17" s="37"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5" t="inlineStr">
        <is>
          <t>SUSTANTIVA</t>
        </is>
      </c>
      <c r="E18" s="34" t="inlineStr">
        <is>
          <t>Debe tomarse del modelamiento de mesolocalización (PMM + EPH + PGI ponderados por AHP) antes de fijar la prioridad definitiva de intervención del bloque.</t>
        </is>
      </c>
    </row>
    <row r="19" ht="48" customHeight="1">
      <c r="A19" s="34" t="inlineStr">
        <is>
          <t>D-10</t>
        </is>
      </c>
      <c r="B19" s="34" t="inlineStr">
        <is>
          <t>Distribución areal MSAVI 2024</t>
        </is>
      </c>
      <c r="C19" s="34" t="inlineStr">
        <is>
          <t>La distribución por clase de MSAVI no figuraba en los insumos del entregable y se consignaba «Por determinar»; se incorpora la estadística zonal del ráster MSAVI clasificado (463 polígonos, 126.952 ha)</t>
        </is>
      </c>
      <c r="D19" s="35" t="inlineStr">
        <is>
          <t>CORREGIDO</t>
        </is>
      </c>
      <c r="E19"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4" t="inlineStr">
        <is>
          <t>D-11</t>
        </is>
      </c>
      <c r="B20" s="34" t="inlineStr">
        <is>
          <t>Superficie MSAVI vs. catálogo</t>
        </is>
      </c>
      <c r="C20" s="34" t="inlineStr">
        <is>
          <t>La superficie total clasificada por el MSAVI 2024 (126.952 ha) frente a la de catálogo V5/V6 (126.950 ha): desviación de +0.00 %</t>
        </is>
      </c>
      <c r="D20" s="35" t="inlineStr">
        <is>
          <t>CONFORME</t>
        </is>
      </c>
      <c r="E20" s="34" t="inlineStr">
        <is>
          <t>Sin acción: la segmentación del ráster valida la geometría del bloque dentro del ±2 %.</t>
        </is>
      </c>
    </row>
    <row r="21" ht="48" customHeight="1">
      <c r="A21" s="34" t="inlineStr">
        <is>
          <t>D-12</t>
        </is>
      </c>
      <c r="B21" s="34" t="inlineStr">
        <is>
          <t>Media MSAVI vs. clase DN dominante</t>
        </is>
      </c>
      <c r="C21" s="34" t="inlineStr">
        <is>
          <t>La media del bloque (0.5548) cae en la clase «DN 4 · 0.4976 - 0.6139 (Vigor moderado)»; la clase de mayor superficie es «DN 4 · 0.4976 - 0.6139 (Vigor moderado)», con 42.55 % del bloque. Superficie bajo el umbral 0.4976: 36.058 ha (28.40 %)</t>
        </is>
      </c>
      <c r="D21" s="35" t="inlineStr">
        <is>
          <t>CONFORME</t>
        </is>
      </c>
      <c r="E21" s="34" t="inlineStr">
        <is>
          <t>Sin acción: la media del bloque y la clase de mayor superficie coinciden.</t>
        </is>
      </c>
    </row>
    <row r="22"/>
    <row r="23">
      <c r="A23" s="16" t="inlineStr">
        <is>
          <t>RESUMEN</t>
        </is>
      </c>
      <c r="B23" s="17" t="inlineStr">
        <is>
          <t>12 verificaciones</t>
        </is>
      </c>
      <c r="C23" s="17" t="inlineStr">
        <is>
          <t>CONFORME: 5 · CORREGIDO: 1 · NO SUSTANTIVA: 1 · SUSTANTIVA: 5</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1" t="n"/>
      <c r="C25" s="41" t="n"/>
      <c r="D25" s="41" t="n"/>
      <c r="E25" s="42"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 — IN Piura</dc:title>
  <dc:subject>Diagnóstico Territorial por bloque de intervención</dc:subject>
  <dcterms:created xsi:type="dcterms:W3CDTF">2026-09-08T03:39:55Z</dcterms:created>
  <dcterms:modified xsi:type="dcterms:W3CDTF">2026-09-09T23:30:54Z</dcterms:modified>
</cp:coreProperties>
</file>