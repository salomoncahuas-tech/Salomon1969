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t>
        </is>
      </c>
      <c r="C9" s="6" t="inlineStr">
        <is>
          <t>Microcuenca (catálogo)</t>
        </is>
      </c>
      <c r="D9" s="7" t="inlineStr">
        <is>
          <t>C1096-Q9558</t>
        </is>
      </c>
      <c r="E9" s="8" t="n"/>
      <c r="F9" s="8" t="n"/>
    </row>
    <row r="10">
      <c r="A10" s="6" t="inlineStr">
        <is>
          <t>Zona de planificación</t>
        </is>
      </c>
      <c r="B10" s="7" t="inlineStr">
        <is>
          <t>Z01</t>
        </is>
      </c>
      <c r="C10" s="6" t="inlineStr">
        <is>
          <t>Microcuenca declarada en ficha DT</t>
        </is>
      </c>
      <c r="D10" s="7" t="inlineStr">
        <is>
          <t>C1096-Q9558</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Balcones de Talandracas (691 hab.; 602137 E / 9437858 N)</t>
        </is>
      </c>
      <c r="C13" s="6" t="inlineStr">
        <is>
          <t>Comunidad campesina</t>
        </is>
      </c>
      <c r="D13" s="7" t="inlineStr">
        <is>
          <t>Por verificar</t>
        </is>
      </c>
      <c r="E13" s="8" t="n"/>
      <c r="F13" s="8" t="n"/>
    </row>
    <row r="14">
      <c r="A14" s="6" t="inlineStr">
        <is>
          <t>Superficie de catálogo (V5/V6), ha</t>
        </is>
      </c>
      <c r="B14" s="7" t="n">
        <v>330.6</v>
      </c>
      <c r="C14" s="6" t="inlineStr">
        <is>
          <t>Fuente de superficie</t>
        </is>
      </c>
      <c r="D14" s="7" t="inlineStr">
        <is>
          <t>Catálogo maestro Bloques V5/V6</t>
        </is>
      </c>
      <c r="E14" s="8" t="n"/>
      <c r="F14" s="8" t="n"/>
    </row>
    <row r="15">
      <c r="A15" s="6" t="inlineStr">
        <is>
          <t>Centroide UTM ESTE (m)</t>
        </is>
      </c>
      <c r="B15" s="7" t="n">
        <v>603653</v>
      </c>
      <c r="C15" s="6" t="inlineStr">
        <is>
          <t>Centroide UTM NORTE (m)</t>
        </is>
      </c>
      <c r="D15" s="7" t="n">
        <v>9439351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142</v>
      </c>
      <c r="C19" s="6" t="inlineStr">
        <is>
          <t>Altitud máxima (msnm)</t>
        </is>
      </c>
      <c r="D19" s="7" t="n">
        <v>406</v>
      </c>
      <c r="E19" s="8" t="n"/>
      <c r="F19" s="8" t="n"/>
    </row>
    <row r="20">
      <c r="A20" s="6" t="inlineStr">
        <is>
          <t>Amplitud altitudinal (m)</t>
        </is>
      </c>
      <c r="B20" s="7" t="n">
        <v>264</v>
      </c>
      <c r="C20" s="6" t="inlineStr">
        <is>
          <t>Piso altitudinal dominante</t>
        </is>
      </c>
      <c r="D20" s="7" t="inlineStr">
        <is>
          <t>&lt;1000 m (Yunga)</t>
        </is>
      </c>
      <c r="E20" s="8" t="n"/>
      <c r="F20" s="8" t="n"/>
    </row>
    <row r="21">
      <c r="A21" s="6" t="inlineStr">
        <is>
          <t>Pendiente promedio (%)</t>
        </is>
      </c>
      <c r="B21" s="7" t="n">
        <v>13.27</v>
      </c>
      <c r="C21" s="6" t="inlineStr">
        <is>
          <t>Pendiente promedio (grados)</t>
        </is>
      </c>
      <c r="D21" s="7" t="n">
        <v>7.6</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0.3586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(69.48 %)</t>
        </is>
      </c>
      <c r="E29" s="8" t="n"/>
      <c r="F29" s="8" t="n"/>
    </row>
    <row r="30">
      <c r="A30" s="6" t="inlineStr">
        <is>
          <t>Superficie clasificada NDVI 2025 (ha)</t>
        </is>
      </c>
      <c r="B30" s="7" t="n">
        <v>330.776</v>
      </c>
      <c r="C30" s="6" t="inlineStr">
        <is>
          <t>Desviación frente al catálogo (%)</t>
        </is>
      </c>
      <c r="D30" s="7" t="n">
        <v>0.05</v>
      </c>
      <c r="E30" s="8" t="n"/>
      <c r="F30" s="8" t="n"/>
    </row>
    <row r="31">
      <c r="A31" s="6" t="inlineStr">
        <is>
          <t>Superficie clasificada MSAVI 2024 (ha)</t>
        </is>
      </c>
      <c r="B31" s="37" t="n">
        <v>330.599</v>
      </c>
      <c r="C31" s="6" t="inlineStr">
        <is>
          <t>Desviación MSAVI frente al catálogo (%)</t>
        </is>
      </c>
      <c r="D31" s="38" t="n">
        <v>0</v>
      </c>
      <c r="E31" s="8" t="n"/>
      <c r="F31" s="8" t="n"/>
    </row>
    <row r="32">
      <c r="A32" s="6" t="inlineStr">
        <is>
          <t>Superficie bajo umbral MSAVI 0.4976 (ha)</t>
        </is>
      </c>
      <c r="B32" s="37" t="n">
        <v>327.888</v>
      </c>
      <c r="C32" s="6" t="inlineStr">
        <is>
          <t>% del bloque bajo umbral (brecha espectral)</t>
        </is>
      </c>
      <c r="D32" s="38" t="n">
        <v>99.18000000000001</v>
      </c>
      <c r="E32" s="8" t="n"/>
      <c r="F32" s="8" t="n"/>
    </row>
    <row r="33">
      <c r="A33" s="6" t="inlineStr">
        <is>
          <t>Clase DN dominante (MSAVI 2024)</t>
        </is>
      </c>
      <c r="B33" s="7" t="inlineStr">
        <is>
          <t>DN 2 · 0.2650 - 0.3813 (Vigor muy bajo)</t>
        </is>
      </c>
      <c r="C33" s="6" t="inlineStr">
        <is>
          <t>N.° de polígonos MSAVI del bloque</t>
        </is>
      </c>
      <c r="D33" s="39" t="n">
        <v>904</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330.599 ha (100%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25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2026-07-02</t>
        </is>
      </c>
      <c r="E44" s="8" t="n"/>
      <c r="F44" s="8" t="n"/>
    </row>
    <row r="45">
      <c r="A45" s="6" t="inlineStr">
        <is>
          <t>Hora de registro</t>
        </is>
      </c>
      <c r="B45" s="7" t="inlineStr">
        <is>
          <t>15:13 - 15:40 h</t>
        </is>
      </c>
      <c r="C45" s="6" t="inlineStr">
        <is>
          <t>Correlativo de ficha</t>
        </is>
      </c>
      <c r="D45" s="7" t="inlineStr">
        <is>
          <t>F-DT-01-B2</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Sector sur (recorrido de reconocimiento, sin parcela permanente)</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socioeconómica de subsistencia y avance de la frontera predial/vial en el piedemonte inmediato a los CC.PP.</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0.0572</v>
      </c>
      <c r="C10" s="19">
        <f>ROUND(B10/$B$15*100,2)</f>
        <v>0.02</v>
      </c>
      <c r="D10" s="11" t="inlineStr">
        <is>
          <t>Vigor alto</t>
        </is>
      </c>
      <c r="E10" s="11" t="inlineStr">
        <is>
          <t>Sobre umbral</t>
        </is>
      </c>
    </row>
    <row r="11">
      <c r="A11" s="12" t="inlineStr">
        <is>
          <t>0.4976 - 0.6139 · DN 4</t>
        </is>
      </c>
      <c r="B11" s="20" t="n">
        <v>2.6537</v>
      </c>
      <c r="C11" s="21">
        <f>ROUND(B11/$B$15*100,2)</f>
        <v>0.8</v>
      </c>
      <c r="D11" s="13" t="inlineStr">
        <is>
          <t>Vigor moderado</t>
        </is>
      </c>
      <c r="E11" s="13" t="inlineStr">
        <is>
          <t>Sobre umbral</t>
        </is>
      </c>
    </row>
    <row r="12">
      <c r="A12" s="7" t="inlineStr">
        <is>
          <t>0.3813 - 0.4976 · DN 3</t>
        </is>
      </c>
      <c r="B12" s="18" t="n">
        <v>104.623</v>
      </c>
      <c r="C12" s="19">
        <f>ROUND(B12/$B$15*100,2)</f>
        <v>31.65</v>
      </c>
      <c r="D12" s="11" t="inlineStr">
        <is>
          <t>Vigor bajo</t>
        </is>
      </c>
      <c r="E12" s="11" t="inlineStr">
        <is>
          <t>BAJO umbral 0.4976</t>
        </is>
      </c>
    </row>
    <row r="13">
      <c r="A13" s="14" t="inlineStr">
        <is>
          <t>0.2650 - 0.3813 · DN 2</t>
        </is>
      </c>
      <c r="B13" s="30" t="n">
        <v>213.4429</v>
      </c>
      <c r="C13" s="29">
        <f>ROUND(B13/$B$15*100,2)</f>
        <v>64.56</v>
      </c>
      <c r="D13" s="15" t="inlineStr">
        <is>
          <t>Vigor muy bajo</t>
        </is>
      </c>
      <c r="E13" s="15" t="inlineStr">
        <is>
          <t>BAJO umbral 0.4976</t>
        </is>
      </c>
    </row>
    <row r="14">
      <c r="A14" s="7" t="inlineStr">
        <is>
          <t>&lt;= 0.2650 · DN 1</t>
        </is>
      </c>
      <c r="B14" s="18" t="n">
        <v>9.8223</v>
      </c>
      <c r="C14" s="19">
        <f>ROUND(B14/$B$15*100,2)</f>
        <v>2.97</v>
      </c>
      <c r="D14" s="11" t="inlineStr">
        <is>
          <t>Suelo desnudo / no vegetal</t>
        </is>
      </c>
      <c r="E14" s="11" t="inlineStr">
        <is>
          <t>BAJO umbral 0.4976</t>
        </is>
      </c>
    </row>
    <row r="15" ht="30" customHeight="1">
      <c r="A15" s="42" t="inlineStr">
        <is>
          <t>TOTAL CLASIFICADO MSAVI 2024</t>
        </is>
      </c>
      <c r="B15" s="43">
        <f>SUM(B10:B14)</f>
        <v>330.5991</v>
      </c>
      <c r="C15" s="44">
        <f>SUM(C10:C14)</f>
        <v>100.0</v>
      </c>
      <c r="D15" s="42" t="inlineStr">
        <is>
          <t>Suma de la distribución areal · 904 polígonos</t>
        </is>
      </c>
      <c r="E15" s="42" t="inlineStr">
        <is>
          <t>—</t>
        </is>
      </c>
    </row>
    <row r="16" ht="30" customHeight="1">
      <c r="A16" s="45" t="inlineStr">
        <is>
          <t>Superficie SOBRE umbral 0.4976 (ha)</t>
        </is>
      </c>
      <c r="B16" s="46">
        <f>SUM(B10:B11)</f>
        <v>2.7109</v>
      </c>
      <c r="C16" s="47">
        <f>ROUND(B16/B15*100,2)</f>
        <v>0.82</v>
      </c>
      <c r="D16" s="45" t="inlineStr">
        <is>
          <t>Vigor alto y moderado (DN 4 y DN 5)</t>
        </is>
      </c>
      <c r="E16" s="45" t="inlineStr">
        <is>
          <t>Sobre umbral 0.4976</t>
        </is>
      </c>
    </row>
    <row r="17" ht="30" customHeight="1">
      <c r="A17" s="45" t="inlineStr">
        <is>
          <t>Superficie BAJO umbral 0.4976 (ha) — brecha</t>
        </is>
      </c>
      <c r="B17" s="46">
        <f>SUM(B12:B14)</f>
        <v>327.8882</v>
      </c>
      <c r="C17" s="47">
        <f>ROUND(B17/B15*100,2)</f>
        <v>99.18</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330.6</v>
      </c>
      <c r="C18" s="48" t="inlineStr">
        <is>
          <t>—</t>
        </is>
      </c>
      <c r="D18" s="45" t="inlineStr">
        <is>
          <t>Desviación planimétrica frente al catálogo</t>
        </is>
      </c>
      <c r="E18" s="45" t="inlineStr">
        <is>
          <t>+0.00 %</t>
        </is>
      </c>
    </row>
    <row r="19">
      <c r="A19" s="16" t="inlineStr">
        <is>
          <t>MSAVI 2024 — MEDIA DEL BLOQUE</t>
        </is>
      </c>
      <c r="B19" s="17" t="n">
        <v>0.358601</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904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(0.3586)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1.0659</v>
      </c>
      <c r="C25" s="19" t="n">
        <v>0.32</v>
      </c>
      <c r="D25" s="11" t="inlineStr">
        <is>
          <t>Dosel continuo, matorral denso o mosaico agroforestal</t>
        </is>
      </c>
      <c r="E25" s="11" t="inlineStr"/>
    </row>
    <row r="26">
      <c r="A26" s="12" t="inlineStr">
        <is>
          <t>Vegetación mediana</t>
        </is>
      </c>
      <c r="B26" s="20" t="n">
        <v>95.17910000000001</v>
      </c>
      <c r="C26" s="21" t="n">
        <v>28.77</v>
      </c>
      <c r="D26" s="13" t="inlineStr">
        <is>
          <t>Pastizal cultivado, matorral ralo, parcelas agrícolas</t>
        </is>
      </c>
      <c r="E26" s="13" t="inlineStr"/>
    </row>
    <row r="27">
      <c r="A27" s="7" t="inlineStr">
        <is>
          <t>Vegetación ligera</t>
        </is>
      </c>
      <c r="B27" s="18" t="n">
        <v>229.8077</v>
      </c>
      <c r="C27" s="19" t="n">
        <v>69.48</v>
      </c>
      <c r="D27" s="11" t="inlineStr">
        <is>
          <t>Cobertura discontinua, suelo parcialmente expuesto</t>
        </is>
      </c>
      <c r="E27" s="11" t="inlineStr"/>
    </row>
    <row r="28">
      <c r="A28" s="12" t="inlineStr">
        <is>
          <t>Tierra desnuda</t>
        </is>
      </c>
      <c r="B28" s="20" t="n">
        <v>4.7229</v>
      </c>
      <c r="C28" s="21" t="n">
        <v>1.43</v>
      </c>
      <c r="D28" s="13" t="inlineStr">
        <is>
          <t>Suelo desnudo, afloramientos, plataformas y taludes</t>
        </is>
      </c>
      <c r="E28" s="13" t="inlineStr"/>
    </row>
    <row r="29">
      <c r="A29" s="16" t="inlineStr">
        <is>
          <t>TOTAL CLASIFICADO</t>
        </is>
      </c>
      <c r="B29" s="22">
        <f>SUM(B25:B28)</f>
        <v>330.7756</v>
      </c>
      <c r="C29" s="23">
        <f>SUM(C25:C28)</f>
        <v>100.0</v>
      </c>
      <c r="D29" s="17" t="inlineStr"/>
      <c r="E29" s="17" t="inlineStr"/>
    </row>
    <row r="30">
      <c r="A30" s="24" t="inlineStr">
        <is>
          <t>Superficie de catálogo (V5/V6)</t>
        </is>
      </c>
      <c r="B30" s="25" t="n">
        <v>330.6</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0.32 % del polígono clasificado como «Vegetación alta» por el NDVI 2025; la observación de campo corresponde a una parcela o recorrido puntual y no es estadísticamente representativa de las 330.600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t>
        </is>
      </c>
    </row>
    <row r="6" ht="24" customHeight="1">
      <c r="A6" s="4" t="inlineStr">
        <is>
          <t>Levantamiento del 2026-07-02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602909</v>
      </c>
      <c r="D10" s="26" t="n">
        <v>9438249</v>
      </c>
      <c r="E10" s="11" t="n">
        <v>1329.6</v>
      </c>
      <c r="F10" s="11" t="inlineStr"/>
      <c r="G10" s="11" t="inlineStr">
        <is>
          <t>Coordenada consignada en F-DT-01</t>
        </is>
      </c>
    </row>
    <row r="11">
      <c r="A11" s="12" t="inlineStr">
        <is>
          <t>H-01</t>
        </is>
      </c>
      <c r="B11" s="13" t="inlineStr">
        <is>
          <t>Fuente de agua — Río</t>
        </is>
      </c>
      <c r="C11" s="27" t="n">
        <v>603900</v>
      </c>
      <c r="D11" s="27" t="n">
        <v>9439300</v>
      </c>
      <c r="E11" s="13" t="n">
        <v>252.2</v>
      </c>
      <c r="F11" s="13" t="inlineStr">
        <is>
          <t>No evaluable</t>
        </is>
      </c>
      <c r="G11" s="13" t="inlineStr">
        <is>
          <t>Curso principal de cauce</t>
        </is>
      </c>
    </row>
    <row r="12">
      <c r="A12" s="7" t="inlineStr">
        <is>
          <t>H-02</t>
        </is>
      </c>
      <c r="B12" s="11" t="inlineStr">
        <is>
          <t>Fuente de agua — Quebrada estacional</t>
        </is>
      </c>
      <c r="C12" s="26" t="n">
        <v>603300</v>
      </c>
      <c r="D12" s="26" t="n">
        <v>9439600</v>
      </c>
      <c r="E12" s="11" t="n">
        <v>432</v>
      </c>
      <c r="F12" s="11" t="inlineStr">
        <is>
          <t>Estacional</t>
        </is>
      </c>
      <c r="G12" s="11" t="inlineStr">
        <is>
          <t>Quebrada tributaria seca</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603653</v>
      </c>
      <c r="C15" s="6" t="inlineStr">
        <is>
          <t>Centroide del bloque — UTM NORTE (m)</t>
        </is>
      </c>
      <c r="D15" s="7" t="n">
        <v>9439351</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7"/>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02/07/2026, sector sur/acceso. Altitud GPS no registrada. Forma del terreno, pendiente, posición fisiográfica y exposición son JUICIO EXPERTO sobre el sector recorrido: requieren confirmación con MDE para el polígono completo.</t>
        </is>
      </c>
      <c r="B18" s="40" t="n"/>
      <c r="C18" s="40" t="n"/>
      <c r="D18" s="40" t="n"/>
      <c r="E18" s="40" t="n"/>
      <c r="F18" s="40" t="n"/>
      <c r="G18" s="41"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C1096-Q9558 — BLOQUE 2</t>
        </is>
      </c>
    </row>
    <row r="6" ht="24" customHeight="1">
      <c r="A6" s="4" t="inlineStr">
        <is>
          <t>Distrito de Chulucanas · Provincia de Morropon · Comparación de los bloques preliminares de intervención de la misma microcuenca</t>
        </is>
      </c>
    </row>
    <row r="7"/>
    <row r="8" ht="18" customHeight="1">
      <c r="A8" s="5" t="inlineStr">
        <is>
          <t>BLOQUES DE LA MICROCUENCA C1096-Q9558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2</t>
        </is>
      </c>
      <c r="B10" s="28" t="n">
        <v>330.6</v>
      </c>
      <c r="C10" s="29" t="n">
        <v>90.34</v>
      </c>
      <c r="D10" s="15" t="inlineStr">
        <is>
          <t>142 – 406</t>
        </is>
      </c>
      <c r="E10" s="15" t="n">
        <v>264</v>
      </c>
      <c r="F10" s="15" t="n">
        <v>13.27</v>
      </c>
      <c r="G10" s="30" t="n">
        <v>0.3586</v>
      </c>
      <c r="H10" s="29" t="n">
        <v>0.32</v>
      </c>
      <c r="I10" s="29" t="n">
        <v>99.18000000000001</v>
      </c>
    </row>
    <row r="11">
      <c r="A11" s="12" t="inlineStr">
        <is>
          <t>M8B2</t>
        </is>
      </c>
      <c r="B11" s="31" t="n">
        <v>35.35</v>
      </c>
      <c r="C11" s="21" t="n">
        <v>9.66</v>
      </c>
      <c r="D11" s="13" t="inlineStr">
        <is>
          <t>882 – 1181</t>
        </is>
      </c>
      <c r="E11" s="13" t="n">
        <v>299</v>
      </c>
      <c r="F11" s="13" t="n">
        <v>24.49</v>
      </c>
      <c r="G11" s="20" t="n">
        <v>0.5305</v>
      </c>
      <c r="H11" s="21" t="n">
        <v>59.58</v>
      </c>
      <c r="I11" s="21" t="n">
        <v>31.22</v>
      </c>
    </row>
    <row r="12">
      <c r="A12" s="16" t="inlineStr">
        <is>
          <t>TOTAL / PROMEDIO</t>
        </is>
      </c>
      <c r="B12" s="32">
        <f>SUM(B10:B11)</f>
        <v>365.95</v>
      </c>
      <c r="C12" s="23">
        <f>SUM(C10:C11)</f>
        <v>100.0</v>
      </c>
      <c r="D12" s="17" t="inlineStr">
        <is>
          <t>142 – 1181</t>
        </is>
      </c>
      <c r="E12" s="17" t="inlineStr"/>
      <c r="F12" s="17">
        <f>ROUND(AVERAGE(F10:F11),2)</f>
        <v>18.88</v>
      </c>
      <c r="G12" s="22">
        <f>ROUND(AVERAGE(G10:G11),4)</f>
        <v>0.4446</v>
      </c>
      <c r="H12" s="23">
        <f>ROUND(AVERAGE(H10:H11),2)</f>
        <v>29.95</v>
      </c>
      <c r="I12" s="23">
        <f>ROUND(AVERAGE(I10:I11),2)</f>
        <v>65.2</v>
      </c>
    </row>
    <row r="13"/>
    <row r="14" ht="84" customHeight="1">
      <c r="A14" s="9" t="inlineStr">
        <is>
          <t>LECTURA INTRAMICROCUENCA. El bloque 2 ocupa el puesto 1 de 2 por superficie dentro de la microcuenca C1096-Q9558 (90.34 % de las 365.95 ha preliminares de la microcuenca). Su pendiente promedio (13.27 %, clase «8-15% (Mod. inclinado)») es la 1.ª más baja de 2 y se sitúa por debajo del promedio de la microcuenca (18.88 %). Su MSAVI 2024 (0.3586) es el 2.º de 2 y queda por debajo del promedio local (0.4445). Amplitud altitudinal del bloque: 264 m (142–406 msnm). El cuadro conserva todos los bloques catalogados en la microcuenca, incluidos los descartados en el tamizaje, para referencia del conjunto. Los bloques sin ficha DT figuran con sus parámetros de gabinete. BRECHA ESPECTRAL. El 99.18 % de la superficie del bloque (327.888 ha de 330.599 ha) se sitúa bajo el umbral MSAVI 0.4976, por encima del promedio local de la microcuenca (65.20 %) calculado sobre los bloques con dato MSAVI disponible.</t>
        </is>
      </c>
      <c r="B14" s="40" t="n"/>
      <c r="C14" s="40" t="n"/>
      <c r="D14" s="40" t="n"/>
      <c r="E14" s="40" t="n"/>
      <c r="F14" s="40" t="n"/>
      <c r="G14" s="40" t="n"/>
      <c r="H14" s="41"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1"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«C1096-Q9558»</t>
        </is>
      </c>
      <c r="D10" s="34" t="inlineStr">
        <is>
          <t>CONFORME</t>
        </is>
      </c>
      <c r="E10" s="33" t="inlineStr">
        <is>
          <t>Sin acción.</t>
        </is>
      </c>
    </row>
    <row r="11" ht="48" customHeight="1">
      <c r="A11" s="35" t="inlineStr">
        <is>
          <t>D-02</t>
        </is>
      </c>
      <c r="B11" s="35" t="inlineStr">
        <is>
          <t>UTM del punto de muestreo</t>
        </is>
      </c>
      <c r="C11" s="35" t="inlineStr">
        <is>
          <t>El punto de muestreo declarado (602909 E / 9438249 N) dista 1,330 m del centroide de catálogo (603653 E / 9439351 N), distancia incompatible con la superficie del bloque (330.6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(330.776 ha) coincide con la de catálogo (330.6 ha) dentro del ±2 % (+0.05 %)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«15-25% (Fuert. inclinado)»; la estadística zonal sobre el MDE arroja una pendiente promedio de 13.27 %, que corresponde a la clase «8-15% (Mod.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70 % de cobertura vegetal en campo; el NDVI mediana 2025 clasifica 98.57 %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Altitud GPS del punto de muestreo</t>
        </is>
      </c>
      <c r="C15" s="35" t="inlineStr">
        <is>
          <t>La aplicación de captura no registró altitud GPS en campo</t>
        </is>
      </c>
      <c r="D15" s="15" t="inlineStr">
        <is>
          <t>NO SUSTANTIVA</t>
        </is>
      </c>
      <c r="E15" s="35" t="inlineStr">
        <is>
          <t>El rango altitudinal del bloque (142–406 msnm) y la pendiente promedio (13.27 %) se toman de la estadística zonal sobre el MDE, no de medición de campo. Se declara la fuente.</t>
        </is>
      </c>
    </row>
    <row r="16" ht="48" customHeight="1">
      <c r="A16" s="33" t="inlineStr">
        <is>
          <t>D-07</t>
        </is>
      </c>
      <c r="B16" s="33" t="inlineStr">
        <is>
          <t>Elenco florístico</t>
        </is>
      </c>
      <c r="C16" s="33" t="inlineStr">
        <is>
          <t>La ficha registra 10 taxones, por debajo del mínimo de 15 que exige el formato V5</t>
        </is>
      </c>
      <c r="D16" s="36" t="inlineStr">
        <is>
          <t>SUSTANTIVA</t>
        </is>
      </c>
      <c r="E16" s="33" t="inlineStr">
        <is>
          <t>Registro florístico preliminar, sin colecta ni determinación botánica formal. Debe cerrarse con colecta botánica en la siguiente campaña.</t>
        </is>
      </c>
    </row>
    <row r="17" ht="48" customHeight="1">
      <c r="A17" s="35" t="inlineStr">
        <is>
          <t>D-08</t>
        </is>
      </c>
      <c r="B17" s="35" t="inlineStr">
        <is>
          <t>Centro poblado asociado</t>
        </is>
      </c>
      <c r="C17" s="35" t="inlineStr">
        <is>
          <t>La ficha DT declara «Balcones de Talandracas (691 hab.; 602137 E / 9437858 N)»; el cruce INEI-Bloques V5 identifica 1 centro(s) poblado(s) en el bloque: BALCONES DE TALANDRACAS</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3" t="inlineStr">
        <is>
          <t>D-10</t>
        </is>
      </c>
      <c r="B19" s="33" t="inlineStr">
        <is>
          <t>Distribución areal MSAVI 2024</t>
        </is>
      </c>
      <c r="C19" s="33" t="inlineStr">
        <is>
          <t>La distribución por clase de MSAVI no figuraba en los insumos del entregable y se consignaba «Por determinar»; se incorpora la estadística zonal del ráster MSAVI clasificado (904 polígonos, 330.599 ha)</t>
        </is>
      </c>
      <c r="D19" s="36" t="inlineStr">
        <is>
          <t>CORREGIDO</t>
        </is>
      </c>
      <c r="E19" s="33"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3" t="inlineStr">
        <is>
          <t>D-11</t>
        </is>
      </c>
      <c r="B20" s="33" t="inlineStr">
        <is>
          <t>Superficie MSAVI vs. catálogo</t>
        </is>
      </c>
      <c r="C20" s="33" t="inlineStr">
        <is>
          <t>La superficie total clasificada por el MSAVI 2024 (330.599 ha) frente a la de catálogo V5/V6 (330.600 ha): desviación de +0.00 %</t>
        </is>
      </c>
      <c r="D20" s="36" t="inlineStr">
        <is>
          <t>CONFORME</t>
        </is>
      </c>
      <c r="E20" s="33" t="inlineStr">
        <is>
          <t>Sin acción: la segmentación del ráster valida la geometría del bloque dentro del ±2 %.</t>
        </is>
      </c>
    </row>
    <row r="21" ht="48" customHeight="1">
      <c r="A21" s="33" t="inlineStr">
        <is>
          <t>D-12</t>
        </is>
      </c>
      <c r="B21" s="33" t="inlineStr">
        <is>
          <t>Media MSAVI vs. clase DN dominante</t>
        </is>
      </c>
      <c r="C21" s="33" t="inlineStr">
        <is>
          <t>La media del bloque (0.3586) cae en la clase «DN 2 · 0.2650 - 0.3813 (Vigor muy bajo)»; la clase de mayor superficie es «DN 2 · 0.2650 - 0.3813 (Vigor muy bajo)», con 64.56 % del bloque. Superficie bajo el umbral 0.4976: 327.888 ha (99.18 %)</t>
        </is>
      </c>
      <c r="D21" s="36" t="inlineStr">
        <is>
          <t>CONFORME</t>
        </is>
      </c>
      <c r="E21" s="33" t="inlineStr">
        <is>
          <t>Sin acción: la media del bloque y la clase de mayor superficie coinciden.</t>
        </is>
      </c>
    </row>
    <row r="22"/>
    <row r="23">
      <c r="A23" s="16" t="inlineStr">
        <is>
          <t>RESUMEN</t>
        </is>
      </c>
      <c r="B23" s="17" t="inlineStr">
        <is>
          <t>12 verificaciones</t>
        </is>
      </c>
      <c r="C23" s="17" t="inlineStr">
        <is>
          <t>CONFORME: 5 · CORREGIDO: 1 · NO SUSTANTIVA: 3 · SUSTANTIVA: 3</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0" t="n"/>
      <c r="C25" s="40" t="n"/>
      <c r="D25" s="40" t="n"/>
      <c r="E25" s="41"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 — IN Piura</dc:title>
  <dc:subject>Diagnóstico Territorial por bloque de intervención</dc:subject>
  <dcterms:created xsi:type="dcterms:W3CDTF">2026-09-08T03:39:53Z</dcterms:created>
  <dcterms:modified xsi:type="dcterms:W3CDTF">2026-09-10T00:28:27Z</dcterms:modified>
</cp:coreProperties>
</file>