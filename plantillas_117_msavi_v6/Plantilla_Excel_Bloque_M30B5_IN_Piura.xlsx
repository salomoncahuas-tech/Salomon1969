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M30B5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M30B5</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7" t="inlineStr">
        <is>
          <t>No consignada</t>
        </is>
      </c>
      <c r="E13" s="8" t="n"/>
      <c r="F13" s="8" t="n"/>
    </row>
    <row r="14">
      <c r="A14" s="6" t="inlineStr">
        <is>
          <t>Superficie de catálogo (V5/V6), ha</t>
        </is>
      </c>
      <c r="B14" s="7" t="n">
        <v>90.90000000000001</v>
      </c>
      <c r="C14" s="6" t="inlineStr">
        <is>
          <t>Fuente de superficie</t>
        </is>
      </c>
      <c r="D14" s="7" t="inlineStr">
        <is>
          <t>Catálogo maestro Bloques V5/V6</t>
        </is>
      </c>
      <c r="E14" s="8" t="n"/>
      <c r="F14" s="8" t="n"/>
    </row>
    <row r="15">
      <c r="A15" s="6" t="inlineStr">
        <is>
          <t>Centroide UTM ESTE (m)</t>
        </is>
      </c>
      <c r="B15" s="7" t="n">
        <v>655263</v>
      </c>
      <c r="C15" s="6" t="inlineStr">
        <is>
          <t>Centroide UTM NORTE (m)</t>
        </is>
      </c>
      <c r="D15" s="7" t="n">
        <v>9427340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1782</v>
      </c>
      <c r="C19" s="6" t="inlineStr">
        <is>
          <t>Altitud máxima (msnm)</t>
        </is>
      </c>
      <c r="D19" s="7" t="n">
        <v>2307</v>
      </c>
      <c r="E19" s="8" t="n"/>
      <c r="F19" s="8" t="n"/>
    </row>
    <row r="20">
      <c r="A20" s="6" t="inlineStr">
        <is>
          <t>Amplitud altitudinal (m)</t>
        </is>
      </c>
      <c r="B20" s="7" t="n">
        <v>525</v>
      </c>
      <c r="C20" s="6" t="inlineStr">
        <is>
          <t>Piso altitudinal dominante</t>
        </is>
      </c>
      <c r="D20" s="7" t="inlineStr">
        <is>
          <t>2000-2500 m (Quechua alta)</t>
        </is>
      </c>
      <c r="E20" s="8" t="n"/>
      <c r="F20" s="8" t="n"/>
    </row>
    <row r="21">
      <c r="A21" s="6" t="inlineStr">
        <is>
          <t>Pendiente promedio (%)</t>
        </is>
      </c>
      <c r="B21" s="7" t="n">
        <v>21.23</v>
      </c>
      <c r="C21" s="6" t="inlineStr">
        <is>
          <t>Pendiente promedio (grados)</t>
        </is>
      </c>
      <c r="D21" s="7" t="n">
        <v>12</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21.23° = 38.84%</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0.5564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(79.46 %)</t>
        </is>
      </c>
      <c r="E29" s="8" t="n"/>
      <c r="F29" s="8" t="n"/>
    </row>
    <row r="30">
      <c r="A30" s="6" t="inlineStr">
        <is>
          <t>Superficie clasificada NDVI 2025 (ha)</t>
        </is>
      </c>
      <c r="B30" s="7" t="n">
        <v>90.922</v>
      </c>
      <c r="C30" s="6" t="inlineStr">
        <is>
          <t>Desviación frente al catálogo (%)</t>
        </is>
      </c>
      <c r="D30" s="7" t="n">
        <v>0.02</v>
      </c>
      <c r="E30" s="8" t="n"/>
      <c r="F30" s="8" t="n"/>
    </row>
    <row r="31">
      <c r="A31" s="6" t="inlineStr">
        <is>
          <t>Superficie clasificada MSAVI 2024 (ha)</t>
        </is>
      </c>
      <c r="B31" s="39" t="n">
        <v>90.90300000000001</v>
      </c>
      <c r="C31" s="6" t="inlineStr">
        <is>
          <t>Desviación MSAVI frente al catálogo (%)</t>
        </is>
      </c>
      <c r="D31" s="40" t="n">
        <v>0</v>
      </c>
      <c r="E31" s="8" t="n"/>
      <c r="F31" s="8" t="n"/>
    </row>
    <row r="32">
      <c r="A32" s="6" t="inlineStr">
        <is>
          <t>Superficie bajo umbral MSAVI 0.4976 (ha)</t>
        </is>
      </c>
      <c r="B32" s="39" t="n">
        <v>30.026</v>
      </c>
      <c r="C32" s="6" t="inlineStr">
        <is>
          <t>% del bloque bajo umbral (brecha espectral)</t>
        </is>
      </c>
      <c r="D32" s="40" t="n">
        <v>33.03</v>
      </c>
      <c r="E32" s="8" t="n"/>
      <c r="F32" s="8" t="n"/>
    </row>
    <row r="33">
      <c r="A33" s="6" t="inlineStr">
        <is>
          <t>Clase DN dominante (MSAVI 2024)</t>
        </is>
      </c>
      <c r="B33" s="7" t="inlineStr">
        <is>
          <t>DN 4 · 0.4976 - 0.6139 (Vigor moderado)</t>
        </is>
      </c>
      <c r="C33" s="6" t="inlineStr">
        <is>
          <t>N.° de polígonos MSAVI del bloque</t>
        </is>
      </c>
      <c r="D33" s="41" t="n">
        <v>335</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74.64 ha de Zona agrícola (82.1%) y 16.267 ha de Matorral andino (17.9%) según cartografía MINAM; la superficie consignada corresponde a la unidad dominante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2</v>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de campo IN Piura – ANIN/DIME-SESDI</t>
        </is>
      </c>
      <c r="C44" s="6" t="inlineStr">
        <is>
          <t>Fecha de evaluación</t>
        </is>
      </c>
      <c r="D44" s="7" t="inlineStr">
        <is>
          <t>2026-08-13</t>
        </is>
      </c>
      <c r="E44" s="8" t="n"/>
      <c r="F44" s="8" t="n"/>
    </row>
    <row r="45">
      <c r="A45" s="6" t="inlineStr">
        <is>
          <t>Hora de registro</t>
        </is>
      </c>
      <c r="B45" s="7" t="inlineStr">
        <is>
          <t>13:49 - 14:03 h</t>
        </is>
      </c>
      <c r="C45" s="6" t="inlineStr">
        <is>
          <t>Correlativo de ficha</t>
        </is>
      </c>
      <c r="D45" s="7" t="inlineStr">
        <is>
          <t>F-DT-01 / M30B5 / 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directa en transecto (sin parcela permanente instalada)</t>
        </is>
      </c>
      <c r="E47" s="8" t="n"/>
      <c r="F47" s="8" t="n"/>
    </row>
    <row r="48">
      <c r="A48" s="6" t="inlineStr">
        <is>
          <t>Estaciones fotográficas georreferenciadas</t>
        </is>
      </c>
      <c r="B48" s="7" t="n">
        <v>7</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ganadera familiar de subsistencia sobre suelos de aptitud forestal y de protección, sin ordenamiento predial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M30B5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25.8497</v>
      </c>
      <c r="C10" s="19">
        <f>ROUND(B10/$B$15*100,2)</f>
        <v/>
      </c>
      <c r="D10" s="11" t="inlineStr">
        <is>
          <t>Vigor alto</t>
        </is>
      </c>
      <c r="E10" s="11" t="inlineStr">
        <is>
          <t>Sobre umbral</t>
        </is>
      </c>
    </row>
    <row r="11">
      <c r="A11" s="12" t="inlineStr">
        <is>
          <t>0.4976 - 0.6139 · DN 4</t>
        </is>
      </c>
      <c r="B11" s="31" t="n">
        <v>35.0273</v>
      </c>
      <c r="C11" s="30">
        <f>ROUND(B11/$B$15*100,2)</f>
        <v/>
      </c>
      <c r="D11" s="13" t="inlineStr">
        <is>
          <t>Vigor moderado</t>
        </is>
      </c>
      <c r="E11" s="13" t="inlineStr">
        <is>
          <t>Sobre umbral</t>
        </is>
      </c>
    </row>
    <row r="12">
      <c r="A12" s="7" t="inlineStr">
        <is>
          <t>0.3813 - 0.4976 · DN 3</t>
        </is>
      </c>
      <c r="B12" s="18" t="n">
        <v>29.3772</v>
      </c>
      <c r="C12" s="19">
        <f>ROUND(B12/$B$15*100,2)</f>
        <v/>
      </c>
      <c r="D12" s="11" t="inlineStr">
        <is>
          <t>Vigor bajo</t>
        </is>
      </c>
      <c r="E12" s="11" t="inlineStr">
        <is>
          <t>BAJO umbral 0.4976</t>
        </is>
      </c>
    </row>
    <row r="13">
      <c r="A13" s="14" t="inlineStr">
        <is>
          <t>0.2650 - 0.3813 · DN 2</t>
        </is>
      </c>
      <c r="B13" s="20" t="n">
        <v>0.6493</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335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90.90000000000001</v>
      </c>
      <c r="C18" s="50" t="inlineStr">
        <is>
          <t>—</t>
        </is>
      </c>
      <c r="D18" s="47" t="inlineStr">
        <is>
          <t>Desviación planimétrica frente al catálogo</t>
        </is>
      </c>
      <c r="E18" s="47" t="inlineStr">
        <is>
          <t>+0.00 %</t>
        </is>
      </c>
    </row>
    <row r="19">
      <c r="A19" s="16" t="inlineStr">
        <is>
          <t>MSAVI 2024 — MEDIA DEL BLOQUE</t>
        </is>
      </c>
      <c r="B19" s="17" t="n">
        <v>0.5564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(0.5564)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72.2496</v>
      </c>
      <c r="C25" s="19" t="n">
        <v>79.45999999999999</v>
      </c>
      <c r="D25" s="11" t="inlineStr">
        <is>
          <t>Dosel continuo, matorral denso o mosaico agroforestal</t>
        </is>
      </c>
      <c r="E25" s="11" t="inlineStr"/>
    </row>
    <row r="26">
      <c r="A26" s="14" t="inlineStr">
        <is>
          <t>Vegetación mediana</t>
        </is>
      </c>
      <c r="B26" s="20" t="n">
        <v>18.4809</v>
      </c>
      <c r="C26" s="21" t="n">
        <v>20.33</v>
      </c>
      <c r="D26" s="15" t="inlineStr">
        <is>
          <t>Pastizal cultivado, matorral ralo, parcelas agrícolas</t>
        </is>
      </c>
      <c r="E26" s="15" t="inlineStr"/>
    </row>
    <row r="27">
      <c r="A27" s="7" t="inlineStr">
        <is>
          <t>Vegetación ligera</t>
        </is>
      </c>
      <c r="B27" s="18" t="n">
        <v>0.1913</v>
      </c>
      <c r="C27" s="19" t="n">
        <v>0.21</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90.90000000000001</v>
      </c>
      <c r="C29" s="25" t="inlineStr">
        <is>
          <t>—</t>
        </is>
      </c>
      <c r="D29" s="25" t="inlineStr">
        <is>
          <t>Desviación planimétrica frente al catálogo</t>
        </is>
      </c>
      <c r="E29" s="25" t="inlineStr">
        <is>
          <t>+0.02 %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79.46 % del polígono clasificado como «Vegetación alta» por el NDVI 2025; la observación de campo corresponde a una parcela o recorrido puntual y no es estadísticamente representativa de las 90.900 ha del bloque.</t>
        </is>
      </c>
      <c r="B31" s="42" t="n"/>
      <c r="C31" s="42" t="n"/>
      <c r="D31" s="42" t="n"/>
      <c r="E31" s="43"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M30B5</t>
        </is>
      </c>
    </row>
    <row r="6" ht="24" customHeight="1">
      <c r="A6" s="4" t="inlineStr">
        <is>
          <t>Levantamiento del 2026-08-13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655188</v>
      </c>
      <c r="D10" s="26" t="n">
        <v>9427633</v>
      </c>
      <c r="E10" s="11" t="n">
        <v>302.4</v>
      </c>
      <c r="F10" s="11" t="inlineStr"/>
      <c r="G10" s="11" t="inlineStr">
        <is>
          <t>Coordenada consignada en F-DT-01</t>
        </is>
      </c>
    </row>
    <row r="11">
      <c r="A11" s="14" t="inlineStr">
        <is>
          <t>C-01</t>
        </is>
      </c>
      <c r="B11" s="15" t="inlineStr">
        <is>
          <t>Rasgo erosivo — 655142</t>
        </is>
      </c>
      <c r="C11" s="27" t="n">
        <v>9427609</v>
      </c>
      <c r="D11" s="27" t="inlineStr">
        <is>
          <t>Por verificar</t>
        </is>
      </c>
      <c r="E11" s="15" t="inlineStr"/>
      <c r="F11" s="15" t="inlineStr">
        <is>
          <t>Por verificar</t>
        </is>
      </c>
      <c r="G11" s="15" t="inlineStr">
        <is>
          <t>Por verificar</t>
        </is>
      </c>
    </row>
    <row r="12">
      <c r="A12" s="7" t="inlineStr">
        <is>
          <t>C-02</t>
        </is>
      </c>
      <c r="B12" s="11" t="inlineStr">
        <is>
          <t>Rasgo erosivo — 655109</t>
        </is>
      </c>
      <c r="C12" s="26" t="n">
        <v>9427610</v>
      </c>
      <c r="D12" s="26" t="inlineStr">
        <is>
          <t>Por verificar</t>
        </is>
      </c>
      <c r="E12" s="11" t="inlineStr"/>
      <c r="F12" s="11" t="inlineStr">
        <is>
          <t>Por verificar</t>
        </is>
      </c>
      <c r="G12" s="11" t="inlineStr">
        <is>
          <t>Por verificar</t>
        </is>
      </c>
    </row>
    <row r="13">
      <c r="A13" s="14" t="inlineStr">
        <is>
          <t>H-01</t>
        </is>
      </c>
      <c r="B13" s="15" t="inlineStr">
        <is>
          <t>Fuente de agua — 1</t>
        </is>
      </c>
      <c r="C13" s="27" t="inlineStr">
        <is>
          <t>Manantial / Puquio</t>
        </is>
      </c>
      <c r="D13" s="27" t="n">
        <v>655109</v>
      </c>
      <c r="E13" s="15" t="inlineStr"/>
      <c r="F13" s="15" t="n">
        <v>9427610</v>
      </c>
      <c r="G13" s="15" t="inlineStr"/>
    </row>
    <row r="14">
      <c r="A14" s="7" t="inlineStr">
        <is>
          <t>H-02</t>
        </is>
      </c>
      <c r="B14" s="11" t="inlineStr">
        <is>
          <t>Fuente de agua — 2</t>
        </is>
      </c>
      <c r="C14" s="26" t="inlineStr">
        <is>
          <t>Quebrada estacional</t>
        </is>
      </c>
      <c r="D14" s="26" t="n">
        <v>655060</v>
      </c>
      <c r="E14" s="11" t="inlineStr"/>
      <c r="F14" s="11" t="n">
        <v>9427662</v>
      </c>
      <c r="G14" s="11" t="inlineStr"/>
    </row>
    <row r="15">
      <c r="A15" s="14" t="inlineStr">
        <is>
          <t>B-01</t>
        </is>
      </c>
      <c r="B15" s="15" t="inlineStr">
        <is>
          <t>Especie clave — Salix humboldtiana (Sauce)</t>
        </is>
      </c>
      <c r="C15" s="27" t="inlineStr">
        <is>
          <t>655152</t>
        </is>
      </c>
      <c r="D15" s="27" t="inlineStr">
        <is>
          <t>9427615</t>
        </is>
      </c>
      <c r="E15" s="15" t="n">
        <v>296.6</v>
      </c>
      <c r="F15" s="15" t="inlineStr">
        <is>
          <t>Indicadora de buen estado</t>
        </is>
      </c>
      <c r="G15" s="15" t="inlineStr">
        <is>
          <t>NE - No Evaluado</t>
        </is>
      </c>
    </row>
    <row r="16">
      <c r="A16" s="7" t="inlineStr">
        <is>
          <t>B-02</t>
        </is>
      </c>
      <c r="B16" s="11" t="inlineStr">
        <is>
          <t>Especie clave — Baccharis sp. (Chilca)</t>
        </is>
      </c>
      <c r="C16" s="26" t="inlineStr">
        <is>
          <t>655142</t>
        </is>
      </c>
      <c r="D16" s="26" t="inlineStr">
        <is>
          <t>9427609</t>
        </is>
      </c>
      <c r="E16" s="11" t="n">
        <v>295</v>
      </c>
      <c r="F16" s="11" t="inlineStr">
        <is>
          <t>Indicadora de perturbación</t>
        </is>
      </c>
      <c r="G16" s="11"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655263</v>
      </c>
      <c r="C19" s="6" t="inlineStr">
        <is>
          <t>Centroide del bloque — UTM NORTE (m)</t>
        </is>
      </c>
      <c r="D19" s="7" t="n">
        <v>9427340</v>
      </c>
      <c r="E19" s="8" t="n"/>
      <c r="F19" s="8" t="n"/>
      <c r="G19" s="8" t="n"/>
      <c r="H19" s="8" t="n"/>
    </row>
    <row r="20">
      <c r="A20" s="6" t="inlineStr">
        <is>
          <t>N.° de estaciones fotográficas declaradas</t>
        </is>
      </c>
      <c r="B20" s="7" t="n">
        <v>7</v>
      </c>
      <c r="C20" s="6" t="inlineStr">
        <is>
          <t>Estaciones dentro del polígono</t>
        </is>
      </c>
      <c r="D20" s="7" t="n">
        <v>7</v>
      </c>
      <c r="E20" s="8" t="n"/>
      <c r="F20" s="8" t="n"/>
      <c r="G20" s="8" t="n"/>
      <c r="H20" s="8" t="n"/>
    </row>
    <row r="22" ht="15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CÓDIGO: los siete registros fotográficos georreferenciados (13-08-2026, 13:53-14:03 h) se ubican entre E 655 060 - 655 228 y N 9 427 609 - 9 427 690, dentro del polígono (centroide oficial E 655 263 / N 9 427 340); rotulado de campo consistente con la base tbl_Bloques; NO se detectan discrepancias de codificación. ÁREA: 90.90 ha (tbl_Bloques V4) / 90.903 ha (Bloques_V5) / 90.922 ha (base CP-Bloques V5); diferencia máxima de 0.02 ha, no significativa; se adopta 90.90 ha. INDICIOS DE INESTABILIDAD: afloramiento rocoso subvertical de aspecto columnar en la cumbre del sector este; escarpes activos y cicatrices de suelo desnudo de color claro en laderas; reptación evidenciada por terracetas de pisoteo continuas; escarpe de deslizamiento antiguo en el sector central. Dimensiones no medidas en campo — POR VERIFICAR con levantamiento topográfico de detalle.</t>
        </is>
      </c>
      <c r="B22" s="42" t="n"/>
      <c r="C22" s="42" t="n"/>
      <c r="D22" s="42" t="n"/>
      <c r="E22" s="42" t="n"/>
      <c r="F22" s="42" t="n"/>
      <c r="G22" s="43"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M30B5</t>
        </is>
      </c>
    </row>
    <row r="6" ht="24" customHeight="1">
      <c r="A6" s="4" t="inlineStr">
        <is>
          <t>Distrito de Huancabamba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1" t="inlineStr">
        <is>
          <t>1171 – 1769</t>
        </is>
      </c>
      <c r="E10" s="11" t="n">
        <v>598</v>
      </c>
      <c r="F10" s="11" t="n">
        <v>31.55</v>
      </c>
      <c r="G10" s="18" t="n">
        <v>0.6403</v>
      </c>
      <c r="H10" s="19" t="n">
        <v>94.08</v>
      </c>
      <c r="I10" s="19" t="n">
        <v>8.84</v>
      </c>
    </row>
    <row r="11">
      <c r="A11" s="12" t="inlineStr">
        <is>
          <t>► M30B5</t>
        </is>
      </c>
      <c r="B11" s="29" t="n">
        <v>90.90000000000001</v>
      </c>
      <c r="C11" s="30" t="n">
        <v>16.46</v>
      </c>
      <c r="D11" s="13" t="inlineStr">
        <is>
          <t>1782 – 2307</t>
        </is>
      </c>
      <c r="E11" s="13" t="n">
        <v>525</v>
      </c>
      <c r="F11" s="13" t="n">
        <v>21.23</v>
      </c>
      <c r="G11" s="31" t="n">
        <v>0.5564</v>
      </c>
      <c r="H11" s="30" t="n">
        <v>79.45999999999999</v>
      </c>
      <c r="I11" s="30" t="n">
        <v>33.03</v>
      </c>
    </row>
    <row r="12">
      <c r="A12" s="7" t="inlineStr">
        <is>
          <t>21</t>
        </is>
      </c>
      <c r="B12" s="28" t="n">
        <v>84.23</v>
      </c>
      <c r="C12" s="19" t="n">
        <v>15.25</v>
      </c>
      <c r="D12" s="11" t="inlineStr">
        <is>
          <t>1353 – 2004</t>
        </is>
      </c>
      <c r="E12" s="11" t="n">
        <v>651</v>
      </c>
      <c r="F12" s="11" t="n">
        <v>31.71</v>
      </c>
      <c r="G12" s="18" t="n">
        <v>0.6201</v>
      </c>
      <c r="H12" s="19" t="n">
        <v>89.39</v>
      </c>
      <c r="I12" s="19" t="n">
        <v>5.17</v>
      </c>
    </row>
    <row r="13">
      <c r="A13" s="14" t="inlineStr">
        <is>
          <t>28</t>
        </is>
      </c>
      <c r="B13" s="32" t="n">
        <v>52.97</v>
      </c>
      <c r="C13" s="21" t="n">
        <v>9.59</v>
      </c>
      <c r="D13" s="15" t="inlineStr">
        <is>
          <t>1462 – 1856</t>
        </is>
      </c>
      <c r="E13" s="15" t="n">
        <v>394</v>
      </c>
      <c r="F13" s="15" t="n">
        <v>30.36</v>
      </c>
      <c r="G13" s="20" t="n">
        <v>0.6394</v>
      </c>
      <c r="H13" s="21" t="n">
        <v>96.64</v>
      </c>
      <c r="I13" s="21" t="n">
        <v>0.93</v>
      </c>
    </row>
    <row r="14">
      <c r="A14" s="7" t="inlineStr">
        <is>
          <t>26</t>
        </is>
      </c>
      <c r="B14" s="28" t="n">
        <v>46.96</v>
      </c>
      <c r="C14" s="19" t="n">
        <v>8.5</v>
      </c>
      <c r="D14" s="11" t="inlineStr">
        <is>
          <t>1260 – 1855</t>
        </is>
      </c>
      <c r="E14" s="11" t="n">
        <v>595</v>
      </c>
      <c r="F14" s="11" t="n">
        <v>32.26</v>
      </c>
      <c r="G14" s="18" t="n">
        <v>0.6733</v>
      </c>
      <c r="H14" s="19" t="n">
        <v>97.29000000000001</v>
      </c>
      <c r="I14" s="19" t="n">
        <v>2.35</v>
      </c>
    </row>
    <row r="15">
      <c r="A15" s="14" t="inlineStr">
        <is>
          <t>60</t>
        </is>
      </c>
      <c r="B15" s="32" t="n">
        <v>40.13</v>
      </c>
      <c r="C15" s="21" t="n">
        <v>7.27</v>
      </c>
      <c r="D15" s="15" t="inlineStr">
        <is>
          <t>1638 – 2073</t>
        </is>
      </c>
      <c r="E15" s="15" t="n">
        <v>435</v>
      </c>
      <c r="F15" s="15" t="n">
        <v>32.67</v>
      </c>
      <c r="G15" s="20" t="n">
        <v>0.6745</v>
      </c>
      <c r="H15" s="21" t="n">
        <v>99.90000000000001</v>
      </c>
      <c r="I15" s="21" t="n">
        <v>0.61</v>
      </c>
    </row>
    <row r="16">
      <c r="A16" s="7" t="inlineStr">
        <is>
          <t>64</t>
        </is>
      </c>
      <c r="B16" s="28" t="n">
        <v>35.77</v>
      </c>
      <c r="C16" s="19" t="n">
        <v>6.48</v>
      </c>
      <c r="D16" s="11" t="inlineStr">
        <is>
          <t>2412 – 2651</t>
        </is>
      </c>
      <c r="E16" s="11" t="n">
        <v>239</v>
      </c>
      <c r="F16" s="11" t="n">
        <v>28.18</v>
      </c>
      <c r="G16" s="18" t="n">
        <v>0.5254</v>
      </c>
      <c r="H16" s="19" t="n">
        <v>78.22</v>
      </c>
      <c r="I16" s="19" t="n">
        <v>41.48</v>
      </c>
    </row>
    <row r="17">
      <c r="A17" s="14" t="inlineStr">
        <is>
          <t>37</t>
        </is>
      </c>
      <c r="B17" s="32" t="n">
        <v>35.49</v>
      </c>
      <c r="C17" s="21" t="n">
        <v>6.43</v>
      </c>
      <c r="D17" s="15" t="inlineStr">
        <is>
          <t>1184 – 1455</t>
        </is>
      </c>
      <c r="E17" s="15" t="n">
        <v>271</v>
      </c>
      <c r="F17" s="15" t="n">
        <v>23.59</v>
      </c>
      <c r="G17" s="20" t="n">
        <v>0.6588000000000001</v>
      </c>
      <c r="H17" s="21" t="n">
        <v>98.02</v>
      </c>
      <c r="I17" s="21" t="n">
        <v>1.92</v>
      </c>
    </row>
    <row r="18">
      <c r="A18" s="7" t="inlineStr">
        <is>
          <t>30</t>
        </is>
      </c>
      <c r="B18" s="28" t="n">
        <v>34.87</v>
      </c>
      <c r="C18" s="19" t="n">
        <v>6.31</v>
      </c>
      <c r="D18" s="11" t="inlineStr">
        <is>
          <t>1216 – 1541</t>
        </is>
      </c>
      <c r="E18" s="11" t="n">
        <v>325</v>
      </c>
      <c r="F18" s="11" t="n">
        <v>27.91</v>
      </c>
      <c r="G18" s="18" t="n">
        <v>0.6637999999999999</v>
      </c>
      <c r="H18" s="19" t="n">
        <v>99.38</v>
      </c>
      <c r="I18" s="19" t="n">
        <v>1.31</v>
      </c>
    </row>
    <row r="19">
      <c r="A19" s="14" t="inlineStr">
        <is>
          <t>40</t>
        </is>
      </c>
      <c r="B19" s="32" t="n">
        <v>28.52</v>
      </c>
      <c r="C19" s="21" t="n">
        <v>5.16</v>
      </c>
      <c r="D19" s="15" t="inlineStr">
        <is>
          <t>1407 – 1656</t>
        </is>
      </c>
      <c r="E19" s="15" t="n">
        <v>249</v>
      </c>
      <c r="F19" s="15"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1"/>
    <row r="22" ht="84" customHeight="1">
      <c r="A22" s="9" t="inlineStr">
        <is>
          <t>LECTURA INTRAMICROCUENCA. El bloque M30B5 ocupa el puesto 2 de 10 por superficie dentro de la microcuenca C1081-Q9591 (16.46 % de las 552.18 ha preliminares de la microcuenca). Su pendiente promedio (21.23 %, clase «15-25% (Fuert. inclinado)») es la 1.ª más baja de 10 y se sitúa por debajo del promedio de la microcuenca (29.09 %). Su MSAVI 2024 (0.5564) es el 9.º de 10 y queda por debajo del promedio local (0.6292). Amplitud altitudinal del bloque: 525 m (1782–2307 msnm). El cuadro conserva todos los bloques catalogados en la microcuenca, incluidos los descartados en el tamizaje, para referencia del conjunto. Los bloques sin ficha DT figuran con sus parámetros de gabinete. BRECHA ESPECTRAL. El 33.03 % de la superficie del bloque (30.026 ha de 90.903 ha) se sitúa bajo el umbral MSAVI 0.4976, por encima del promedio local de la microcuenca (9.85 %) calculado sobre los bloques con dato MSAVI disponible.</t>
        </is>
      </c>
      <c r="B22" s="42" t="n"/>
      <c r="C22" s="42" t="n"/>
      <c r="D22" s="42" t="n"/>
      <c r="E22" s="42" t="n"/>
      <c r="F22" s="42" t="n"/>
      <c r="G22" s="42" t="n"/>
      <c r="H22" s="43"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3"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M30B5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302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(90.922 ha) coincide con la de catálogo (90.9 ha) dentro del ±2 % (+0.02 %)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promedio de gabinete 21.23° = 38.84%»; la estadística zonal sobre el MDE arroja una pendiente promedio de 21.23 %,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«2000-2500 m (Quechua alta) — clase predominante por cota media; el polígono cruza los 2 000 m: lóbulos norte y noroeste entre 1 782 y 2 000 msnm (Quechua media) y lóbulo sur entre 2 000 y 2 307 msnm»; el MDE sitúa el bloque entre 1782 y 2307 msnm, cuyo punto medio corresponde a «2000-2500 m (Quechua alta)»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9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El rango altitudinal declarado (2000-2500 m) corresponde a la clase predominante por cota media; el polígono cruza los 2 000 m y sus lóbulos norte y noroeste están en piso Quechua media</t>
        </is>
      </c>
      <c r="D18" s="13" t="inlineStr">
        <is>
          <t>NO SUSTANTIVA</t>
        </is>
      </c>
      <c r="E18" s="34" t="inlineStr">
        <is>
          <t>Se declara el criterio de clasificación y el rango real 1 782 - 2 307 msnm</t>
        </is>
      </c>
    </row>
    <row r="19" ht="48" customHeight="1">
      <c r="A19" s="36" t="inlineStr">
        <is>
          <t>D-10</t>
        </is>
      </c>
      <c r="B19" s="36" t="inlineStr">
        <is>
          <t>F-DT-01</t>
        </is>
      </c>
      <c r="C19" s="36" t="inlineStr">
        <is>
          <t>Área con tres valores en las bases (90.90 / 90.903 / 90.922 ha)</t>
        </is>
      </c>
      <c r="D19" s="38" t="inlineStr">
        <is>
          <t>CORREGIDO</t>
        </is>
      </c>
      <c r="E19" s="36" t="inlineStr">
        <is>
          <t>Diferencia máxima 0.02 ha, no significativa; se adopta 90.90 ha</t>
        </is>
      </c>
    </row>
    <row r="20" ht="48" customHeight="1">
      <c r="A20" s="34" t="inlineStr">
        <is>
          <t>D-11</t>
        </is>
      </c>
      <c r="B20" s="34" t="inlineStr">
        <is>
          <t>F-DT-02</t>
        </is>
      </c>
      <c r="C20" s="34" t="inlineStr">
        <is>
          <t>Inventario de cárcavas PARCIAL: sólo dos rasgos del borde norte; sin longitud, profundidad, ancho ni densidad</t>
        </is>
      </c>
      <c r="D20" s="37" t="inlineStr">
        <is>
          <t>SUSTANTIVA</t>
        </is>
      </c>
      <c r="E20" s="34" t="inlineStr">
        <is>
          <t>POR VERIFICAR; no se estiman valores. El interior y el lóbulo sur no fueron recorridos</t>
        </is>
      </c>
    </row>
    <row r="21" ht="48" customHeight="1">
      <c r="A21" s="36" t="inlineStr">
        <is>
          <t>D-12</t>
        </is>
      </c>
      <c r="B21" s="36" t="inlineStr">
        <is>
          <t>F-DT-03</t>
        </is>
      </c>
      <c r="C21" s="36" t="inlineStr">
        <is>
          <t>Composición florística de 9 entradas frente al mínimo de 15; entradas 6 a 9 son morfoespecies no determinadas</t>
        </is>
      </c>
      <c r="D21" s="37" t="inlineStr">
        <is>
          <t>SUSTANTIVA</t>
        </is>
      </c>
      <c r="E21" s="36" t="inlineStr">
        <is>
          <t>No se asignan nombres científicos por inferencia; requiere colecta y herborización</t>
        </is>
      </c>
    </row>
    <row r="22" ht="48" customHeight="1">
      <c r="A22" s="34" t="inlineStr">
        <is>
          <t>D-13</t>
        </is>
      </c>
      <c r="B22" s="34" t="inlineStr">
        <is>
          <t>F-DT-03</t>
        </is>
      </c>
      <c r="C22" s="34" t="inlineStr">
        <is>
          <t>DAP promedio no medido</t>
        </is>
      </c>
      <c r="D22" s="37" t="inlineStr">
        <is>
          <t>SUSTANTIVA</t>
        </is>
      </c>
      <c r="E22" s="34" t="inlineStr">
        <is>
          <t>POR VERIFICAR mediante parcela de muestreo forestal</t>
        </is>
      </c>
    </row>
    <row r="23" ht="48" customHeight="1">
      <c r="A23" s="36" t="inlineStr">
        <is>
          <t>D-14</t>
        </is>
      </c>
      <c r="B23" s="36" t="inlineStr">
        <is>
          <t>F-DT-04</t>
        </is>
      </c>
      <c r="C23" s="36" t="inlineStr">
        <is>
          <t>Antigüedad de las causas no levantada; indicadores 5, 6 y 7 sin valor</t>
        </is>
      </c>
      <c r="D23" s="13" t="inlineStr">
        <is>
          <t>NO SUSTANTIVA</t>
        </is>
      </c>
      <c r="E23" s="36" t="inlineStr">
        <is>
          <t>POR VERIFICAR; no han sido estimados</t>
        </is>
      </c>
    </row>
    <row r="24" ht="48" customHeight="1">
      <c r="A24" s="34" t="inlineStr">
        <is>
          <t>D-15</t>
        </is>
      </c>
      <c r="B24" s="34" t="inlineStr">
        <is>
          <t>F-DT-05</t>
        </is>
      </c>
      <c r="C24" s="34" t="inlineStr">
        <is>
          <t>Señal celular, operador y alojamiento dejados en blanco por no admitir sus listas la opción "Por verificar"</t>
        </is>
      </c>
      <c r="D24" s="13" t="inlineStr">
        <is>
          <t>NO SUSTANTIVA</t>
        </is>
      </c>
      <c r="E24" s="34" t="inlineStr">
        <is>
          <t>Se declara el vacío en lugar de estimar</t>
        </is>
      </c>
    </row>
    <row r="25" ht="48" customHeight="1">
      <c r="A25" s="36" t="inlineStr">
        <is>
          <t>D-16</t>
        </is>
      </c>
      <c r="B25" s="36" t="inlineStr">
        <is>
          <t>F-DT-05</t>
        </is>
      </c>
      <c r="C25" s="36" t="inlineStr">
        <is>
          <t>El manantial aflora en el frente de un talud de cárcava en retroceso activo</t>
        </is>
      </c>
      <c r="D25" s="37" t="inlineStr">
        <is>
          <t>SUSTANTIVA</t>
        </is>
      </c>
      <c r="E25" s="36" t="inlineStr">
        <is>
          <t>Se eleva como prioridad de protección: cerco de exclusión, estabilización del talud con obras vivas y revegetación de cabecera</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(335 polígonos, 90.903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(90.903 ha) frente a la de catálogo V5/V6 (90.900 ha): desviación de +0.00 %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(0.5564) cae en la clase «DN 4 · 0.4976 - 0.6139 (Vigor moderado)»; la clase de mayor superficie es «DN 4 · 0.4976 - 0.6139 (Vigor moderado)», con 38.53 % del bloque. Superficie bajo el umbral 0.4976: 30.026 ha (33.03 %)</t>
        </is>
      </c>
      <c r="D28" s="37"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5 · CORREGIDO: 2 · NO SUSTANTIVA: 6 · SUSTANTIVA: 6</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M30B5 — IN Piura</dc:title>
  <dc:subject>Diagnóstico Territorial por bloque de intervención</dc:subject>
  <dcterms:created xsi:type="dcterms:W3CDTF">2026-09-08T03:39:58Z</dcterms:created>
  <dcterms:modified xsi:type="dcterms:W3CDTF">2026-09-09T23:30:55Z</dcterms:modified>
</cp:coreProperties>
</file>