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Cobertura MSAVI-NDVI" sheetId="2" state="visible" r:id="rId2"/>
    <sheet name="Estaciones fotográficas" sheetId="3" state="visible" r:id="rId3"/>
    <sheet name="Microcuenca" sheetId="4" state="visible" r:id="rId4"/>
    <sheet name="Control de consistencia" sheetId="5" state="visible" r:id="rId5"/>
  </sheets>
  <definedNames/>
  <calcPr calcId="124519" fullCalcOnLoad="1"/>
</workbook>
</file>

<file path=xl/styles.xml><?xml version="1.0" encoding="utf-8"?>
<styleSheet xmlns="http://schemas.openxmlformats.org/spreadsheetml/2006/main">
  <numFmts count="2">
    <numFmt numFmtId="164" formatCode="0.0000"/>
    <numFmt numFmtId="165" formatCode="0.000"/>
  </numFmts>
  <fonts count="9">
    <font>
      <name val="Calibri"/>
      <family val="2"/>
      <color theme="1"/>
      <sz val="11"/>
      <scheme val="minor"/>
    </font>
    <font>
      <name val="Arial"/>
      <b val="1"/>
      <color rgb="00FFFFFF"/>
      <sz val="10"/>
    </font>
    <font>
      <name val="Arial"/>
      <color rgb="00FFFFFF"/>
      <sz val="8"/>
    </font>
    <font>
      <name val="Arial"/>
      <b val="1"/>
      <color rgb="001B4D2E"/>
      <sz val="12"/>
    </font>
    <font>
      <name val="Arial"/>
      <i val="1"/>
      <color rgb="00555555"/>
      <sz val="8"/>
    </font>
    <font>
      <name val="Arial"/>
      <b val="1"/>
      <sz val="9"/>
    </font>
    <font>
      <name val="Arial"/>
      <sz val="9"/>
    </font>
    <font>
      <name val="Arial"/>
      <i val="1"/>
      <color rgb="00333333"/>
      <sz val="8"/>
    </font>
    <font>
      <name val="Arial"/>
      <b val="1"/>
      <color rgb="00FFFFFF"/>
      <sz val="9"/>
    </font>
  </fonts>
  <fills count="10">
    <fill>
      <patternFill/>
    </fill>
    <fill>
      <patternFill patternType="gray125"/>
    </fill>
    <fill>
      <patternFill patternType="solid">
        <fgColor rgb="001B4D2E"/>
      </patternFill>
    </fill>
    <fill>
      <patternFill patternType="solid">
        <fgColor rgb="001B4F72"/>
      </patternFill>
    </fill>
    <fill>
      <patternFill patternType="solid">
        <fgColor rgb="00E8F0EA"/>
      </patternFill>
    </fill>
    <fill>
      <patternFill patternType="solid">
        <fgColor rgb="00F2F2F2"/>
      </patternFill>
    </fill>
    <fill>
      <patternFill patternType="solid">
        <fgColor rgb="00FFF2CC"/>
      </patternFill>
    </fill>
    <fill>
      <patternFill patternType="solid">
        <fgColor rgb="00D9E1F2"/>
      </patternFill>
    </fill>
    <fill>
      <patternFill patternType="solid">
        <fgColor rgb="00F8CBAD"/>
      </patternFill>
    </fill>
    <fill>
      <patternFill patternType="solid">
        <fgColor rgb="00C6E0B4"/>
      </patternFill>
    </fill>
  </fills>
  <borders count="7">
    <border>
      <left/>
      <right/>
      <top/>
      <bottom/>
      <diagonal/>
    </border>
    <border>
      <left style="thin">
        <color rgb="009C9C9C"/>
      </left>
      <right style="thin">
        <color rgb="009C9C9C"/>
      </right>
      <top style="thin">
        <color rgb="009C9C9C"/>
      </top>
      <bottom style="thin">
        <color rgb="009C9C9C"/>
      </bottom>
    </border>
    <border>
      <left/>
      <right/>
      <top style="thin">
        <color rgb="009C9C9C"/>
      </top>
      <bottom/>
      <diagonal/>
    </border>
    <border>
      <left/>
      <right style="thin">
        <color rgb="009C9C9C"/>
      </right>
      <top style="thin">
        <color rgb="009C9C9C"/>
      </top>
      <bottom/>
      <diagonal/>
    </border>
    <border>
      <left/>
      <right/>
      <top style="thin">
        <color rgb="009C9C9C"/>
      </top>
      <bottom style="thin">
        <color rgb="009C9C9C"/>
      </bottom>
      <diagonal/>
    </border>
    <border>
      <left/>
      <right style="thin">
        <color rgb="009C9C9C"/>
      </right>
      <top style="thin">
        <color rgb="009C9C9C"/>
      </top>
      <bottom style="thin">
        <color rgb="009C9C9C"/>
      </bottom>
      <diagonal/>
    </border>
    <border>
      <left style="thin">
        <color rgb="00B7C4BA"/>
      </left>
      <right style="thin">
        <color rgb="00B7C4BA"/>
      </right>
      <top style="thin">
        <color rgb="00B7C4BA"/>
      </top>
      <bottom style="thin">
        <color rgb="00B7C4BA"/>
      </bottom>
    </border>
  </borders>
  <cellStyleXfs count="1">
    <xf numFmtId="0" fontId="0" fillId="0" borderId="0"/>
  </cellStyleXfs>
  <cellXfs count="51">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center" vertical="center" wrapText="1"/>
    </xf>
    <xf numFmtId="0" fontId="3" fillId="4" borderId="0" applyAlignment="1" pivotButton="0" quotePrefix="0" xfId="0">
      <alignment horizontal="center" vertical="center"/>
    </xf>
    <xf numFmtId="0" fontId="4" fillId="0" borderId="0" applyAlignment="1" pivotButton="0" quotePrefix="0" xfId="0">
      <alignment horizontal="center" vertical="center" wrapText="1"/>
    </xf>
    <xf numFmtId="0" fontId="1" fillId="2" borderId="0" applyAlignment="1" pivotButton="0" quotePrefix="0" xfId="0">
      <alignment horizontal="left" vertical="center" indent="1"/>
    </xf>
    <xf numFmtId="0" fontId="5" fillId="5" borderId="1" applyAlignment="1" pivotButton="0" quotePrefix="0" xfId="0">
      <alignment horizontal="left" vertical="center" wrapText="1" indent="1"/>
    </xf>
    <xf numFmtId="0" fontId="6" fillId="0" borderId="1" applyAlignment="1" pivotButton="0" quotePrefix="0" xfId="0">
      <alignment horizontal="left" vertical="center" wrapText="1" indent="1"/>
    </xf>
    <xf numFmtId="0" fontId="0" fillId="0" borderId="1" pivotButton="0" quotePrefix="0" xfId="0"/>
    <xf numFmtId="0" fontId="7" fillId="0" borderId="1" applyAlignment="1" pivotButton="0" quotePrefix="0" xfId="0">
      <alignment horizontal="justify" vertical="top" wrapText="1"/>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4" borderId="1" applyAlignment="1" pivotButton="0" quotePrefix="0" xfId="0">
      <alignment horizontal="left" vertical="center" wrapText="1" indent="1"/>
    </xf>
    <xf numFmtId="0" fontId="6" fillId="4" borderId="1" applyAlignment="1" pivotButton="0" quotePrefix="0" xfId="0">
      <alignment horizontal="center" vertical="center" wrapText="1"/>
    </xf>
    <xf numFmtId="0" fontId="5" fillId="6" borderId="1" applyAlignment="1" pivotButton="0" quotePrefix="0" xfId="0">
      <alignment horizontal="left" vertical="center" wrapText="1" indent="1"/>
    </xf>
    <xf numFmtId="0" fontId="5" fillId="6" borderId="1" applyAlignment="1" pivotButton="0" quotePrefix="0" xfId="0">
      <alignment horizontal="center" vertical="center" wrapText="1"/>
    </xf>
    <xf numFmtId="0" fontId="5" fillId="4" borderId="1" applyAlignment="1" pivotButton="0" quotePrefix="0" xfId="0">
      <alignment horizontal="left" vertical="center" wrapText="1" indent="1"/>
    </xf>
    <xf numFmtId="0" fontId="5" fillId="4"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1" applyAlignment="1" pivotButton="0" quotePrefix="0" xfId="0">
      <alignment horizontal="center" vertical="center" wrapText="1"/>
    </xf>
    <xf numFmtId="164" fontId="6" fillId="4" borderId="1" applyAlignment="1" pivotButton="0" quotePrefix="0" xfId="0">
      <alignment horizontal="center" vertical="center" wrapText="1"/>
    </xf>
    <xf numFmtId="2" fontId="6" fillId="4" borderId="1" applyAlignment="1" pivotButton="0" quotePrefix="0" xfId="0">
      <alignment horizontal="center" vertical="center" wrapText="1"/>
    </xf>
    <xf numFmtId="164" fontId="5" fillId="4" borderId="1" applyAlignment="1" pivotButton="0" quotePrefix="0" xfId="0">
      <alignment horizontal="center" vertical="center" wrapText="1"/>
    </xf>
    <xf numFmtId="2" fontId="5" fillId="4" borderId="1" applyAlignment="1" pivotButton="0" quotePrefix="0" xfId="0">
      <alignment horizontal="center" vertical="center" wrapText="1"/>
    </xf>
    <xf numFmtId="0" fontId="5" fillId="0" borderId="1" applyAlignment="1" pivotButton="0" quotePrefix="0" xfId="0">
      <alignment horizontal="left" vertical="center" wrapText="1" indent="1"/>
    </xf>
    <xf numFmtId="0" fontId="5" fillId="0" borderId="1" applyAlignment="1" pivotButton="0" quotePrefix="0" xfId="0">
      <alignment horizontal="center" vertical="center" wrapText="1"/>
    </xf>
    <xf numFmtId="3" fontId="6" fillId="0" borderId="1" applyAlignment="1" pivotButton="0" quotePrefix="0" xfId="0">
      <alignment horizontal="center" vertical="center" wrapText="1"/>
    </xf>
    <xf numFmtId="3" fontId="6" fillId="4" borderId="1" applyAlignment="1" pivotButton="0" quotePrefix="0" xfId="0">
      <alignment horizontal="center" vertical="center" wrapText="1"/>
    </xf>
    <xf numFmtId="165" fontId="6" fillId="0" borderId="1" applyAlignment="1" pivotButton="0" quotePrefix="0" xfId="0">
      <alignment horizontal="center" vertical="center" wrapText="1"/>
    </xf>
    <xf numFmtId="165" fontId="6" fillId="4" borderId="1" applyAlignment="1" pivotButton="0" quotePrefix="0" xfId="0">
      <alignment horizontal="center" vertical="center" wrapText="1"/>
    </xf>
    <xf numFmtId="165" fontId="5" fillId="6" borderId="1" applyAlignment="1" pivotButton="0" quotePrefix="0" xfId="0">
      <alignment horizontal="center" vertical="center" wrapText="1"/>
    </xf>
    <xf numFmtId="2" fontId="5" fillId="6" borderId="1" applyAlignment="1" pivotButton="0" quotePrefix="0" xfId="0">
      <alignment horizontal="center" vertical="center" wrapText="1"/>
    </xf>
    <xf numFmtId="164" fontId="5" fillId="6" borderId="1" applyAlignment="1" pivotButton="0" quotePrefix="0" xfId="0">
      <alignment horizontal="center" vertical="center" wrapText="1"/>
    </xf>
    <xf numFmtId="165" fontId="5" fillId="4" borderId="1" applyAlignment="1" pivotButton="0" quotePrefix="0" xfId="0">
      <alignment horizontal="center" vertical="center" wrapText="1"/>
    </xf>
    <xf numFmtId="0" fontId="6" fillId="0" borderId="1" applyAlignment="1" pivotButton="0" quotePrefix="0" xfId="0">
      <alignment horizontal="left" vertical="top" wrapText="1" indent="1"/>
    </xf>
    <xf numFmtId="0" fontId="5" fillId="7" borderId="1" applyAlignment="1" pivotButton="0" quotePrefix="0" xfId="0">
      <alignment horizontal="center" vertical="center" wrapText="1"/>
    </xf>
    <xf numFmtId="0" fontId="6" fillId="4" borderId="1" applyAlignment="1" pivotButton="0" quotePrefix="0" xfId="0">
      <alignment horizontal="left" vertical="top" wrapText="1" indent="1"/>
    </xf>
    <xf numFmtId="0" fontId="5" fillId="8" borderId="1" applyAlignment="1" pivotButton="0" quotePrefix="0" xfId="0">
      <alignment horizontal="center" vertical="center" wrapText="1"/>
    </xf>
    <xf numFmtId="0" fontId="5" fillId="9" borderId="1" applyAlignment="1" pivotButton="0" quotePrefix="0" xfId="0">
      <alignment horizontal="center" vertical="center" wrapText="1"/>
    </xf>
    <xf numFmtId="165" fontId="6" fillId="0" borderId="1" applyAlignment="1" pivotButton="0" quotePrefix="0" xfId="0">
      <alignment horizontal="left" vertical="center" wrapText="1" indent="1"/>
    </xf>
    <xf numFmtId="2" fontId="6" fillId="0" borderId="1" applyAlignment="1" pivotButton="0" quotePrefix="0" xfId="0">
      <alignment horizontal="left" vertical="center" wrapText="1" indent="1"/>
    </xf>
    <xf numFmtId="1" fontId="6" fillId="0" borderId="1" applyAlignment="1" pivotButton="0" quotePrefix="0" xfId="0">
      <alignment horizontal="left" vertical="center" wrapText="1" indent="1"/>
    </xf>
    <xf numFmtId="0" fontId="0" fillId="0" borderId="4" pivotButton="0" quotePrefix="0" xfId="0"/>
    <xf numFmtId="0" fontId="0" fillId="0" borderId="5" pivotButton="0" quotePrefix="0" xfId="0"/>
    <xf numFmtId="0" fontId="5" fillId="4" borderId="6" applyAlignment="1" pivotButton="0" quotePrefix="0" xfId="0">
      <alignment horizontal="left" vertical="center" wrapText="1"/>
    </xf>
    <xf numFmtId="164" fontId="5" fillId="4" borderId="6" applyAlignment="1" pivotButton="0" quotePrefix="0" xfId="0">
      <alignment horizontal="center" vertical="center" wrapText="1"/>
    </xf>
    <xf numFmtId="2" fontId="5" fillId="4" borderId="6" applyAlignment="1" pivotButton="0" quotePrefix="0" xfId="0">
      <alignment horizontal="center" vertical="center" wrapText="1"/>
    </xf>
    <xf numFmtId="0" fontId="6" fillId="0" borderId="6" applyAlignment="1" pivotButton="0" quotePrefix="0" xfId="0">
      <alignment horizontal="left" vertical="center" wrapText="1"/>
    </xf>
    <xf numFmtId="164" fontId="6" fillId="0" borderId="6" applyAlignment="1" pivotButton="0" quotePrefix="0" xfId="0">
      <alignment horizontal="center" vertical="center" wrapText="1"/>
    </xf>
    <xf numFmtId="2" fontId="6" fillId="0" borderId="6" applyAlignment="1" pivotButton="0" quotePrefix="0" xfId="0">
      <alignment horizontal="center" vertical="center" wrapText="1"/>
    </xf>
    <xf numFmtId="0" fontId="6" fillId="0" borderId="6"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7"/>
  <sheetViews>
    <sheetView showGridLines="0" workbookViewId="0">
      <pane ySplit="6" topLeftCell="A7" activePane="bottomLeft" state="frozen"/>
      <selection pane="bottomLeft" activeCell="A1" sqref="A1"/>
    </sheetView>
  </sheetViews>
  <sheetFormatPr baseColWidth="8" defaultRowHeight="15"/>
  <cols>
    <col width="26" customWidth="1" min="1" max="1"/>
    <col width="30" customWidth="1" min="2" max="2"/>
    <col width="26" customWidth="1" min="3" max="3"/>
    <col width="30" customWidth="1" min="4" max="4"/>
    <col width="14" customWidth="1" min="5" max="5"/>
    <col width="14" customWidth="1" min="6" max="6"/>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FICHA RESUMEN — BLOQUE PRELIMINAR DE INTERVENCIÓN M7B6</t>
        </is>
      </c>
    </row>
    <row r="6" ht="24" customHeight="1">
      <c r="A6" s="4" t="inlineStr">
        <is>
          <t>Diagnóstico Territorial — Plantilla DT Campo Check Validada V5 | Sistema de referencia: UTM WGS 84 Zona 17S (EPSG:32717)</t>
        </is>
      </c>
    </row>
    <row r="7"/>
    <row r="8" ht="18" customHeight="1">
      <c r="A8" s="5" t="inlineStr">
        <is>
          <t>1. IDENTIFICACIÓN Y LOCALIZACIÓN</t>
        </is>
      </c>
    </row>
    <row r="9">
      <c r="A9" s="6" t="inlineStr">
        <is>
          <t>Código del bloque</t>
        </is>
      </c>
      <c r="B9" s="7" t="inlineStr">
        <is>
          <t>M7B6</t>
        </is>
      </c>
      <c r="C9" s="6" t="inlineStr">
        <is>
          <t>Microcuenca (catálogo)</t>
        </is>
      </c>
      <c r="D9" s="7" t="inlineStr">
        <is>
          <t>C1076-Q9581</t>
        </is>
      </c>
      <c r="E9" s="8" t="n"/>
      <c r="F9" s="8" t="n"/>
    </row>
    <row r="10">
      <c r="A10" s="6" t="inlineStr">
        <is>
          <t>Zona de planificación</t>
        </is>
      </c>
      <c r="B10" s="7" t="inlineStr">
        <is>
          <t>Z07</t>
        </is>
      </c>
      <c r="C10" s="6" t="inlineStr">
        <is>
          <t>Microcuenca declarada en ficha DT</t>
        </is>
      </c>
      <c r="D10" s="7" t="inlineStr">
        <is>
          <t>C1076-Q9581</t>
        </is>
      </c>
      <c r="E10" s="8" t="n"/>
      <c r="F10" s="8" t="n"/>
    </row>
    <row r="11">
      <c r="A11" s="6" t="inlineStr">
        <is>
          <t>Departamento</t>
        </is>
      </c>
      <c r="B11" s="7" t="inlineStr">
        <is>
          <t>Piura</t>
        </is>
      </c>
      <c r="C11" s="6" t="inlineStr">
        <is>
          <t>Provincia</t>
        </is>
      </c>
      <c r="D11" s="7" t="inlineStr">
        <is>
          <t>Morropon</t>
        </is>
      </c>
      <c r="E11" s="8" t="n"/>
      <c r="F11" s="8" t="n"/>
    </row>
    <row r="12">
      <c r="A12" s="6" t="inlineStr">
        <is>
          <t>Distrito</t>
        </is>
      </c>
      <c r="B12" s="7" t="inlineStr">
        <is>
          <t>Salitral</t>
        </is>
      </c>
      <c r="C12" s="6" t="inlineStr">
        <is>
          <t>Capital distrital</t>
        </is>
      </c>
      <c r="D12" s="7" t="inlineStr">
        <is>
          <t>Salitral</t>
        </is>
      </c>
      <c r="E12" s="8" t="n"/>
      <c r="F12" s="8" t="n"/>
    </row>
    <row r="13">
      <c r="A13" s="6" t="inlineStr">
        <is>
          <t>Centro poblado asociado</t>
        </is>
      </c>
      <c r="B13" s="7" t="inlineStr">
        <is>
          <t>Serrán / Nuevo San Juan</t>
        </is>
      </c>
      <c r="C13" s="6" t="inlineStr">
        <is>
          <t>Comunidad campesina</t>
        </is>
      </c>
      <c r="D13" s="7" t="inlineStr">
        <is>
          <t>No aplica</t>
        </is>
      </c>
      <c r="E13" s="8" t="n"/>
      <c r="F13" s="8" t="n"/>
    </row>
    <row r="14">
      <c r="A14" s="6" t="inlineStr">
        <is>
          <t>Superficie de catálogo (V5/V6), ha</t>
        </is>
      </c>
      <c r="B14" s="7" t="n">
        <v>91.29000000000001</v>
      </c>
      <c r="C14" s="6" t="inlineStr">
        <is>
          <t>Fuente de superficie</t>
        </is>
      </c>
      <c r="D14" s="7" t="inlineStr">
        <is>
          <t>Catálogo maestro Bloques V5/V6</t>
        </is>
      </c>
      <c r="E14" s="8" t="n"/>
      <c r="F14" s="8" t="n"/>
    </row>
    <row r="15">
      <c r="A15" s="6" t="inlineStr">
        <is>
          <t>Centroide UTM ESTE (m)</t>
        </is>
      </c>
      <c r="B15" s="7" t="n">
        <v>635110</v>
      </c>
      <c r="C15" s="6" t="inlineStr">
        <is>
          <t>Centroide UTM NORTE (m)</t>
        </is>
      </c>
      <c r="D15" s="7" t="n">
        <v>9399092</v>
      </c>
      <c r="E15" s="8" t="n"/>
      <c r="F15" s="8" t="n"/>
    </row>
    <row r="16">
      <c r="A16" s="6" t="inlineStr">
        <is>
          <t>Sistema de coordenadas</t>
        </is>
      </c>
      <c r="B16" s="7" t="inlineStr">
        <is>
          <t>UTM WGS 84 Zona 17S (EPSG:32717)</t>
        </is>
      </c>
      <c r="C16" s="6" t="inlineStr">
        <is>
          <t>Tipo de intervención</t>
        </is>
      </c>
      <c r="D16" s="7" t="inlineStr">
        <is>
          <t>Restauración</t>
        </is>
      </c>
      <c r="E16" s="8" t="n"/>
      <c r="F16" s="8" t="n"/>
    </row>
    <row r="17"/>
    <row r="18" ht="18" customHeight="1">
      <c r="A18" s="5" t="inlineStr">
        <is>
          <t>2. PARÁMETROS FÍSICOS (ESTADÍSTICA ZONAL SOBRE MDE)</t>
        </is>
      </c>
    </row>
    <row r="19">
      <c r="A19" s="6" t="inlineStr">
        <is>
          <t>Altitud mínima (msnm)</t>
        </is>
      </c>
      <c r="B19" s="7" t="n">
        <v>228</v>
      </c>
      <c r="C19" s="6" t="inlineStr">
        <is>
          <t>Altitud máxima (msnm)</t>
        </is>
      </c>
      <c r="D19" s="7" t="n">
        <v>453</v>
      </c>
      <c r="E19" s="8" t="n"/>
      <c r="F19" s="8" t="n"/>
    </row>
    <row r="20">
      <c r="A20" s="6" t="inlineStr">
        <is>
          <t>Amplitud altitudinal (m)</t>
        </is>
      </c>
      <c r="B20" s="7" t="n">
        <v>225</v>
      </c>
      <c r="C20" s="6" t="inlineStr">
        <is>
          <t>Piso altitudinal dominante</t>
        </is>
      </c>
      <c r="D20" s="7" t="inlineStr">
        <is>
          <t>&lt;1000 m (Yunga)</t>
        </is>
      </c>
      <c r="E20" s="8" t="n"/>
      <c r="F20" s="8" t="n"/>
    </row>
    <row r="21">
      <c r="A21" s="6" t="inlineStr">
        <is>
          <t>Pendiente promedio (%)</t>
        </is>
      </c>
      <c r="B21" s="7" t="n">
        <v>16.87</v>
      </c>
      <c r="C21" s="6" t="inlineStr">
        <is>
          <t>Pendiente promedio (grados)</t>
        </is>
      </c>
      <c r="D21" s="7" t="n">
        <v>9.6</v>
      </c>
      <c r="E21" s="8" t="n"/>
      <c r="F21" s="8" t="n"/>
    </row>
    <row r="22">
      <c r="A22" s="6" t="inlineStr">
        <is>
          <t>Clase de pendiente equivalente</t>
        </is>
      </c>
      <c r="B22" s="7" t="inlineStr">
        <is>
          <t>15-25% (Fuert. inclinado)</t>
        </is>
      </c>
      <c r="C22" s="6" t="inlineStr">
        <is>
          <t>Rango de pendiente declarado en campo</t>
        </is>
      </c>
      <c r="D22" s="7" t="inlineStr">
        <is>
          <t>15-25% (Fuert. inclinado)</t>
        </is>
      </c>
      <c r="E22" s="8" t="n"/>
      <c r="F22" s="8" t="n"/>
    </row>
    <row r="23">
      <c r="A23" s="6" t="inlineStr">
        <is>
          <t>Forma predominante del terreno</t>
        </is>
      </c>
      <c r="B23" s="7" t="inlineStr">
        <is>
          <t>Colinoso</t>
        </is>
      </c>
      <c r="C23" s="6" t="inlineStr">
        <is>
          <t>Posición fisiográfica</t>
        </is>
      </c>
      <c r="D23" s="7" t="inlineStr">
        <is>
          <t>Ladera media</t>
        </is>
      </c>
      <c r="E23" s="8" t="n"/>
      <c r="F23" s="8" t="n"/>
    </row>
    <row r="24">
      <c r="A24" s="6" t="inlineStr">
        <is>
          <t>Exposición / orientación</t>
        </is>
      </c>
      <c r="B24" s="7" t="inlineStr">
        <is>
          <t>Este</t>
        </is>
      </c>
      <c r="C24" s="6" t="inlineStr">
        <is>
          <t>Afloramientos rocosos</t>
        </is>
      </c>
      <c r="D24" s="7" t="inlineStr">
        <is>
          <t>Sí</t>
        </is>
      </c>
      <c r="E24" s="8" t="n"/>
      <c r="F24" s="8" t="n"/>
    </row>
    <row r="25">
      <c r="A25" s="6" t="inlineStr">
        <is>
          <t>Escarpes activos</t>
        </is>
      </c>
      <c r="B25" s="7" t="inlineStr">
        <is>
          <t>No</t>
        </is>
      </c>
      <c r="C25" s="6" t="inlineStr">
        <is>
          <t>Remociones en masa activas</t>
        </is>
      </c>
      <c r="D25" s="7" t="inlineStr">
        <is>
          <t>No</t>
        </is>
      </c>
      <c r="E25" s="8" t="n"/>
      <c r="F25" s="8" t="n"/>
    </row>
    <row r="26"/>
    <row r="27" ht="18" customHeight="1">
      <c r="A27" s="5" t="inlineStr">
        <is>
          <t>3. ÍNDICES DE VEGETACIÓN (SENTINEL-2)</t>
        </is>
      </c>
    </row>
    <row r="28">
      <c r="A28" s="6" t="inlineStr">
        <is>
          <t>MSAVI 2024 — media del bloque</t>
        </is>
      </c>
      <c r="B28" s="7" t="n">
        <v>0.2878</v>
      </c>
      <c r="C28" s="6" t="inlineStr">
        <is>
          <t>MSAVI 2024 — clase de la media</t>
        </is>
      </c>
      <c r="D28" s="7" t="inlineStr">
        <is>
          <t>0.2650 - 0.3813 (Vigor muy bajo)</t>
        </is>
      </c>
      <c r="E28" s="8" t="n"/>
      <c r="F28" s="8" t="n"/>
    </row>
    <row r="29">
      <c r="A29" s="6" t="inlineStr">
        <is>
          <t>Condición frente al umbral 0.4976</t>
        </is>
      </c>
      <c r="B29" s="7" t="inlineStr">
        <is>
          <t>BAJO umbral 0.4976</t>
        </is>
      </c>
      <c r="C29" s="6" t="inlineStr">
        <is>
          <t>NDVI mediana 2025 — clase modal</t>
        </is>
      </c>
      <c r="D29" s="7" t="inlineStr">
        <is>
          <t>Vegetación ligera (52.88 %)</t>
        </is>
      </c>
      <c r="E29" s="8" t="n"/>
      <c r="F29" s="8" t="n"/>
    </row>
    <row r="30">
      <c r="A30" s="6" t="inlineStr">
        <is>
          <t>Superficie clasificada NDVI 2025 (ha)</t>
        </is>
      </c>
      <c r="B30" s="7" t="n">
        <v>91.31699999999999</v>
      </c>
      <c r="C30" s="6" t="inlineStr">
        <is>
          <t>Desviación frente al catálogo (%)</t>
        </is>
      </c>
      <c r="D30" s="7" t="n">
        <v>0.03</v>
      </c>
      <c r="E30" s="8" t="n"/>
      <c r="F30" s="8" t="n"/>
    </row>
    <row r="31">
      <c r="A31" s="6" t="inlineStr">
        <is>
          <t>Superficie clasificada MSAVI 2024 (ha)</t>
        </is>
      </c>
      <c r="B31" s="39" t="n">
        <v>91.285</v>
      </c>
      <c r="C31" s="6" t="inlineStr">
        <is>
          <t>Desviación MSAVI frente al catálogo (%)</t>
        </is>
      </c>
      <c r="D31" s="40" t="n">
        <v>-0.01</v>
      </c>
      <c r="E31" s="8" t="n"/>
      <c r="F31" s="8" t="n"/>
    </row>
    <row r="32">
      <c r="A32" s="6" t="inlineStr">
        <is>
          <t>Superficie bajo umbral MSAVI 0.4976 (ha)</t>
        </is>
      </c>
      <c r="B32" s="39" t="n">
        <v>91.253</v>
      </c>
      <c r="C32" s="6" t="inlineStr">
        <is>
          <t>% del bloque bajo umbral (brecha espectral)</t>
        </is>
      </c>
      <c r="D32" s="40" t="n">
        <v>99.95999999999999</v>
      </c>
      <c r="E32" s="8" t="n"/>
      <c r="F32" s="8" t="n"/>
    </row>
    <row r="33">
      <c r="A33" s="6" t="inlineStr">
        <is>
          <t>Clase DN dominante (MSAVI 2024)</t>
        </is>
      </c>
      <c r="B33" s="7" t="inlineStr">
        <is>
          <t>DN 2 · 0.2650 - 0.3813 (Vigor muy bajo)</t>
        </is>
      </c>
      <c r="C33" s="6" t="inlineStr">
        <is>
          <t>N.° de polígonos MSAVI del bloque</t>
        </is>
      </c>
      <c r="D33" s="41" t="n">
        <v>299</v>
      </c>
      <c r="E33" s="8" t="n"/>
      <c r="F33" s="8" t="n"/>
    </row>
    <row r="34"/>
    <row r="35" ht="18" customHeight="1">
      <c r="A35" s="5" t="inlineStr">
        <is>
          <t>4. ECOSISTEMA Y ESTADO DE CONSERVACIÓN</t>
        </is>
      </c>
    </row>
    <row r="36">
      <c r="A36" s="6" t="inlineStr">
        <is>
          <t>Tipo de ecosistema (UP)</t>
        </is>
      </c>
      <c r="B36" s="7" t="inlineStr">
        <is>
          <t>Bosque Estacionalmente Seco de Colina y Montaña (Bes-cm)</t>
        </is>
      </c>
      <c r="C36" s="6" t="inlineStr">
        <is>
          <t>Superficie de ecosistema (ha)</t>
        </is>
      </c>
      <c r="D36" s="7" t="inlineStr">
        <is>
          <t>80 ha (de 91.29 ha del bloque)</t>
        </is>
      </c>
      <c r="E36" s="8" t="n"/>
      <c r="F36" s="8" t="n"/>
    </row>
    <row r="37">
      <c r="A37" s="6" t="inlineStr">
        <is>
          <t>Estado de conservación</t>
        </is>
      </c>
      <c r="B37" s="7" t="inlineStr">
        <is>
          <t>Muy alterado / Degradado</t>
        </is>
      </c>
      <c r="C37" s="6" t="inlineStr">
        <is>
          <t>Uso actual dominante del suelo</t>
        </is>
      </c>
      <c r="D37" s="7" t="inlineStr">
        <is>
          <t>Uso mixto</t>
        </is>
      </c>
      <c r="E37" s="8" t="n"/>
      <c r="F37" s="8" t="n"/>
    </row>
    <row r="38">
      <c r="A38" s="6" t="inlineStr">
        <is>
          <t>Tipo de cobertura dominante</t>
        </is>
      </c>
      <c r="B38" s="7" t="inlineStr">
        <is>
          <t>Matorral ralo</t>
        </is>
      </c>
      <c r="C38" s="6" t="inlineStr">
        <is>
          <t>Cobertura vegetal total — campo (%)</t>
        </is>
      </c>
      <c r="D38" s="7" t="n">
        <v>55</v>
      </c>
      <c r="E38" s="8" t="n"/>
      <c r="F38" s="8" t="n"/>
    </row>
    <row r="39">
      <c r="A39" s="6" t="inlineStr">
        <is>
          <t>Suelo desnudo — campo (%)</t>
        </is>
      </c>
      <c r="B39" s="7" t="n">
        <v>20</v>
      </c>
      <c r="C39" s="6" t="inlineStr">
        <is>
          <t>Regeneración natural</t>
        </is>
      </c>
      <c r="D39" s="7" t="inlineStr">
        <is>
          <t>Escasa (&lt;10 pl./100m²)</t>
        </is>
      </c>
      <c r="E39" s="8" t="n"/>
      <c r="F39" s="8" t="n"/>
    </row>
    <row r="40">
      <c r="A40" s="6" t="inlineStr">
        <is>
          <t>Nivel general de erosión</t>
        </is>
      </c>
      <c r="B40" s="7" t="inlineStr">
        <is>
          <t>Moderada (surcos)</t>
        </is>
      </c>
      <c r="C40" s="6" t="inlineStr">
        <is>
          <t>N.° de cárcavas registradas</t>
        </is>
      </c>
      <c r="D40" s="7" t="n">
        <v>2</v>
      </c>
      <c r="E40" s="8" t="n"/>
      <c r="F40" s="8" t="n"/>
    </row>
    <row r="41">
      <c r="A41" s="6" t="inlineStr">
        <is>
          <t>Elenco florístico (n.° de taxones)</t>
        </is>
      </c>
      <c r="B41" s="7" t="n">
        <v>12</v>
      </c>
      <c r="C41" s="6" t="inlineStr">
        <is>
          <t>Estado sanitario</t>
        </is>
      </c>
      <c r="D41" s="7" t="inlineStr">
        <is>
          <t>Sano</t>
        </is>
      </c>
      <c r="E41" s="8" t="n"/>
      <c r="F41" s="8" t="n"/>
    </row>
    <row r="42"/>
    <row r="43" ht="18" customHeight="1">
      <c r="A43" s="5" t="inlineStr">
        <is>
          <t>5. RESPONSABLE Y MODALIDAD DE LA EVALUACIÓN</t>
        </is>
      </c>
    </row>
    <row r="44">
      <c r="A44" s="6" t="inlineStr">
        <is>
          <t>Responsable de la evaluación</t>
        </is>
      </c>
      <c r="B44" s="7" t="inlineStr">
        <is>
          <t>Ing. Héctor Salomón Cahuas Miller (con Ing. Juan Carlos Domínguez Varas)</t>
        </is>
      </c>
      <c r="C44" s="6" t="inlineStr">
        <is>
          <t>Fecha de evaluación</t>
        </is>
      </c>
      <c r="D44" s="7" t="inlineStr">
        <is>
          <t>2026-05-19</t>
        </is>
      </c>
      <c r="E44" s="8" t="n"/>
      <c r="F44" s="8" t="n"/>
    </row>
    <row r="45">
      <c r="A45" s="6" t="inlineStr">
        <is>
          <t>Hora de registro</t>
        </is>
      </c>
      <c r="B45" s="7" t="inlineStr">
        <is>
          <t>10:06 h</t>
        </is>
      </c>
      <c r="C45" s="6" t="inlineStr">
        <is>
          <t>Correlativo de ficha</t>
        </is>
      </c>
      <c r="D45" s="7" t="inlineStr">
        <is>
          <t>DT-M7B6-01</t>
        </is>
      </c>
      <c r="E45" s="8" t="n"/>
      <c r="F45" s="8" t="n"/>
    </row>
    <row r="46">
      <c r="A46" s="6" t="inlineStr">
        <is>
          <t>Entidad</t>
        </is>
      </c>
      <c r="B46" s="7" t="inlineStr">
        <is>
          <t>ANIN - DIME - SESDI</t>
        </is>
      </c>
      <c r="C46" s="6" t="inlineStr">
        <is>
          <t>Fase del estudio</t>
        </is>
      </c>
      <c r="D46" s="7" t="inlineStr">
        <is>
          <t>Preinversión (Perfil) · Invierte.pe</t>
        </is>
      </c>
      <c r="E46" s="8" t="n"/>
      <c r="F46" s="8" t="n"/>
    </row>
    <row r="47">
      <c r="A47" s="6" t="inlineStr">
        <is>
          <t>Instrumento aplicado</t>
        </is>
      </c>
      <c r="B47" s="7" t="inlineStr">
        <is>
          <t>Fichas F-DT-01 a F-DT-05 (Plantilla V5)</t>
        </is>
      </c>
      <c r="C47" s="6" t="inlineStr">
        <is>
          <t>Parcela de muestreo</t>
        </is>
      </c>
      <c r="D47" s="7" t="inlineStr">
        <is>
          <t>Sin registro en ficha</t>
        </is>
      </c>
      <c r="E47" s="8" t="n"/>
      <c r="F47" s="8" t="n"/>
    </row>
    <row r="48">
      <c r="A48" s="6" t="inlineStr">
        <is>
          <t>Estaciones fotográficas georreferenciadas</t>
        </is>
      </c>
      <c r="B48" s="7" t="n">
        <v>0</v>
      </c>
      <c r="C48" s="6" t="inlineStr">
        <is>
          <t>Modalidad de acceso</t>
        </is>
      </c>
      <c r="D48" s="7" t="inlineStr">
        <is>
          <t>Vehicular + caminata &lt;30 min</t>
        </is>
      </c>
      <c r="E48" s="8" t="n"/>
      <c r="F48" s="8" t="n"/>
    </row>
    <row r="49"/>
    <row r="50" ht="18" customHeight="1">
      <c r="A50" s="5" t="inlineStr">
        <is>
          <t>6. SÍNTESIS PARA LA GESTIÓN DEL RIESGO EN CONTEXTO DE CAMBIO CLIMÁTICO</t>
        </is>
      </c>
    </row>
    <row r="51">
      <c r="A51" s="6" t="inlineStr">
        <is>
          <t>Causa subyacente principal</t>
        </is>
      </c>
      <c r="B51" s="7" t="inlineStr">
        <is>
          <t>Presión socioeconómica de subsistencia (ganadería extensiva y demanda de leña) sumada a la expansión urbana</t>
        </is>
      </c>
      <c r="C51" s="6" t="inlineStr">
        <is>
          <t>Velocidad de degradación</t>
        </is>
      </c>
      <c r="D51" s="7" t="inlineStr">
        <is>
          <t>Moderada</t>
        </is>
      </c>
      <c r="E51" s="8" t="n"/>
      <c r="F51" s="8" t="n"/>
    </row>
    <row r="52">
      <c r="A52" s="6" t="inlineStr">
        <is>
          <t>Reversibilidad técnica</t>
        </is>
      </c>
      <c r="B52" s="7" t="inlineStr">
        <is>
          <t>Parcialmente reversible</t>
        </is>
      </c>
      <c r="C52" s="6" t="inlineStr">
        <is>
          <t>Urgencia de intervención</t>
        </is>
      </c>
      <c r="D52" s="7" t="inlineStr">
        <is>
          <t>Alta</t>
        </is>
      </c>
      <c r="E52" s="8" t="n"/>
      <c r="F52" s="8" t="n"/>
    </row>
    <row r="53">
      <c r="A53" s="6" t="inlineStr">
        <is>
          <t>Urgencia de control de erosión</t>
        </is>
      </c>
      <c r="B53" s="7" t="inlineStr">
        <is>
          <t>Media</t>
        </is>
      </c>
      <c r="C53" s="6" t="inlineStr">
        <is>
          <t>Zona de recarga hídrica</t>
        </is>
      </c>
      <c r="D53" s="7" t="inlineStr">
        <is>
          <t>Sí</t>
        </is>
      </c>
      <c r="E53" s="8" t="n"/>
      <c r="F53" s="8" t="n"/>
    </row>
    <row r="54">
      <c r="A54" s="6" t="inlineStr">
        <is>
          <t>Peligro integrado preliminar (MCA-AHP)</t>
        </is>
      </c>
      <c r="B54" s="7" t="inlineStr">
        <is>
          <t>No disponible en los insumos; debe tomarse del modelamiento de mesolocalización</t>
        </is>
      </c>
      <c r="C54" s="6" t="inlineStr">
        <is>
          <t>Prioridad de intervención</t>
        </is>
      </c>
      <c r="D54" s="7" t="inlineStr">
        <is>
          <t>Por definir en mesolocalización</t>
        </is>
      </c>
      <c r="E54" s="8" t="n"/>
      <c r="F54" s="8" t="n"/>
    </row>
    <row r="55">
      <c r="A55" s="6" t="inlineStr">
        <is>
          <t>Estado de verificación de campo</t>
        </is>
      </c>
      <c r="B55" s="7" t="inlineStr">
        <is>
          <t>VERIFICADO</t>
        </is>
      </c>
      <c r="C55" s="6" t="inlineStr">
        <is>
          <t>Marco del indicador de brecha</t>
        </is>
      </c>
      <c r="D55" s="7" t="inlineStr">
        <is>
          <t>R.M. N.° 00213-2024-MINAM</t>
        </is>
      </c>
      <c r="E55" s="8" t="n"/>
      <c r="F55" s="8" t="n"/>
    </row>
    <row r="56"/>
    <row r="57" ht="72" customHeight="1">
      <c r="A57" s="9" t="inlineStr">
        <is>
          <t>DECLARACIÓN DE INTEGRIDAD DE DATOS. Ningún valor ausente ha sido estimado o inferido sin declararlo. Los campos que no pudieron sustentarse en observación de campo, estadística zonal o catálogo oficial se consignan como «Por determinar» o «Por verificar». La altitud y la pendiente proceden de estadística zonal sobre el modelo digital de elevación; el MSAVI 2024 y el NDVI mediana 2025 proceden de compuestos Sentinel-2. Las discrepancias detectadas entre campo, gabinete y catálogo se listan en la hoja «Control de consistencia». La distribución areal por clase de MSAVI 2024 procede de la estadística zonal del ráster MSAVI clasificado (AREAS_MSAVI_BLOQUES_V6_REV_HSCM) y se detalla en la hoja «Cobertura MSAVI-NDVI»; la equivalencia entre el valor de clase DN y los umbrales del proyecto se declara en la nota metodológica de esa hoja.</t>
        </is>
      </c>
      <c r="B57" s="42" t="n"/>
      <c r="C57" s="42" t="n"/>
      <c r="D57" s="42" t="n"/>
      <c r="E57" s="42" t="n"/>
      <c r="F57" s="43" t="n"/>
    </row>
  </sheetData>
  <mergeCells count="13">
    <mergeCell ref="A2:F2"/>
    <mergeCell ref="A3:F3"/>
    <mergeCell ref="A1:F1"/>
    <mergeCell ref="A5:F5"/>
    <mergeCell ref="A27:F27"/>
    <mergeCell ref="A8:F8"/>
    <mergeCell ref="A6:F6"/>
    <mergeCell ref="A50:F50"/>
    <mergeCell ref="A35:F35"/>
    <mergeCell ref="A18:F18"/>
    <mergeCell ref="A4:F4"/>
    <mergeCell ref="A43:F43"/>
    <mergeCell ref="A57:F57"/>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2"/>
  <sheetViews>
    <sheetView showGridLines="0" workbookViewId="0">
      <pane ySplit="6" topLeftCell="A7" activePane="bottomLeft" state="frozen"/>
      <selection pane="bottomLeft" activeCell="A1" sqref="A1"/>
    </sheetView>
  </sheetViews>
  <sheetFormatPr baseColWidth="8" defaultRowHeight="15"/>
  <cols>
    <col width="24" customWidth="1" min="1" max="1"/>
    <col width="16" customWidth="1" min="2" max="2"/>
    <col width="20" customWidth="1" min="3" max="3"/>
    <col width="30" customWidth="1" min="4" max="4"/>
    <col width="28"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DISTRIBUCIÓN AREAL DE CLASES ESPECTRALES — BLOQUE M7B6</t>
        </is>
      </c>
    </row>
    <row r="6" ht="24" customHeight="1">
      <c r="A6" s="4" t="inlineStr">
        <is>
          <t>MSAVI 2024 y NDVI mediana 2025 (Sentinel-2, mosaico Piura) · Umbral de brecha del proyecto: MSAVI = 0.4976</t>
        </is>
      </c>
    </row>
    <row r="7"/>
    <row r="8" ht="18" customHeight="1">
      <c r="A8" s="5" t="inlineStr">
        <is>
          <t>A. MSAVI 2024 — CLASIFICACIÓN POR UMBRALES DEL PROYECTO</t>
        </is>
      </c>
    </row>
    <row r="9" ht="28" customHeight="1">
      <c r="A9" s="10" t="inlineStr">
        <is>
          <t>Clase MSAVI</t>
        </is>
      </c>
      <c r="B9" s="10" t="inlineStr">
        <is>
          <t>Superficie (ha)</t>
        </is>
      </c>
      <c r="C9" s="10" t="inlineStr">
        <is>
          <t>% del área clasificada</t>
        </is>
      </c>
      <c r="D9" s="10" t="inlineStr">
        <is>
          <t>Interpretación</t>
        </is>
      </c>
      <c r="E9" s="10" t="inlineStr">
        <is>
          <t>Condición frente al umbral 0.4976</t>
        </is>
      </c>
    </row>
    <row r="10">
      <c r="A10" s="7" t="inlineStr">
        <is>
          <t>&gt; 0.6139 · DN 5</t>
        </is>
      </c>
      <c r="B10" s="18" t="n">
        <v>0</v>
      </c>
      <c r="C10" s="19">
        <f>ROUND(B10/$B$15*100,2)</f>
        <v/>
      </c>
      <c r="D10" s="11" t="inlineStr">
        <is>
          <t>Vigor alto</t>
        </is>
      </c>
      <c r="E10" s="11" t="inlineStr">
        <is>
          <t>Sobre umbral</t>
        </is>
      </c>
    </row>
    <row r="11">
      <c r="A11" s="12" t="inlineStr">
        <is>
          <t>0.4976 - 0.6139 · DN 4</t>
        </is>
      </c>
      <c r="B11" s="20" t="n">
        <v>0.0325</v>
      </c>
      <c r="C11" s="21">
        <f>ROUND(B11/$B$15*100,2)</f>
        <v/>
      </c>
      <c r="D11" s="13" t="inlineStr">
        <is>
          <t>Vigor moderado</t>
        </is>
      </c>
      <c r="E11" s="13" t="inlineStr">
        <is>
          <t>Sobre umbral</t>
        </is>
      </c>
    </row>
    <row r="12">
      <c r="A12" s="7" t="inlineStr">
        <is>
          <t>0.3813 - 0.4976 · DN 3</t>
        </is>
      </c>
      <c r="B12" s="18" t="n">
        <v>4.6564</v>
      </c>
      <c r="C12" s="19">
        <f>ROUND(B12/$B$15*100,2)</f>
        <v/>
      </c>
      <c r="D12" s="11" t="inlineStr">
        <is>
          <t>Vigor bajo</t>
        </is>
      </c>
      <c r="E12" s="11" t="inlineStr">
        <is>
          <t>BAJO umbral 0.4976</t>
        </is>
      </c>
    </row>
    <row r="13">
      <c r="A13" s="14" t="inlineStr">
        <is>
          <t>0.2650 - 0.3813 · DN 2</t>
        </is>
      </c>
      <c r="B13" s="32" t="n">
        <v>52.2419</v>
      </c>
      <c r="C13" s="31">
        <f>ROUND(B13/$B$15*100,2)</f>
        <v/>
      </c>
      <c r="D13" s="15" t="inlineStr">
        <is>
          <t>Vigor muy bajo</t>
        </is>
      </c>
      <c r="E13" s="15" t="inlineStr">
        <is>
          <t>BAJO umbral 0.4976</t>
        </is>
      </c>
    </row>
    <row r="14">
      <c r="A14" s="7" t="inlineStr">
        <is>
          <t>&lt;= 0.2650 · DN 1</t>
        </is>
      </c>
      <c r="B14" s="18" t="n">
        <v>34.3544</v>
      </c>
      <c r="C14" s="19">
        <f>ROUND(B14/$B$15*100,2)</f>
        <v/>
      </c>
      <c r="D14" s="11" t="inlineStr">
        <is>
          <t>Suelo desnudo / no vegetal</t>
        </is>
      </c>
      <c r="E14" s="11" t="inlineStr">
        <is>
          <t>BAJO umbral 0.4976</t>
        </is>
      </c>
    </row>
    <row r="15" ht="30" customHeight="1">
      <c r="A15" s="44" t="inlineStr">
        <is>
          <t>TOTAL CLASIFICADO MSAVI 2024</t>
        </is>
      </c>
      <c r="B15" s="45">
        <f>SUM(B10:B14)</f>
        <v/>
      </c>
      <c r="C15" s="46">
        <f>SUM(C10:C14)</f>
        <v/>
      </c>
      <c r="D15" s="44" t="inlineStr">
        <is>
          <t>Suma de la distribución areal · 299 polígonos</t>
        </is>
      </c>
      <c r="E15" s="44" t="inlineStr">
        <is>
          <t>—</t>
        </is>
      </c>
    </row>
    <row r="16" ht="30" customHeight="1">
      <c r="A16" s="47" t="inlineStr">
        <is>
          <t>Superficie SOBRE umbral 0.4976 (ha)</t>
        </is>
      </c>
      <c r="B16" s="48">
        <f>SUM(B10:B11)</f>
        <v/>
      </c>
      <c r="C16" s="49">
        <f>ROUND(B16/B15*100,2)</f>
        <v/>
      </c>
      <c r="D16" s="47" t="inlineStr">
        <is>
          <t>Vigor alto y moderado (DN 4 y DN 5)</t>
        </is>
      </c>
      <c r="E16" s="47" t="inlineStr">
        <is>
          <t>Sobre umbral 0.4976</t>
        </is>
      </c>
    </row>
    <row r="17" ht="30" customHeight="1">
      <c r="A17" s="47" t="inlineStr">
        <is>
          <t>Superficie BAJO umbral 0.4976 (ha) — brecha</t>
        </is>
      </c>
      <c r="B17" s="48">
        <f>SUM(B12:B14)</f>
        <v/>
      </c>
      <c r="C17" s="49">
        <f>ROUND(B17/B15*100,2)</f>
        <v/>
      </c>
      <c r="D17" s="47" t="inlineStr">
        <is>
          <t>Vigor bajo, muy bajo y suelo desnudo (DN 1 a DN 3)</t>
        </is>
      </c>
      <c r="E17" s="47" t="inlineStr">
        <is>
          <t>Base para el indicador de brecha (R.M. N.° 00213-2024-MINAM)</t>
        </is>
      </c>
    </row>
    <row r="18" ht="30" customHeight="1">
      <c r="A18" s="47" t="inlineStr">
        <is>
          <t>Superficie de catálogo (V5/V6) — contraste MSAVI</t>
        </is>
      </c>
      <c r="B18" s="48" t="n">
        <v>91.29000000000001</v>
      </c>
      <c r="C18" s="50" t="inlineStr">
        <is>
          <t>—</t>
        </is>
      </c>
      <c r="D18" s="47" t="inlineStr">
        <is>
          <t>Desviación planimétrica frente al catálogo</t>
        </is>
      </c>
      <c r="E18" s="47" t="inlineStr">
        <is>
          <t>-0.01 %</t>
        </is>
      </c>
    </row>
    <row r="19">
      <c r="A19" s="16" t="inlineStr">
        <is>
          <t>MSAVI 2024 — MEDIA DEL BLOQUE</t>
        </is>
      </c>
      <c r="B19" s="17" t="n">
        <v>0.287833</v>
      </c>
      <c r="C19" s="17" t="inlineStr">
        <is>
          <t>—</t>
        </is>
      </c>
      <c r="D19" s="17" t="inlineStr">
        <is>
          <t>Vigor muy bajo · clase 0.2650 - 0.3813</t>
        </is>
      </c>
      <c r="E19" s="17" t="inlineStr">
        <is>
          <t>BAJO umbral 0.4976</t>
        </is>
      </c>
    </row>
    <row r="20"/>
    <row r="21" ht="72" customHeight="1">
      <c r="A21" s="9" t="inlineStr">
        <is>
          <t>NOTA METODOLÓGICA. La distribución areal por clase de MSAVI 2024 procede de la estadística zonal por polígono del ráster MSAVI clasificado (archivo AREAS_MSAVI_BLOQUES_V6_REV_HSCM.xlsx, hojas «Datos_Detalle» y «Resumen_por_Bloque»): 299 polígonos agregados para este bloque, con superficies obtenidas como Area_m2 / 10 000. El archivo fuente no documenta la semántica del valor de clase DN; la equivalencia DN 1 = clase inferior … DN 5 = clase superior se estableció por contraste con la media MSAVI 2024 del catálogo maestro de los 117 bloques (coeficiente de correlación 0.9965 y error absoluto medio 0.0091 al reconstruir la media con los puntos medios de clase; el orden inverso arroja correlación negativa), y debe ser confirmada por el especialista SIG del proyecto. La media del bloque (0.2878) se conserva del catálogo maestro y es dato oficial; la fila resaltada indica la clase en la que cae dicha media. Los totales y porcentajes se calculan con fórmulas sobre las filas del cuadro.</t>
        </is>
      </c>
      <c r="B21" s="42" t="n"/>
      <c r="C21" s="42" t="n"/>
      <c r="D21" s="42" t="n"/>
      <c r="E21" s="43" t="n"/>
    </row>
    <row r="22"/>
    <row r="23" ht="18" customHeight="1">
      <c r="A23" s="5" t="inlineStr">
        <is>
          <t>B. NDVI MEDIANA 2025 — DISTRIBUCIÓN AREAL (ESTADÍSTICA ZONAL)</t>
        </is>
      </c>
    </row>
    <row r="24" ht="28" customHeight="1">
      <c r="A24" s="10" t="inlineStr">
        <is>
          <t>Clase NDVI</t>
        </is>
      </c>
      <c r="B24" s="10" t="inlineStr">
        <is>
          <t>Superficie (ha)</t>
        </is>
      </c>
      <c r="C24" s="10" t="inlineStr">
        <is>
          <t>% del área clasificada</t>
        </is>
      </c>
      <c r="D24" s="10" t="inlineStr">
        <is>
          <t>Interpretación</t>
        </is>
      </c>
      <c r="E24" s="10" t="inlineStr">
        <is>
          <t>Observación</t>
        </is>
      </c>
    </row>
    <row r="25">
      <c r="A25" s="7" t="inlineStr">
        <is>
          <t>Vegetación alta</t>
        </is>
      </c>
      <c r="B25" s="18" t="n">
        <v>0.6704</v>
      </c>
      <c r="C25" s="19" t="n">
        <v>0.73</v>
      </c>
      <c r="D25" s="11" t="inlineStr">
        <is>
          <t>Dosel continuo, matorral denso o mosaico agroforestal</t>
        </is>
      </c>
      <c r="E25" s="11" t="inlineStr"/>
    </row>
    <row r="26">
      <c r="A26" s="12" t="inlineStr">
        <is>
          <t>Vegetación mediana</t>
        </is>
      </c>
      <c r="B26" s="20" t="n">
        <v>42.0151</v>
      </c>
      <c r="C26" s="21" t="n">
        <v>46.01</v>
      </c>
      <c r="D26" s="13" t="inlineStr">
        <is>
          <t>Pastizal cultivado, matorral ralo, parcelas agrícolas</t>
        </is>
      </c>
      <c r="E26" s="13" t="inlineStr"/>
    </row>
    <row r="27">
      <c r="A27" s="7" t="inlineStr">
        <is>
          <t>Vegetación ligera</t>
        </is>
      </c>
      <c r="B27" s="18" t="n">
        <v>48.2907</v>
      </c>
      <c r="C27" s="19" t="n">
        <v>52.88</v>
      </c>
      <c r="D27" s="11" t="inlineStr">
        <is>
          <t>Cobertura discontinua, suelo parcialmente expuesto</t>
        </is>
      </c>
      <c r="E27" s="11" t="inlineStr"/>
    </row>
    <row r="28">
      <c r="A28" s="12" t="inlineStr">
        <is>
          <t>Tierra desnuda</t>
        </is>
      </c>
      <c r="B28" s="20" t="n">
        <v>0.3409</v>
      </c>
      <c r="C28" s="21" t="n">
        <v>0.37</v>
      </c>
      <c r="D28" s="13" t="inlineStr">
        <is>
          <t>Suelo desnudo, afloramientos, plataformas y taludes</t>
        </is>
      </c>
      <c r="E28" s="13" t="inlineStr"/>
    </row>
    <row r="29">
      <c r="A29" s="16" t="inlineStr">
        <is>
          <t>TOTAL CLASIFICADO</t>
        </is>
      </c>
      <c r="B29" s="22">
        <f>SUM(B25:B28)</f>
        <v/>
      </c>
      <c r="C29" s="23">
        <f>SUM(C25:C28)</f>
        <v/>
      </c>
      <c r="D29" s="17" t="inlineStr"/>
      <c r="E29" s="17" t="inlineStr"/>
    </row>
    <row r="30">
      <c r="A30" s="24" t="inlineStr">
        <is>
          <t>Superficie de catálogo (V5/V6)</t>
        </is>
      </c>
      <c r="B30" s="25" t="n">
        <v>91.29000000000001</v>
      </c>
      <c r="C30" s="25" t="inlineStr">
        <is>
          <t>—</t>
        </is>
      </c>
      <c r="D30" s="25" t="inlineStr">
        <is>
          <t>Desviación planimétrica frente al catálogo</t>
        </is>
      </c>
      <c r="E30" s="25" t="inlineStr">
        <is>
          <t>+0.03 %</t>
        </is>
      </c>
    </row>
    <row r="31"/>
    <row r="32" ht="108" customHeight="1">
      <c r="A32" s="9" t="inlineStr">
        <is>
          <t>LECTURA CRÍTICA. Los índices MSAVI y NDVI miden vigor y densidad de biomasa, no composición ni integridad ecosistémica. Un valor alto NO equivale a ausencia de degradación: en bloques con mosaico agrícola, pastizal cultivado o plantaciones, la respuesta espectral puede ser alta sobre una unidad productora sustituida en su composición. La diferencia entre ambos productos no debe leerse como mejora entre 2024 y 2025: son índices distintos (el NDVI satura ante biomasa densa, el MSAVI conserva sensibilidad al suelo de fondo) aplicados sobre compuestos temporales distintos. Contraste registrado en este bloque: la cobertura vegetal estimada en campo es 55 % frente a un 0.73 % del polígono clasificado como «Vegetación alta» por el NDVI 2025; la observación de campo corresponde a una parcela o recorrido puntual y no es estadísticamente representativa de las 91.290 ha del bloque.</t>
        </is>
      </c>
      <c r="B32" s="42" t="n"/>
      <c r="C32" s="42" t="n"/>
      <c r="D32" s="42" t="n"/>
      <c r="E32" s="43" t="n"/>
    </row>
  </sheetData>
  <mergeCells count="10">
    <mergeCell ref="A21:E21"/>
    <mergeCell ref="A4:E4"/>
    <mergeCell ref="A2:E2"/>
    <mergeCell ref="A1:E1"/>
    <mergeCell ref="A23:E23"/>
    <mergeCell ref="A32:E32"/>
    <mergeCell ref="A5:E5"/>
    <mergeCell ref="A8:E8"/>
    <mergeCell ref="A6:E6"/>
    <mergeCell ref="A3:E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21"/>
  <sheetViews>
    <sheetView showGridLines="0" workbookViewId="0">
      <pane ySplit="6" topLeftCell="A7" activePane="bottomLeft" state="frozen"/>
      <selection pane="bottomLeft" activeCell="A1" sqref="A1"/>
    </sheetView>
  </sheetViews>
  <sheetFormatPr baseColWidth="8" defaultRowHeight="15"/>
  <cols>
    <col width="12" customWidth="1" min="1" max="1"/>
    <col width="34" customWidth="1" min="2" max="2"/>
    <col width="15" customWidth="1" min="3" max="3"/>
    <col width="15" customWidth="1" min="4" max="4"/>
    <col width="18" customWidth="1" min="5" max="5"/>
    <col width="22" customWidth="1" min="6" max="6"/>
    <col width="44" customWidth="1" min="7" max="7"/>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PUNTOS GEORREFERENCIADOS DE VERIFICACIÓN — BLOQUE M7B6</t>
        </is>
      </c>
    </row>
    <row r="6" ht="24" customHeight="1">
      <c r="A6" s="4" t="inlineStr">
        <is>
          <t>Levantamiento del 2026-05-19 · Sistema de referencia UTM WGS 84 Zona 17S (EPSG:32717)</t>
        </is>
      </c>
    </row>
    <row r="8" ht="18" customHeight="1">
      <c r="A8" s="5" t="inlineStr">
        <is>
          <t>INVENTARIO DE PUNTOS GEORREFERENCIADOS DE LA FICHA DT</t>
        </is>
      </c>
    </row>
    <row r="9" ht="28" customHeight="1">
      <c r="A9" s="10" t="inlineStr">
        <is>
          <t>Código</t>
        </is>
      </c>
      <c r="B9" s="10" t="inlineStr">
        <is>
          <t>Naturaleza del punto</t>
        </is>
      </c>
      <c r="C9" s="10" t="inlineStr">
        <is>
          <t>UTM ESTE (m)</t>
        </is>
      </c>
      <c r="D9" s="10" t="inlineStr">
        <is>
          <t>UTM NORTE (m)</t>
        </is>
      </c>
      <c r="E9" s="10" t="inlineStr">
        <is>
          <t>Dist. al centroide (m)</t>
        </is>
      </c>
      <c r="F9" s="10" t="inlineStr">
        <is>
          <t>Estado / régimen</t>
        </is>
      </c>
      <c r="G9" s="10" t="inlineStr">
        <is>
          <t>Contenido registrado</t>
        </is>
      </c>
    </row>
    <row r="10">
      <c r="A10" s="7" t="inlineStr">
        <is>
          <t>P-00</t>
        </is>
      </c>
      <c r="B10" s="11" t="inlineStr">
        <is>
          <t>Punto de muestreo declarado en ficha DT</t>
        </is>
      </c>
      <c r="C10" s="26" t="n">
        <v>635150</v>
      </c>
      <c r="D10" s="26" t="n">
        <v>9399300</v>
      </c>
      <c r="E10" s="11" t="n">
        <v>211.8</v>
      </c>
      <c r="F10" s="11" t="inlineStr"/>
      <c r="G10" s="11" t="inlineStr">
        <is>
          <t>Coordenada consignada en F-DT-01</t>
        </is>
      </c>
    </row>
    <row r="11">
      <c r="A11" s="12" t="inlineStr">
        <is>
          <t>C-M7B6-01</t>
        </is>
      </c>
      <c r="B11" s="13" t="inlineStr">
        <is>
          <t>Rasgo erosivo — Cárcava somera — 125 m, 0.8 m prof., 1.6 m ancho</t>
        </is>
      </c>
      <c r="C11" s="27" t="n">
        <v>635180</v>
      </c>
      <c r="D11" s="27" t="n">
        <v>9399400</v>
      </c>
      <c r="E11" s="13" t="n">
        <v>315.9</v>
      </c>
      <c r="F11" s="13" t="inlineStr">
        <is>
          <t>Semi-activa</t>
        </is>
      </c>
      <c r="G11" s="13" t="inlineStr">
        <is>
          <t>Concentración natural de escorrentía</t>
        </is>
      </c>
    </row>
    <row r="12">
      <c r="A12" s="7" t="inlineStr">
        <is>
          <t>C-M7B6-02</t>
        </is>
      </c>
      <c r="B12" s="11" t="inlineStr">
        <is>
          <t>Rasgo erosivo — Cárcava incipiente — 70 m, 0.4 m prof., 0.7 m ancho</t>
        </is>
      </c>
      <c r="C12" s="26" t="n">
        <v>635300</v>
      </c>
      <c r="D12" s="26" t="n">
        <v>9399560</v>
      </c>
      <c r="E12" s="11" t="n">
        <v>505.1</v>
      </c>
      <c r="F12" s="11" t="inlineStr">
        <is>
          <t>Activa</t>
        </is>
      </c>
      <c r="G12" s="11" t="inlineStr">
        <is>
          <t>Caminos / huellas de ganado</t>
        </is>
      </c>
    </row>
    <row r="13">
      <c r="A13" s="12" t="inlineStr">
        <is>
          <t>H-01</t>
        </is>
      </c>
      <c r="B13" s="13" t="inlineStr">
        <is>
          <t>Fuente de agua — Quebrada estacional</t>
        </is>
      </c>
      <c r="C13" s="27" t="n">
        <v>635300</v>
      </c>
      <c r="D13" s="27" t="n">
        <v>9399520</v>
      </c>
      <c r="E13" s="13" t="n">
        <v>468.3</v>
      </c>
      <c r="F13" s="13" t="inlineStr">
        <is>
          <t>Estacional</t>
        </is>
      </c>
      <c r="G13" s="13" t="inlineStr">
        <is>
          <t>Quebrada que se activa en lluvias y atraviesa el sector poblado</t>
        </is>
      </c>
    </row>
    <row r="14">
      <c r="A14" s="7" t="inlineStr">
        <is>
          <t>H-02</t>
        </is>
      </c>
      <c r="B14" s="11" t="inlineStr">
        <is>
          <t>Fuente de agua — Río</t>
        </is>
      </c>
      <c r="C14" s="26" t="n">
        <v>634650</v>
      </c>
      <c r="D14" s="26" t="n">
        <v>9399200</v>
      </c>
      <c r="E14" s="11" t="n">
        <v>472.5</v>
      </c>
      <c r="F14" s="11" t="inlineStr">
        <is>
          <t>Permanente</t>
        </is>
      </c>
      <c r="G14" s="11" t="inlineStr">
        <is>
          <t>Río Serrán (tributario)</t>
        </is>
      </c>
    </row>
    <row r="15">
      <c r="A15" s="12" t="inlineStr">
        <is>
          <t>H-03</t>
        </is>
      </c>
      <c r="B15" s="13" t="inlineStr">
        <is>
          <t>Fuente de agua — Canal de riego</t>
        </is>
      </c>
      <c r="C15" s="27" t="n">
        <v>635950</v>
      </c>
      <c r="D15" s="27" t="n">
        <v>9399100</v>
      </c>
      <c r="E15" s="13" t="n">
        <v>840</v>
      </c>
      <c r="F15" s="13" t="inlineStr">
        <is>
          <t>Intermitente</t>
        </is>
      </c>
      <c r="G15" s="13" t="inlineStr">
        <is>
          <t>Riego de chacras del valle</t>
        </is>
      </c>
    </row>
    <row r="16">
      <c r="A16" s="16" t="inlineStr">
        <is>
          <t>TOTAL: 6 puntos</t>
        </is>
      </c>
      <c r="B16" s="17" t="inlineStr"/>
      <c r="C16" s="17" t="inlineStr"/>
      <c r="D16" s="17" t="inlineStr"/>
      <c r="E16" s="17" t="inlineStr"/>
      <c r="F16" s="17" t="inlineStr"/>
      <c r="G16" s="17" t="inlineStr"/>
    </row>
    <row r="18">
      <c r="A18" s="6" t="inlineStr">
        <is>
          <t>Centroide del bloque — UTM ESTE (m)</t>
        </is>
      </c>
      <c r="B18" s="7" t="n">
        <v>635110</v>
      </c>
      <c r="C18" s="6" t="inlineStr">
        <is>
          <t>Centroide del bloque — UTM NORTE (m)</t>
        </is>
      </c>
      <c r="D18" s="7" t="n">
        <v>9399092</v>
      </c>
      <c r="E18" s="8" t="n"/>
      <c r="F18" s="8" t="n"/>
      <c r="G18" s="8" t="n"/>
      <c r="H18" s="8" t="n"/>
    </row>
    <row r="19">
      <c r="A19" s="6" t="inlineStr">
        <is>
          <t>N.° de estaciones fotográficas declaradas</t>
        </is>
      </c>
      <c r="B19" s="7" t="n">
        <v>0</v>
      </c>
      <c r="C19" s="6" t="inlineStr">
        <is>
          <t>Estaciones dentro del polígono</t>
        </is>
      </c>
      <c r="D19" s="7" t="n">
        <v>0</v>
      </c>
      <c r="E19" s="8" t="n"/>
      <c r="F19" s="8" t="n"/>
      <c r="G19" s="8" t="n"/>
      <c r="H19" s="8" t="n"/>
    </row>
    <row r="21" ht="108" customHeight="1">
      <c r="A21" s="9" t="inlineStr">
        <is>
          <t>CONTROL GEOMÉTRICO. Las coordenadas de esta hoja proceden de la ficha DT del bloque (F-DT-01 a F-DT-05) y corresponden a rasgos erosivos, fuentes de agua, especies clave y al punto de muestreo declarado. La distancia al centroide se calcula sobre coordenadas UTM 17S y es referencial: no acredita inclusión ni exclusión respecto del polígono, que exige prueba de inclusión sobre la geometría del bloque. Las estaciones situadas a menos de ~30 m del límite deben considerarse SOBRE EL LÍMITE, dentro del margen de error de la georreferenciación (± 10-15 m). EL BLOQUE COLINDA POR EL FLANCO ORIENTAL CON EL ÁREA URBANA DE SERRÁN Y EL SECTOR NUEVO SAN JUAN. SE OBSERVAN VIVIENDAS CON MUROS DERRUIDOS Y DAÑOS A INFRAESTRUCTURA ASOCIADOS A LA ACTIVACIÓN DE QUEBRADAS Y AVENIDAS DE PRECIPITACIÓN EN TEMPORADA DE LLUVIAS, según refieren los pobladores. Inspección realizada el 19-05-2026. BLOQUE CONTIGUO A M2B1.</t>
        </is>
      </c>
      <c r="B21" s="42" t="n"/>
      <c r="C21" s="42" t="n"/>
      <c r="D21" s="42" t="n"/>
      <c r="E21" s="42" t="n"/>
      <c r="F21" s="42" t="n"/>
      <c r="G21" s="43" t="n"/>
    </row>
  </sheetData>
  <mergeCells count="8">
    <mergeCell ref="A1:G1"/>
    <mergeCell ref="A8:G8"/>
    <mergeCell ref="A3:G3"/>
    <mergeCell ref="A6:G6"/>
    <mergeCell ref="A21:G21"/>
    <mergeCell ref="A4:G4"/>
    <mergeCell ref="A2:G2"/>
    <mergeCell ref="A5:G5"/>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8"/>
  <sheetViews>
    <sheetView showGridLines="0" workbookViewId="0">
      <pane ySplit="6" topLeftCell="A7" activePane="bottomLeft" state="frozen"/>
      <selection pane="bottomLeft" activeCell="A1" sqref="A1"/>
    </sheetView>
  </sheetViews>
  <sheetFormatPr baseColWidth="8" defaultRowHeight="15"/>
  <cols>
    <col width="14" customWidth="1" min="1" max="1"/>
    <col width="13" customWidth="1" min="2" max="2"/>
    <col width="14" customWidth="1" min="3" max="3"/>
    <col width="24" customWidth="1" min="4" max="4"/>
    <col width="13" customWidth="1" min="5" max="5"/>
    <col width="18" customWidth="1" min="6" max="6"/>
    <col width="13" customWidth="1" min="7" max="7"/>
    <col width="20" customWidth="1" min="8" max="8"/>
    <col width="22" customWidth="1" min="9" max="9"/>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CONTEXTO INTRAMICROCUENCA C1076-Q9581 — BLOQUE M7B6</t>
        </is>
      </c>
    </row>
    <row r="6" ht="24" customHeight="1">
      <c r="A6" s="4" t="inlineStr">
        <is>
          <t>Distrito de Salitral · Provincia de Morropon · Comparación de los bloques preliminares de intervención de la misma microcuenca</t>
        </is>
      </c>
    </row>
    <row r="7"/>
    <row r="8" ht="18" customHeight="1">
      <c r="A8" s="5" t="inlineStr">
        <is>
          <t>BLOQUES DE LA MICROCUENCA C1076-Q9581</t>
        </is>
      </c>
    </row>
    <row r="9" ht="28" customHeight="1">
      <c r="A9" s="10" t="inlineStr">
        <is>
          <t>Bloque</t>
        </is>
      </c>
      <c r="B9" s="10" t="inlineStr">
        <is>
          <t>Área (ha)</t>
        </is>
      </c>
      <c r="C9" s="10" t="inlineStr">
        <is>
          <t>% microcuenca</t>
        </is>
      </c>
      <c r="D9" s="10" t="inlineStr">
        <is>
          <t>Rango altitudinal (msnm)</t>
        </is>
      </c>
      <c r="E9" s="10" t="inlineStr">
        <is>
          <t>Amplitud (m)</t>
        </is>
      </c>
      <c r="F9" s="10" t="inlineStr">
        <is>
          <t>Pendiente prom. (%)</t>
        </is>
      </c>
      <c r="G9" s="10" t="inlineStr">
        <is>
          <t>MSAVI 2024</t>
        </is>
      </c>
      <c r="H9" s="10" t="inlineStr">
        <is>
          <t>NDVI 2025 — Veg. alta (%)</t>
        </is>
      </c>
      <c r="I9" s="10" t="inlineStr">
        <is>
          <t>MSAVI — % bajo umbral 0.4976</t>
        </is>
      </c>
    </row>
    <row r="10">
      <c r="A10" s="7" t="inlineStr">
        <is>
          <t>M7B1</t>
        </is>
      </c>
      <c r="B10" s="28" t="n">
        <v>130.43</v>
      </c>
      <c r="C10" s="19" t="n">
        <v>32.38</v>
      </c>
      <c r="D10" s="11" t="inlineStr">
        <is>
          <t>183 – 357</t>
        </is>
      </c>
      <c r="E10" s="11" t="n">
        <v>174</v>
      </c>
      <c r="F10" s="11" t="n">
        <v>17.35</v>
      </c>
      <c r="G10" s="18" t="n">
        <v>0.3136</v>
      </c>
      <c r="H10" s="19" t="n">
        <v>4.28</v>
      </c>
      <c r="I10" s="19" t="n">
        <v>99.78</v>
      </c>
    </row>
    <row r="11">
      <c r="A11" s="12" t="inlineStr">
        <is>
          <t>M7B2</t>
        </is>
      </c>
      <c r="B11" s="29" t="n">
        <v>115.38</v>
      </c>
      <c r="C11" s="21" t="n">
        <v>28.64</v>
      </c>
      <c r="D11" s="13" t="inlineStr">
        <is>
          <t>204 – 362</t>
        </is>
      </c>
      <c r="E11" s="13" t="n">
        <v>158</v>
      </c>
      <c r="F11" s="13" t="n">
        <v>14.01</v>
      </c>
      <c r="G11" s="20" t="n">
        <v>0.2877</v>
      </c>
      <c r="H11" s="21" t="n">
        <v>0.91</v>
      </c>
      <c r="I11" s="21" t="n">
        <v>99.58</v>
      </c>
    </row>
    <row r="12">
      <c r="A12" s="14" t="inlineStr">
        <is>
          <t>► M7B6</t>
        </is>
      </c>
      <c r="B12" s="30" t="n">
        <v>91.29000000000001</v>
      </c>
      <c r="C12" s="31" t="n">
        <v>22.66</v>
      </c>
      <c r="D12" s="15" t="inlineStr">
        <is>
          <t>228 – 453</t>
        </is>
      </c>
      <c r="E12" s="15" t="n">
        <v>225</v>
      </c>
      <c r="F12" s="15" t="n">
        <v>16.87</v>
      </c>
      <c r="G12" s="32" t="n">
        <v>0.2878</v>
      </c>
      <c r="H12" s="31" t="n">
        <v>0.73</v>
      </c>
      <c r="I12" s="31" t="n">
        <v>99.95999999999999</v>
      </c>
    </row>
    <row r="13">
      <c r="A13" s="12" t="inlineStr">
        <is>
          <t>M7B3</t>
        </is>
      </c>
      <c r="B13" s="29" t="n">
        <v>65.73999999999999</v>
      </c>
      <c r="C13" s="21" t="n">
        <v>16.32</v>
      </c>
      <c r="D13" s="13" t="inlineStr">
        <is>
          <t>209 – 372</t>
        </is>
      </c>
      <c r="E13" s="13" t="n">
        <v>163</v>
      </c>
      <c r="F13" s="13" t="n">
        <v>19.61</v>
      </c>
      <c r="G13" s="20" t="n">
        <v>0.298</v>
      </c>
      <c r="H13" s="21" t="n">
        <v>1.32</v>
      </c>
      <c r="I13" s="21" t="n">
        <v>99.84999999999999</v>
      </c>
    </row>
    <row r="14">
      <c r="A14" s="16" t="inlineStr">
        <is>
          <t>TOTAL / PROMEDIO</t>
        </is>
      </c>
      <c r="B14" s="33">
        <f>SUM(B10:B13)</f>
        <v/>
      </c>
      <c r="C14" s="23">
        <f>SUM(C10:C13)</f>
        <v/>
      </c>
      <c r="D14" s="17" t="inlineStr">
        <is>
          <t>183 – 453</t>
        </is>
      </c>
      <c r="E14" s="17" t="inlineStr"/>
      <c r="F14" s="17">
        <f>ROUND(AVERAGE(F10:F13),2)</f>
        <v/>
      </c>
      <c r="G14" s="22">
        <f>ROUND(AVERAGE(G10:G13),4)</f>
        <v/>
      </c>
      <c r="H14" s="23">
        <f>ROUND(AVERAGE(H10:H13),2)</f>
        <v/>
      </c>
      <c r="I14" s="23">
        <f>ROUND(AVERAGE(I10:I13),2)</f>
        <v/>
      </c>
    </row>
    <row r="15"/>
    <row r="16" ht="84" customHeight="1">
      <c r="A16" s="9" t="inlineStr">
        <is>
          <t>LECTURA INTRAMICROCUENCA. El bloque M7B6 ocupa el puesto 3 de 4 por superficie dentro de la microcuenca C1076-Q9581 (22.66 % de las 402.84 ha preliminares de la microcuenca). Su pendiente promedio (16.87 %, clase «15-25% (Fuert. inclinado)») es la 2.ª más baja de 4 y se sitúa por debajo del promedio de la microcuenca (16.96 %). Su MSAVI 2024 (0.2878) es el 3.º de 4 y queda por debajo del promedio local (0.2968). Amplitud altitudinal del bloque: 225 m (228–453 msnm). El cuadro conserva todos los bloques catalogados en la microcuenca, incluidos los descartados en el tamizaje, para referencia del conjunto. Los bloques sin ficha DT figuran con sus parámetros de gabinete. BRECHA ESPECTRAL. El 99.96 % de la superficie del bloque (91.253 ha de 91.285 ha) se sitúa bajo el umbral MSAVI 0.4976, por encima del promedio local de la microcuenca (99.79 %) calculado sobre los bloques con dato MSAVI disponible.</t>
        </is>
      </c>
      <c r="B16" s="42" t="n"/>
      <c r="C16" s="42" t="n"/>
      <c r="D16" s="42" t="n"/>
      <c r="E16" s="42" t="n"/>
      <c r="F16" s="42" t="n"/>
      <c r="G16" s="42" t="n"/>
      <c r="H16" s="43" t="n"/>
    </row>
    <row r="17"/>
    <row r="18" ht="60" customHeight="1">
      <c r="A18" s="9" t="inlineStr">
        <is>
          <t>NOTA METODOLÓGICA. Área y MSAVI 2024 proceden del catálogo maestro de bloques V5/V6. El rango altitudinal y la pendiente promedio proceden del reporte de estadística zonal sobre el MDE («Rango de altitud y Pendiente Promedio por Bloques V6»). El porcentaje de «Vegetación alta» procede de la estadística zonal del NDVI mediana 2025 (Sentinel-2). Los totales y promedios se calculan con fórmulas sobre las filas del cuadro. El porcentaje bajo el umbral MSAVI 0.4976 procede de la estadística zonal del ráster MSAVI 2024 clasificado (AREAS_MSAVI_BLOQUES_V6_REV_HSCM) y corresponde a la suma de las clases DN 1 a DN 3 sobre la superficie clasificada de cada bloque; «s/d» indica bloques del catálogo sin cobertura en ese archivo.</t>
        </is>
      </c>
      <c r="B18" s="42" t="n"/>
      <c r="C18" s="42" t="n"/>
      <c r="D18" s="42" t="n"/>
      <c r="E18" s="42" t="n"/>
      <c r="F18" s="42" t="n"/>
      <c r="G18" s="42" t="n"/>
      <c r="H18" s="43" t="n"/>
    </row>
  </sheetData>
  <mergeCells count="9">
    <mergeCell ref="A18:I18"/>
    <mergeCell ref="A4:I4"/>
    <mergeCell ref="A1:I1"/>
    <mergeCell ref="A3:I3"/>
    <mergeCell ref="A2:I2"/>
    <mergeCell ref="A16:I16"/>
    <mergeCell ref="A5:I5"/>
    <mergeCell ref="A8:I8"/>
    <mergeCell ref="A6:I6"/>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32"/>
  <sheetViews>
    <sheetView showGridLines="0" workbookViewId="0">
      <pane ySplit="6" topLeftCell="A7" activePane="bottomLeft" state="frozen"/>
      <selection pane="bottomLeft" activeCell="A1" sqref="A1"/>
    </sheetView>
  </sheetViews>
  <sheetFormatPr baseColWidth="8" defaultRowHeight="15"/>
  <cols>
    <col width="9" customWidth="1" min="1" max="1"/>
    <col width="32" customWidth="1" min="2" max="2"/>
    <col width="60" customWidth="1" min="3" max="3"/>
    <col width="18" customWidth="1" min="4" max="4"/>
    <col width="62" customWidth="1" min="5" max="5"/>
  </cols>
  <sheetData>
    <row r="1" ht="15" customHeight="1">
      <c r="A1" s="1" t="inlineStr">
        <is>
          <t>AUTORIDAD NACIONAL DE INFRAESTRUCTURA - ANIN</t>
        </is>
      </c>
    </row>
    <row r="2" ht="15" customHeight="1">
      <c r="A2" s="1" t="inlineStr">
        <is>
          <t>DIRECCIÓN DE INTERVENCIONES MULTISECTORIALES Y DE EMERGENCIA - DIME</t>
        </is>
      </c>
    </row>
    <row r="3" ht="15" customHeight="1">
      <c r="A3" s="1" t="inlineStr">
        <is>
          <t>SUBDIRECCIÓN DE ESTUDIOS DE INVERSIÓN - SESDI</t>
        </is>
      </c>
    </row>
    <row r="4" ht="24" customHeight="1">
      <c r="A4" s="2" t="inlineStr">
        <is>
          <t>PROYECTO IN PIURA | CUI 2669244 | Recuperación del servicio de regulación de riesgos naturales y de ecosistemas degradados - Cuenca Alta del Río Piura</t>
        </is>
      </c>
    </row>
    <row r="5" ht="22" customHeight="1">
      <c r="A5" s="3" t="inlineStr">
        <is>
          <t>CONTROL DE CONSISTENCIA DE LA INFORMACIÓN — BLOQUE M7B6</t>
        </is>
      </c>
    </row>
    <row r="6" ht="24" customHeight="1">
      <c r="A6" s="4" t="inlineStr">
        <is>
          <t>Discrepancias detectadas entre el registro de campo, los productos de gabinete y el catálogo maestro. Calificación: SUSTANTIVA / NO SUSTANTIVA / CORREGIDO / CONFORME.</t>
        </is>
      </c>
    </row>
    <row r="7"/>
    <row r="8" ht="18" customHeight="1">
      <c r="A8" s="5" t="inlineStr">
        <is>
          <t>DISCREPANCIAS Y VERIFICACIONES</t>
        </is>
      </c>
    </row>
    <row r="9" ht="28" customHeight="1">
      <c r="A9" s="10" t="inlineStr">
        <is>
          <t>Cód.</t>
        </is>
      </c>
      <c r="B9" s="10" t="inlineStr">
        <is>
          <t>Campo afectado</t>
        </is>
      </c>
      <c r="C9" s="10" t="inlineStr">
        <is>
          <t>Discrepancia observada</t>
        </is>
      </c>
      <c r="D9" s="10" t="inlineStr">
        <is>
          <t>Calificación</t>
        </is>
      </c>
      <c r="E9" s="10" t="inlineStr">
        <is>
          <t>Tratamiento adoptado</t>
        </is>
      </c>
    </row>
    <row r="10" ht="48" customHeight="1">
      <c r="A10" s="34" t="inlineStr">
        <is>
          <t>D-01</t>
        </is>
      </c>
      <c r="B10" s="34" t="inlineStr">
        <is>
          <t>Código de microcuenca</t>
        </is>
      </c>
      <c r="C10" s="34" t="inlineStr">
        <is>
          <t>Ficha DT y catálogo maestro coinciden en «C1076-Q9581»</t>
        </is>
      </c>
      <c r="D10" s="35" t="inlineStr">
        <is>
          <t>CONFORME</t>
        </is>
      </c>
      <c r="E10" s="34" t="inlineStr">
        <is>
          <t>Sin acción.</t>
        </is>
      </c>
    </row>
    <row r="11" ht="48" customHeight="1">
      <c r="A11" s="36" t="inlineStr">
        <is>
          <t>D-02</t>
        </is>
      </c>
      <c r="B11" s="36" t="inlineStr">
        <is>
          <t>UTM del punto de muestreo</t>
        </is>
      </c>
      <c r="C11" s="36" t="inlineStr">
        <is>
          <t>El punto de muestreo declarado dista 212 m del centroide de catálogo, compatible con la extensión del bloque</t>
        </is>
      </c>
      <c r="D11" s="35" t="inlineStr">
        <is>
          <t>CONFORME</t>
        </is>
      </c>
      <c r="E11" s="36" t="inlineStr">
        <is>
          <t>Sin acción.</t>
        </is>
      </c>
    </row>
    <row r="12" ht="48" customHeight="1">
      <c r="A12" s="34" t="inlineStr">
        <is>
          <t>D-03</t>
        </is>
      </c>
      <c r="B12" s="34" t="inlineStr">
        <is>
          <t>Superficie del polígono</t>
        </is>
      </c>
      <c r="C12" s="34" t="inlineStr">
        <is>
          <t>La superficie clasificada por el NDVI 2025 (91.317 ha) coincide con la de catálogo (91.29 ha) dentro del ±2 % (+0.03 %)</t>
        </is>
      </c>
      <c r="D12" s="35" t="inlineStr">
        <is>
          <t>CONFORME</t>
        </is>
      </c>
      <c r="E12" s="34" t="inlineStr">
        <is>
          <t>Sin acción: la segmentación valida la geometría del bloque.</t>
        </is>
      </c>
    </row>
    <row r="13" ht="48" customHeight="1">
      <c r="A13" s="36" t="inlineStr">
        <is>
          <t>D-04</t>
        </is>
      </c>
      <c r="B13" s="36" t="inlineStr">
        <is>
          <t>Cobertura vegetal total</t>
        </is>
      </c>
      <c r="C13" s="36" t="inlineStr">
        <is>
          <t>La ficha DT estima 55 % de cobertura vegetal en campo; el NDVI mediana 2025 clasifica 99.62 % del polígono en clases de vegetación</t>
        </is>
      </c>
      <c r="D13" s="15" t="inlineStr">
        <is>
          <t>NO SUSTANTIVA</t>
        </is>
      </c>
      <c r="E13" s="36" t="inlineStr">
        <is>
          <t>Se declaran ambos valores. La observación de campo corresponde a una parcela o recorrido puntual y no es representativa de la totalidad del bloque; el índice espectral no discrimina composición ni integridad ecosistémica.</t>
        </is>
      </c>
    </row>
    <row r="14" ht="48" customHeight="1">
      <c r="A14" s="34" t="inlineStr">
        <is>
          <t>D-05</t>
        </is>
      </c>
      <c r="B14" s="34" t="inlineStr">
        <is>
          <t>Elenco florístico</t>
        </is>
      </c>
      <c r="C14" s="34" t="inlineStr">
        <is>
          <t>La ficha registra 12 taxones, por debajo del mínimo de 15 que exige el formato V5</t>
        </is>
      </c>
      <c r="D14" s="37" t="inlineStr">
        <is>
          <t>SUSTANTIVA</t>
        </is>
      </c>
      <c r="E14" s="34" t="inlineStr">
        <is>
          <t>Registro florístico preliminar, sin colecta ni determinación botánica formal. Debe cerrarse con colecta botánica en la siguiente campaña.</t>
        </is>
      </c>
    </row>
    <row r="15" ht="48" customHeight="1">
      <c r="A15" s="36" t="inlineStr">
        <is>
          <t>D-06</t>
        </is>
      </c>
      <c r="B15" s="36" t="inlineStr">
        <is>
          <t>Representatividad del levantamiento</t>
        </is>
      </c>
      <c r="C15" s="36" t="inlineStr">
        <is>
          <t>Ninguna de las estaciones fotográficas georreferenciadas se localiza dentro del polígono del bloque</t>
        </is>
      </c>
      <c r="D15" s="37" t="inlineStr">
        <is>
          <t>SUSTANTIVA</t>
        </is>
      </c>
      <c r="E15" s="36" t="inlineStr">
        <is>
          <t>La verificación documenta el perímetro y la vista panorámica del bloque, no su interior. Los parámetros que exigen recorrido interno se consignan «Por determinar».</t>
        </is>
      </c>
    </row>
    <row r="16" ht="48" customHeight="1">
      <c r="A16" s="34" t="inlineStr">
        <is>
          <t>D-07</t>
        </is>
      </c>
      <c r="B16" s="34" t="inlineStr">
        <is>
          <t>Centro poblado asociado</t>
        </is>
      </c>
      <c r="C16" s="34" t="inlineStr">
        <is>
          <t>La ficha DT declara «Serrán / Nuevo San Juan»; el cruce INEI-Bloques V5 identifica 3 centro(s) poblado(s) en el bloque: NUEVO SAN JUAN, SANTA ROSA, SERRAN</t>
        </is>
      </c>
      <c r="D16" s="35" t="inlineStr">
        <is>
          <t>CONFORME</t>
        </is>
      </c>
      <c r="E16" s="34" t="inlineStr">
        <is>
          <t>Se conserva el registro de campo como referencia y se adopta el listado INEI para el diagnóstico social y el cálculo de población beneficiaria.</t>
        </is>
      </c>
    </row>
    <row r="17" ht="48" customHeight="1">
      <c r="A17" s="36" t="inlineStr">
        <is>
          <t>D-08</t>
        </is>
      </c>
      <c r="B17" s="36" t="inlineStr">
        <is>
          <t>Peligro integrado (MCA-AHP)</t>
        </is>
      </c>
      <c r="C17" s="36" t="inlineStr">
        <is>
          <t>El nivel de peligro integrado no está disponible en los insumos de este entregable</t>
        </is>
      </c>
      <c r="D17" s="37" t="inlineStr">
        <is>
          <t>SUSTANTIVA</t>
        </is>
      </c>
      <c r="E17" s="36" t="inlineStr">
        <is>
          <t>Debe tomarse del modelamiento de mesolocalización (PMM + EPH + PGI ponderados por AHP) antes de fijar la prioridad definitiva de intervención del bloque.</t>
        </is>
      </c>
    </row>
    <row r="18" ht="48" customHeight="1">
      <c r="A18" s="34" t="inlineStr">
        <is>
          <t>D-09</t>
        </is>
      </c>
      <c r="B18" s="34" t="inlineStr">
        <is>
          <t>Plan de Ingreso</t>
        </is>
      </c>
      <c r="C18" s="34" t="inlineStr">
        <is>
          <t>Altitud = 0 msnm (captura por defecto del aplicativo)</t>
        </is>
      </c>
      <c r="D18" s="38" t="inlineStr">
        <is>
          <t>CORREGIDO</t>
        </is>
      </c>
      <c r="E18" s="34" t="inlineStr">
        <is>
          <t>Se reemplaza por la altitud GPS de campo (250 msnm)</t>
        </is>
      </c>
    </row>
    <row r="19" ht="48" customHeight="1">
      <c r="A19" s="36" t="inlineStr">
        <is>
          <t>D-10</t>
        </is>
      </c>
      <c r="B19" s="36" t="inlineStr">
        <is>
          <t>F-DT-01</t>
        </is>
      </c>
      <c r="C19" s="36" t="inlineStr">
        <is>
          <t>Viviendas con muros derruidos y daños a infraestructura por activación de quebradas en el flanco oriental (Serrán / Nuevo San Juan)</t>
        </is>
      </c>
      <c r="D19" s="37" t="inlineStr">
        <is>
          <t>SUSTANTIVA</t>
        </is>
      </c>
      <c r="E19" s="36" t="inlineStr">
        <is>
          <t>Elementos expuestos urbanos inmediatos: incorporar al análisis de riesgo y priorizar el control de escorrentía</t>
        </is>
      </c>
    </row>
    <row r="20" ht="48" customHeight="1">
      <c r="A20" s="34" t="inlineStr">
        <is>
          <t>D-11</t>
        </is>
      </c>
      <c r="B20" s="34" t="inlineStr">
        <is>
          <t>F-DT-02 / F-DT-04</t>
        </is>
      </c>
      <c r="C20" s="34" t="inlineStr">
        <is>
          <t>Urgencia de control de erosión MEDIA frente a urgencia de intervención ALTA</t>
        </is>
      </c>
      <c r="D20" s="15" t="inlineStr">
        <is>
          <t>NO SUSTANTIVA</t>
        </is>
      </c>
      <c r="E20" s="34" t="inlineStr">
        <is>
          <t>Resolver en la carga definitiva</t>
        </is>
      </c>
    </row>
    <row r="21" ht="48" customHeight="1">
      <c r="A21" s="36" t="inlineStr">
        <is>
          <t>D-12</t>
        </is>
      </c>
      <c r="B21" s="36" t="inlineStr">
        <is>
          <t>F-DT-03</t>
        </is>
      </c>
      <c r="C21" s="36" t="inlineStr">
        <is>
          <t>Categoría del Hualtaco consignada VU y del Palo Santo NT, frente a CR en la mayoría de los bloques</t>
        </is>
      </c>
      <c r="D21" s="37" t="inlineStr">
        <is>
          <t>SUSTANTIVA</t>
        </is>
      </c>
      <c r="E21" s="36" t="inlineStr">
        <is>
          <t>Homogeneizar criterio de categorización</t>
        </is>
      </c>
    </row>
    <row r="22" ht="48" customHeight="1">
      <c r="A22" s="34" t="inlineStr">
        <is>
          <t>D-13</t>
        </is>
      </c>
      <c r="B22" s="34" t="inlineStr">
        <is>
          <t>F-DT-03</t>
        </is>
      </c>
      <c r="C22" s="34" t="inlineStr">
        <is>
          <t>Solo 12 taxones registrados frente al mínimo de 15 exigido</t>
        </is>
      </c>
      <c r="D22" s="15" t="inlineStr">
        <is>
          <t>NO SUSTANTIVA</t>
        </is>
      </c>
      <c r="E22" s="34" t="inlineStr">
        <is>
          <t>Inventario a completar</t>
        </is>
      </c>
    </row>
    <row r="23" ht="48" customHeight="1">
      <c r="A23" s="36" t="inlineStr">
        <is>
          <t>D-14</t>
        </is>
      </c>
      <c r="B23" s="36" t="inlineStr">
        <is>
          <t>F-DT-04</t>
        </is>
      </c>
      <c r="C23" s="36" t="inlineStr">
        <is>
          <t>Expansión urbana FUERTE (15%, 5 años) sobre el pie de ladera del bloque</t>
        </is>
      </c>
      <c r="D23" s="37" t="inlineStr">
        <is>
          <t>SUSTANTIVA</t>
        </is>
      </c>
      <c r="E23" s="36" t="inlineStr">
        <is>
          <t>Tamizaje predial y coordinación con la municipalidad de Salitral</t>
        </is>
      </c>
    </row>
    <row r="24" ht="48" customHeight="1">
      <c r="A24" s="34" t="inlineStr">
        <is>
          <t>D-15</t>
        </is>
      </c>
      <c r="B24" s="34" t="inlineStr">
        <is>
          <t>F-DT-04</t>
        </is>
      </c>
      <c r="C24" s="34" t="inlineStr">
        <is>
          <t>Extracción de áridos en la cantera Río Serrán colindante</t>
        </is>
      </c>
      <c r="D24" s="37" t="inlineStr">
        <is>
          <t>SUSTANTIVA</t>
        </is>
      </c>
      <c r="E24" s="34" t="inlineStr">
        <is>
          <t>Pasivo ambiental: incorporar al diagnóstico</t>
        </is>
      </c>
    </row>
    <row r="25" ht="48" customHeight="1">
      <c r="A25" s="36" t="inlineStr">
        <is>
          <t>D-16</t>
        </is>
      </c>
      <c r="B25" s="36" t="inlineStr">
        <is>
          <t>F-DT-03</t>
        </is>
      </c>
      <c r="C25" s="36" t="inlineStr">
        <is>
          <t>Altura del estrato dominante 1.5 m y dosel 10%: pérdida de estructura forestal</t>
        </is>
      </c>
      <c r="D25" s="37" t="inlineStr">
        <is>
          <t>SUSTANTIVA</t>
        </is>
      </c>
      <c r="E25" s="36" t="inlineStr">
        <is>
          <t>El bloque requiere restauración activa, no solo pasiva</t>
        </is>
      </c>
    </row>
    <row r="26" ht="48" customHeight="1">
      <c r="A26" s="36" t="inlineStr">
        <is>
          <t>D-17</t>
        </is>
      </c>
      <c r="B26" s="36" t="inlineStr">
        <is>
          <t>Distribución areal MSAVI 2024</t>
        </is>
      </c>
      <c r="C26" s="36" t="inlineStr">
        <is>
          <t>La distribución por clase de MSAVI no figuraba en los insumos del entregable y se consignaba «Por determinar»; se incorpora la estadística zonal del ráster MSAVI clasificado (299 polígonos, 91.285 ha)</t>
        </is>
      </c>
      <c r="D26" s="37" t="inlineStr">
        <is>
          <t>CORREGIDO</t>
        </is>
      </c>
      <c r="E26" s="36" t="inlineStr">
        <is>
          <t>Se completó la sección A de la hoja «Cobertura MSAVI-NDVI» con superficie y porcentaje por clase DN 1 a DN 5, totales, superficie sobre y bajo el umbral 0.4976 y contraste con el catálogo. La equivalencia DN → clase se sustenta en la nota metodológica de esa hoja (r = 0.9965, error absoluto medio = 0.0091, n = 117 bloques).</t>
        </is>
      </c>
    </row>
    <row r="27" ht="48" customHeight="1">
      <c r="A27" s="36" t="inlineStr">
        <is>
          <t>D-18</t>
        </is>
      </c>
      <c r="B27" s="36" t="inlineStr">
        <is>
          <t>Superficie MSAVI vs. catálogo</t>
        </is>
      </c>
      <c r="C27" s="36" t="inlineStr">
        <is>
          <t>La superficie total clasificada por el MSAVI 2024 (91.285 ha) frente a la de catálogo V5/V6 (91.290 ha): desviación de -0.01 %</t>
        </is>
      </c>
      <c r="D27" s="37" t="inlineStr">
        <is>
          <t>CONFORME</t>
        </is>
      </c>
      <c r="E27" s="36" t="inlineStr">
        <is>
          <t>Sin acción: la segmentación del ráster valida la geometría del bloque dentro del ±2 %.</t>
        </is>
      </c>
    </row>
    <row r="28" ht="48" customHeight="1">
      <c r="A28" s="36" t="inlineStr">
        <is>
          <t>D-19</t>
        </is>
      </c>
      <c r="B28" s="36" t="inlineStr">
        <is>
          <t>Media MSAVI vs. clase DN dominante</t>
        </is>
      </c>
      <c r="C28" s="36" t="inlineStr">
        <is>
          <t>La media del bloque (0.2878) cae en la clase «DN 2 · 0.2650 - 0.3813 (Vigor muy bajo)»; la clase de mayor superficie es «DN 2 · 0.2650 - 0.3813 (Vigor muy bajo)», con 57.23 % del bloque. Superficie bajo el umbral 0.4976: 91.253 ha (99.96 %)</t>
        </is>
      </c>
      <c r="D28" s="37" t="inlineStr">
        <is>
          <t>CONFORME</t>
        </is>
      </c>
      <c r="E28" s="36" t="inlineStr">
        <is>
          <t>Sin acción: la media del bloque y la clase de mayor superficie coinciden.</t>
        </is>
      </c>
    </row>
    <row r="29"/>
    <row r="30">
      <c r="A30" s="16" t="inlineStr">
        <is>
          <t>RESUMEN</t>
        </is>
      </c>
      <c r="B30" s="17" t="inlineStr">
        <is>
          <t>19 verificaciones</t>
        </is>
      </c>
      <c r="C30" s="17" t="inlineStr">
        <is>
          <t>CONFORME: 6 · CORREGIDO: 2 · NO SUSTANTIVA: 3 · SUSTANTIVA: 8</t>
        </is>
      </c>
      <c r="D30" s="17" t="inlineStr"/>
      <c r="E30" s="17" t="inlineStr"/>
    </row>
    <row r="31"/>
    <row r="32" ht="60" customHeight="1">
      <c r="A32" s="9" t="inlineStr">
        <is>
          <t>NOTA METODOLÓGICA. Este control se genera de forma reproducible cruzando la ficha DT del bloque (F-DT-01 a F-DT-05) con el catálogo maestro de bloques V5/V6, la estadística zonal de altitud y pendiente sobre el MDE, la estadística zonal del NDVI mediana 2025 y el cruce INEI-Bloques de centros poblados. Una calificación CONFORME acredita que la verificación se ejecutó y no arrojó discrepancia; no equivale a validación de campo del dato.</t>
        </is>
      </c>
      <c r="B32" s="42" t="n"/>
      <c r="C32" s="42" t="n"/>
      <c r="D32" s="42" t="n"/>
      <c r="E32" s="43" t="n"/>
    </row>
  </sheetData>
  <mergeCells count="8">
    <mergeCell ref="A4:E4"/>
    <mergeCell ref="A2:E2"/>
    <mergeCell ref="A5:E5"/>
    <mergeCell ref="A1:E1"/>
    <mergeCell ref="A32:E32"/>
    <mergeCell ref="A8:E8"/>
    <mergeCell ref="A6:E6"/>
    <mergeCell ref="A3:E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ANIN - DIME - SESDI | Proyecto IN Piura (CUI 2669244)</dc:creator>
  <dc:title>Plantilla Excel — Bloque M7B6 — IN Piura</dc:title>
  <dc:subject>Diagnóstico Territorial por bloque de intervención</dc:subject>
  <dcterms:created xsi:type="dcterms:W3CDTF">2026-09-08T03:39:59Z</dcterms:created>
  <dcterms:modified xsi:type="dcterms:W3CDTF">2026-09-09T23:30:56Z</dcterms:modified>
</cp:coreProperties>
</file>