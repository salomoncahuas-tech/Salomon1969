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M7B6</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Serrán / Nuevo San Juan</t>
        </is>
      </c>
      <c r="C13" s="6" t="inlineStr">
        <is>
          <t>Comunidad campesina</t>
        </is>
      </c>
      <c r="D13" s="7" t="inlineStr">
        <is>
          <t>No aplica</t>
        </is>
      </c>
      <c r="E13" s="8" t="n"/>
      <c r="F13" s="8" t="n"/>
    </row>
    <row r="14">
      <c r="A14" s="6" t="inlineStr">
        <is>
          <t>Superficie de catálogo (V5/V6), ha</t>
        </is>
      </c>
      <c r="B14" s="7" t="n">
        <v>91.29000000000001</v>
      </c>
      <c r="C14" s="6" t="inlineStr">
        <is>
          <t>Fuente de superficie</t>
        </is>
      </c>
      <c r="D14" s="7" t="inlineStr">
        <is>
          <t>Catálogo maestro Bloques V5/V6</t>
        </is>
      </c>
      <c r="E14" s="8" t="n"/>
      <c r="F14" s="8" t="n"/>
    </row>
    <row r="15">
      <c r="A15" s="6" t="inlineStr">
        <is>
          <t>Centroide UTM ESTE (m)</t>
        </is>
      </c>
      <c r="B15" s="7" t="n">
        <v>635110</v>
      </c>
      <c r="C15" s="6" t="inlineStr">
        <is>
          <t>Centroide UTM NORTE (m)</t>
        </is>
      </c>
      <c r="D15" s="7" t="n">
        <v>9399092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228</v>
      </c>
      <c r="C19" s="6" t="inlineStr">
        <is>
          <t>Altitud máxima (msnm)</t>
        </is>
      </c>
      <c r="D19" s="7" t="n">
        <v>453</v>
      </c>
      <c r="E19" s="8" t="n"/>
      <c r="F19" s="8" t="n"/>
    </row>
    <row r="20">
      <c r="A20" s="6" t="inlineStr">
        <is>
          <t>Amplitud altitudinal (m)</t>
        </is>
      </c>
      <c r="B20" s="7" t="n">
        <v>225</v>
      </c>
      <c r="C20" s="6" t="inlineStr">
        <is>
          <t>Piso altitudinal dominante</t>
        </is>
      </c>
      <c r="D20" s="7" t="inlineStr">
        <is>
          <t>&lt;1000 m (Yunga)</t>
        </is>
      </c>
      <c r="E20" s="8" t="n"/>
      <c r="F20" s="8" t="n"/>
    </row>
    <row r="21">
      <c r="A21" s="6" t="inlineStr">
        <is>
          <t>Pendiente promedio (%)</t>
        </is>
      </c>
      <c r="B21" s="7" t="n">
        <v>16.87</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0.2878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(52.88 %)</t>
        </is>
      </c>
      <c r="E29" s="8" t="n"/>
      <c r="F29" s="8" t="n"/>
    </row>
    <row r="30">
      <c r="A30" s="6" t="inlineStr">
        <is>
          <t>Superficie clasificada NDVI 2025 (ha)</t>
        </is>
      </c>
      <c r="B30" s="7" t="n">
        <v>91.31699999999999</v>
      </c>
      <c r="C30" s="6" t="inlineStr">
        <is>
          <t>Desviación frente al catálogo (%)</t>
        </is>
      </c>
      <c r="D30" s="7" t="n">
        <v>0.03</v>
      </c>
      <c r="E30" s="8" t="n"/>
      <c r="F30" s="8" t="n"/>
    </row>
    <row r="31">
      <c r="A31" s="6" t="inlineStr">
        <is>
          <t>Superficie clasificada MSAVI 2024 (ha)</t>
        </is>
      </c>
      <c r="B31" s="39" t="n">
        <v>91.285</v>
      </c>
      <c r="C31" s="6" t="inlineStr">
        <is>
          <t>Desviación MSAVI frente al catálogo (%)</t>
        </is>
      </c>
      <c r="D31" s="40" t="n">
        <v>-0.01</v>
      </c>
      <c r="E31" s="8" t="n"/>
      <c r="F31" s="8" t="n"/>
    </row>
    <row r="32">
      <c r="A32" s="6" t="inlineStr">
        <is>
          <t>Superficie bajo umbral MSAVI 0.4976 (ha)</t>
        </is>
      </c>
      <c r="B32" s="39" t="n">
        <v>91.253</v>
      </c>
      <c r="C32" s="6" t="inlineStr">
        <is>
          <t>% del bloque bajo umbral (brecha espectral)</t>
        </is>
      </c>
      <c r="D32" s="40" t="n">
        <v>99.95999999999999</v>
      </c>
      <c r="E32" s="8" t="n"/>
      <c r="F32" s="8" t="n"/>
    </row>
    <row r="33">
      <c r="A33" s="6" t="inlineStr">
        <is>
          <t>Clase DN dominante (MSAVI 2024)</t>
        </is>
      </c>
      <c r="B33" s="7" t="inlineStr">
        <is>
          <t>DN 2 · 0.2650 - 0.3813 (Vigor muy bajo)</t>
        </is>
      </c>
      <c r="C33" s="6" t="inlineStr">
        <is>
          <t>N.° de polígonos MSAVI del bloque</t>
        </is>
      </c>
      <c r="D33" s="41" t="n">
        <v>299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80 ha (de 91.29 ha del bloque)</t>
        </is>
      </c>
      <c r="E36" s="8" t="n"/>
      <c r="F36" s="8" t="n"/>
    </row>
    <row r="37">
      <c r="A37" s="6" t="inlineStr">
        <is>
          <t>Estado de conservación</t>
        </is>
      </c>
      <c r="B37" s="7" t="inlineStr">
        <is>
          <t>Muy alterado / Degradado</t>
        </is>
      </c>
      <c r="C37" s="6" t="inlineStr">
        <is>
          <t>Uso actual dominante del suelo</t>
        </is>
      </c>
      <c r="D37" s="7" t="inlineStr">
        <is>
          <t>Uso mixto</t>
        </is>
      </c>
      <c r="E37" s="8" t="n"/>
      <c r="F37" s="8" t="n"/>
    </row>
    <row r="38">
      <c r="A38" s="6" t="inlineStr">
        <is>
          <t>Tipo de cobertura dominante</t>
        </is>
      </c>
      <c r="B38" s="7" t="inlineStr">
        <is>
          <t>Matorral ralo</t>
        </is>
      </c>
      <c r="C38" s="6" t="inlineStr">
        <is>
          <t>Cobertura vegetal total — campo (%)</t>
        </is>
      </c>
      <c r="D38" s="7" t="n">
        <v>55</v>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(con Ing. Juan Carlos Domínguez Varas)</t>
        </is>
      </c>
      <c r="C44" s="6" t="inlineStr">
        <is>
          <t>Fecha de evaluación</t>
        </is>
      </c>
      <c r="D44" s="7" t="inlineStr">
        <is>
          <t>2026-05-19</t>
        </is>
      </c>
      <c r="E44" s="8" t="n"/>
      <c r="F44" s="8" t="n"/>
    </row>
    <row r="45">
      <c r="A45" s="6" t="inlineStr">
        <is>
          <t>Hora de registro</t>
        </is>
      </c>
      <c r="B45" s="7" t="inlineStr">
        <is>
          <t>10:06 h</t>
        </is>
      </c>
      <c r="C45" s="6" t="inlineStr">
        <is>
          <t>Correlativo de ficha</t>
        </is>
      </c>
      <c r="D45" s="7" t="inlineStr">
        <is>
          <t>DT-M7B6-01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socioeconómica de subsistencia (ganadería extensiva y demanda de leña) sumada a la expansión urbana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0.0325</v>
      </c>
      <c r="C11" s="21">
        <f>ROUND(B11/$B$15*100,2)</f>
        <v>0.04</v>
      </c>
      <c r="D11" s="13" t="inlineStr">
        <is>
          <t>Vigor moderado</t>
        </is>
      </c>
      <c r="E11" s="13" t="inlineStr">
        <is>
          <t>Sobre umbral</t>
        </is>
      </c>
    </row>
    <row r="12">
      <c r="A12" s="7" t="inlineStr">
        <is>
          <t>0.3813 - 0.4976 · DN 3</t>
        </is>
      </c>
      <c r="B12" s="18" t="n">
        <v>4.6564</v>
      </c>
      <c r="C12" s="19">
        <f>ROUND(B12/$B$15*100,2)</f>
        <v>5.1</v>
      </c>
      <c r="D12" s="11" t="inlineStr">
        <is>
          <t>Vigor bajo</t>
        </is>
      </c>
      <c r="E12" s="11" t="inlineStr">
        <is>
          <t>BAJO umbral 0.4976</t>
        </is>
      </c>
    </row>
    <row r="13">
      <c r="A13" s="14" t="inlineStr">
        <is>
          <t>0.2650 - 0.3813 · DN 2</t>
        </is>
      </c>
      <c r="B13" s="32" t="n">
        <v>52.2419</v>
      </c>
      <c r="C13" s="31">
        <f>ROUND(B13/$B$15*100,2)</f>
        <v>57.23</v>
      </c>
      <c r="D13" s="15" t="inlineStr">
        <is>
          <t>Vigor muy bajo</t>
        </is>
      </c>
      <c r="E13" s="15" t="inlineStr">
        <is>
          <t>BAJO umbral 0.4976</t>
        </is>
      </c>
    </row>
    <row r="14">
      <c r="A14" s="7" t="inlineStr">
        <is>
          <t>&lt;= 0.2650 · DN 1</t>
        </is>
      </c>
      <c r="B14" s="18" t="n">
        <v>34.3544</v>
      </c>
      <c r="C14" s="19">
        <f>ROUND(B14/$B$15*100,2)</f>
        <v>37.63</v>
      </c>
      <c r="D14" s="11" t="inlineStr">
        <is>
          <t>Suelo desnudo / no vegetal</t>
        </is>
      </c>
      <c r="E14" s="11" t="inlineStr">
        <is>
          <t>BAJO umbral 0.4976</t>
        </is>
      </c>
    </row>
    <row r="15" ht="30" customHeight="1">
      <c r="A15" s="44" t="inlineStr">
        <is>
          <t>TOTAL CLASIFICADO MSAVI 2024</t>
        </is>
      </c>
      <c r="B15" s="45">
        <f>SUM(B10:B14)</f>
        <v>91.2852</v>
      </c>
      <c r="C15" s="46">
        <f>SUM(C10:C14)</f>
        <v>100.0</v>
      </c>
      <c r="D15" s="44" t="inlineStr">
        <is>
          <t>Suma de la distribución areal · 299 polígonos</t>
        </is>
      </c>
      <c r="E15" s="44" t="inlineStr">
        <is>
          <t>—</t>
        </is>
      </c>
    </row>
    <row r="16" ht="30" customHeight="1">
      <c r="A16" s="47" t="inlineStr">
        <is>
          <t>Superficie SOBRE umbral 0.4976 (ha)</t>
        </is>
      </c>
      <c r="B16" s="48">
        <f>SUM(B10:B11)</f>
        <v>0.0325</v>
      </c>
      <c r="C16" s="49">
        <f>ROUND(B16/B15*100,2)</f>
        <v>0.04</v>
      </c>
      <c r="D16" s="47" t="inlineStr">
        <is>
          <t>Vigor alto y moderado (DN 4 y DN 5)</t>
        </is>
      </c>
      <c r="E16" s="47" t="inlineStr">
        <is>
          <t>Sobre umbral 0.4976</t>
        </is>
      </c>
    </row>
    <row r="17" ht="30" customHeight="1">
      <c r="A17" s="47" t="inlineStr">
        <is>
          <t>Superficie BAJO umbral 0.4976 (ha) — brecha</t>
        </is>
      </c>
      <c r="B17" s="48">
        <f>SUM(B12:B14)</f>
        <v>91.2527</v>
      </c>
      <c r="C17" s="49">
        <f>ROUND(B17/B15*100,2)</f>
        <v>99.96</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91.29000000000001</v>
      </c>
      <c r="C18" s="50" t="inlineStr">
        <is>
          <t>—</t>
        </is>
      </c>
      <c r="D18" s="47" t="inlineStr">
        <is>
          <t>Desviación planimétrica frente al catálogo</t>
        </is>
      </c>
      <c r="E18" s="47" t="inlineStr">
        <is>
          <t>-0.01 %</t>
        </is>
      </c>
    </row>
    <row r="19">
      <c r="A19" s="16" t="inlineStr">
        <is>
          <t>MSAVI 2024 — MEDIA DEL BLOQUE</t>
        </is>
      </c>
      <c r="B19" s="17" t="n">
        <v>0.287833</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299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(0.2878)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0.6704</v>
      </c>
      <c r="C25" s="19" t="n">
        <v>0.73</v>
      </c>
      <c r="D25" s="11" t="inlineStr">
        <is>
          <t>Dosel continuo, matorral denso o mosaico agroforestal</t>
        </is>
      </c>
      <c r="E25" s="11" t="inlineStr"/>
    </row>
    <row r="26">
      <c r="A26" s="12" t="inlineStr">
        <is>
          <t>Vegetación mediana</t>
        </is>
      </c>
      <c r="B26" s="20" t="n">
        <v>42.0151</v>
      </c>
      <c r="C26" s="21" t="n">
        <v>46.01</v>
      </c>
      <c r="D26" s="13" t="inlineStr">
        <is>
          <t>Pastizal cultivado, matorral ralo, parcelas agrícolas</t>
        </is>
      </c>
      <c r="E26" s="13" t="inlineStr"/>
    </row>
    <row r="27">
      <c r="A27" s="7" t="inlineStr">
        <is>
          <t>Vegetación ligera</t>
        </is>
      </c>
      <c r="B27" s="18" t="n">
        <v>48.2907</v>
      </c>
      <c r="C27" s="19" t="n">
        <v>52.88</v>
      </c>
      <c r="D27" s="11" t="inlineStr">
        <is>
          <t>Cobertura discontinua, suelo parcialmente expuesto</t>
        </is>
      </c>
      <c r="E27" s="11" t="inlineStr"/>
    </row>
    <row r="28">
      <c r="A28" s="12" t="inlineStr">
        <is>
          <t>Tierra desnuda</t>
        </is>
      </c>
      <c r="B28" s="20" t="n">
        <v>0.3409</v>
      </c>
      <c r="C28" s="21" t="n">
        <v>0.37</v>
      </c>
      <c r="D28" s="13" t="inlineStr">
        <is>
          <t>Suelo desnudo, afloramientos, plataformas y taludes</t>
        </is>
      </c>
      <c r="E28" s="13" t="inlineStr"/>
    </row>
    <row r="29">
      <c r="A29" s="16" t="inlineStr">
        <is>
          <t>TOTAL CLASIFICADO</t>
        </is>
      </c>
      <c r="B29" s="22">
        <f>SUM(B25:B28)</f>
        <v>91.3171</v>
      </c>
      <c r="C29" s="23">
        <f>SUM(C25:C28)</f>
        <v>99.99</v>
      </c>
      <c r="D29" s="17" t="inlineStr"/>
      <c r="E29" s="17" t="inlineStr"/>
    </row>
    <row r="30">
      <c r="A30" s="24" t="inlineStr">
        <is>
          <t>Superficie de catálogo (V5/V6)</t>
        </is>
      </c>
      <c r="B30" s="25" t="n">
        <v>91.29000000000001</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0.73 % del polígono clasificado como «Vegetación alta» por el NDVI 2025; la observación de campo corresponde a una parcela o recorrido puntual y no es estadísticamente representativa de las 91.290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M7B6</t>
        </is>
      </c>
    </row>
    <row r="6" ht="24" customHeight="1">
      <c r="A6" s="4" t="inlineStr">
        <is>
          <t>Levantamiento del 2026-05-19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635150</v>
      </c>
      <c r="D10" s="26" t="n">
        <v>9399300</v>
      </c>
      <c r="E10" s="11" t="n">
        <v>211.8</v>
      </c>
      <c r="F10" s="11" t="inlineStr"/>
      <c r="G10" s="11" t="inlineStr">
        <is>
          <t>Coordenada consignada en F-DT-01</t>
        </is>
      </c>
    </row>
    <row r="11">
      <c r="A11" s="12" t="inlineStr">
        <is>
          <t>C-M7B6-01</t>
        </is>
      </c>
      <c r="B11" s="13" t="inlineStr">
        <is>
          <t>Rasgo erosivo — Cárcava somera — 125 m, 0.8 m prof., 1.6 m ancho</t>
        </is>
      </c>
      <c r="C11" s="27" t="n">
        <v>635180</v>
      </c>
      <c r="D11" s="27" t="n">
        <v>9399400</v>
      </c>
      <c r="E11" s="13" t="n">
        <v>315.9</v>
      </c>
      <c r="F11" s="13" t="inlineStr">
        <is>
          <t>Semi-activa</t>
        </is>
      </c>
      <c r="G11" s="13" t="inlineStr">
        <is>
          <t>Concentración natural de escorrentía</t>
        </is>
      </c>
    </row>
    <row r="12">
      <c r="A12" s="7" t="inlineStr">
        <is>
          <t>C-M7B6-02</t>
        </is>
      </c>
      <c r="B12" s="11" t="inlineStr">
        <is>
          <t>Rasgo erosivo — Cárcava incipiente — 70 m, 0.4 m prof., 0.7 m ancho</t>
        </is>
      </c>
      <c r="C12" s="26" t="n">
        <v>635300</v>
      </c>
      <c r="D12" s="26" t="n">
        <v>9399560</v>
      </c>
      <c r="E12" s="11" t="n">
        <v>505.1</v>
      </c>
      <c r="F12" s="11" t="inlineStr">
        <is>
          <t>Activa</t>
        </is>
      </c>
      <c r="G12" s="11" t="inlineStr">
        <is>
          <t>Caminos / huellas de ganado</t>
        </is>
      </c>
    </row>
    <row r="13">
      <c r="A13" s="12" t="inlineStr">
        <is>
          <t>H-01</t>
        </is>
      </c>
      <c r="B13" s="13" t="inlineStr">
        <is>
          <t>Fuente de agua — Quebrada estacional</t>
        </is>
      </c>
      <c r="C13" s="27" t="n">
        <v>635300</v>
      </c>
      <c r="D13" s="27" t="n">
        <v>9399520</v>
      </c>
      <c r="E13" s="13" t="n">
        <v>468.3</v>
      </c>
      <c r="F13" s="13" t="inlineStr">
        <is>
          <t>Estacional</t>
        </is>
      </c>
      <c r="G13" s="13" t="inlineStr">
        <is>
          <t>Quebrada que se activa en lluvias y atraviesa el sector poblado</t>
        </is>
      </c>
    </row>
    <row r="14">
      <c r="A14" s="7" t="inlineStr">
        <is>
          <t>H-02</t>
        </is>
      </c>
      <c r="B14" s="11" t="inlineStr">
        <is>
          <t>Fuente de agua — Río</t>
        </is>
      </c>
      <c r="C14" s="26" t="n">
        <v>634650</v>
      </c>
      <c r="D14" s="26" t="n">
        <v>9399200</v>
      </c>
      <c r="E14" s="11" t="n">
        <v>472.5</v>
      </c>
      <c r="F14" s="11" t="inlineStr">
        <is>
          <t>Permanente</t>
        </is>
      </c>
      <c r="G14" s="11" t="inlineStr">
        <is>
          <t>Río Serrán (tributario)</t>
        </is>
      </c>
    </row>
    <row r="15">
      <c r="A15" s="12" t="inlineStr">
        <is>
          <t>H-03</t>
        </is>
      </c>
      <c r="B15" s="13" t="inlineStr">
        <is>
          <t>Fuente de agua — Canal de riego</t>
        </is>
      </c>
      <c r="C15" s="27" t="n">
        <v>635950</v>
      </c>
      <c r="D15" s="27" t="n">
        <v>9399100</v>
      </c>
      <c r="E15" s="13" t="n">
        <v>840</v>
      </c>
      <c r="F15" s="13" t="inlineStr">
        <is>
          <t>Intermitente</t>
        </is>
      </c>
      <c r="G15" s="13" t="inlineStr">
        <is>
          <t>Riego de chacras del valle</t>
        </is>
      </c>
    </row>
    <row r="16">
      <c r="A16" s="16" t="inlineStr">
        <is>
          <t>TOTAL: 6 puntos</t>
        </is>
      </c>
      <c r="B16" s="17" t="inlineStr"/>
      <c r="C16" s="17" t="inlineStr"/>
      <c r="D16" s="17" t="inlineStr"/>
      <c r="E16" s="17" t="inlineStr"/>
      <c r="F16" s="17" t="inlineStr"/>
      <c r="G16" s="17" t="inlineStr"/>
    </row>
    <row r="17"/>
    <row r="18">
      <c r="A18" s="6" t="inlineStr">
        <is>
          <t>Centroide del bloque — UTM ESTE (m)</t>
        </is>
      </c>
      <c r="B18" s="7" t="n">
        <v>635110</v>
      </c>
      <c r="C18" s="6" t="inlineStr">
        <is>
          <t>Centroide del bloque — UTM NORTE (m)</t>
        </is>
      </c>
      <c r="D18" s="7" t="n">
        <v>9399092</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0"/>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COLINDA POR EL FLANCO ORIENTAL CON EL ÁREA URBANA DE SERRÁN Y EL SECTOR NUEVO SAN JUAN. SE OBSERVAN VIVIENDAS CON MUROS DERRUIDOS Y DAÑOS A INFRAESTRUCTURA ASOCIADOS A LA ACTIVACIÓN DE QUEBRADAS Y AVENIDAS DE PRECIPITACIÓN EN TEMPORADA DE LLUVIAS, según refieren los pobladores. Inspección realizada el 19-05-2026. BLOQUE CONTIGUO A M2B1.</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M7B6</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M7B1</t>
        </is>
      </c>
      <c r="B10" s="28" t="n">
        <v>130.43</v>
      </c>
      <c r="C10" s="19" t="n">
        <v>32.38</v>
      </c>
      <c r="D10" s="11" t="inlineStr">
        <is>
          <t>183 – 357</t>
        </is>
      </c>
      <c r="E10" s="11" t="n">
        <v>174</v>
      </c>
      <c r="F10" s="11" t="n">
        <v>17.35</v>
      </c>
      <c r="G10" s="18" t="n">
        <v>0.3136</v>
      </c>
      <c r="H10" s="19" t="n">
        <v>4.28</v>
      </c>
      <c r="I10" s="19" t="n">
        <v>99.78</v>
      </c>
    </row>
    <row r="11">
      <c r="A11" s="12" t="inlineStr">
        <is>
          <t>M7B2</t>
        </is>
      </c>
      <c r="B11" s="29" t="n">
        <v>115.38</v>
      </c>
      <c r="C11" s="21" t="n">
        <v>28.64</v>
      </c>
      <c r="D11" s="13" t="inlineStr">
        <is>
          <t>204 – 362</t>
        </is>
      </c>
      <c r="E11" s="13" t="n">
        <v>158</v>
      </c>
      <c r="F11" s="13" t="n">
        <v>14.01</v>
      </c>
      <c r="G11" s="20" t="n">
        <v>0.2877</v>
      </c>
      <c r="H11" s="21" t="n">
        <v>0.91</v>
      </c>
      <c r="I11" s="21" t="n">
        <v>99.58</v>
      </c>
    </row>
    <row r="12">
      <c r="A12" s="14" t="inlineStr">
        <is>
          <t>► M7B6</t>
        </is>
      </c>
      <c r="B12" s="30" t="n">
        <v>91.29000000000001</v>
      </c>
      <c r="C12" s="31" t="n">
        <v>22.66</v>
      </c>
      <c r="D12" s="15" t="inlineStr">
        <is>
          <t>228 – 453</t>
        </is>
      </c>
      <c r="E12" s="15" t="n">
        <v>225</v>
      </c>
      <c r="F12" s="15" t="n">
        <v>16.87</v>
      </c>
      <c r="G12" s="32" t="n">
        <v>0.2878</v>
      </c>
      <c r="H12" s="31" t="n">
        <v>0.73</v>
      </c>
      <c r="I12" s="31" t="n">
        <v>99.95999999999999</v>
      </c>
    </row>
    <row r="13">
      <c r="A13" s="12" t="inlineStr">
        <is>
          <t>M7B3</t>
        </is>
      </c>
      <c r="B13" s="29" t="n">
        <v>65.73999999999999</v>
      </c>
      <c r="C13" s="21" t="n">
        <v>16.32</v>
      </c>
      <c r="D13" s="13" t="inlineStr">
        <is>
          <t>209 – 372</t>
        </is>
      </c>
      <c r="E13" s="13" t="n">
        <v>163</v>
      </c>
      <c r="F13" s="13" t="n">
        <v>19.61</v>
      </c>
      <c r="G13" s="20" t="n">
        <v>0.298</v>
      </c>
      <c r="H13" s="21" t="n">
        <v>1.32</v>
      </c>
      <c r="I13" s="21" t="n">
        <v>99.84999999999999</v>
      </c>
    </row>
    <row r="14">
      <c r="A14" s="16" t="inlineStr">
        <is>
          <t>TOTAL / PROMEDIO</t>
        </is>
      </c>
      <c r="B14" s="33">
        <f>SUM(B10:B13)</f>
        <v>402.84</v>
      </c>
      <c r="C14" s="23">
        <f>SUM(C10:C13)</f>
        <v>100.0</v>
      </c>
      <c r="D14" s="17" t="inlineStr">
        <is>
          <t>183 – 453</t>
        </is>
      </c>
      <c r="E14" s="17" t="inlineStr"/>
      <c r="F14" s="17">
        <f>ROUND(AVERAGE(F10:F13),2)</f>
        <v>16.96</v>
      </c>
      <c r="G14" s="22">
        <f>ROUND(AVERAGE(G10:G13),4)</f>
        <v>0.2968</v>
      </c>
      <c r="H14" s="23">
        <f>ROUND(AVERAGE(H10:H13),2)</f>
        <v>1.81</v>
      </c>
      <c r="I14" s="23">
        <f>ROUND(AVERAGE(I10:I13),2)</f>
        <v>99.79</v>
      </c>
    </row>
    <row r="15"/>
    <row r="16" ht="84" customHeight="1">
      <c r="A16" s="9" t="inlineStr">
        <is>
          <t>LECTURA INTRAMICROCUENCA. El bloque M7B6 ocupa el puesto 3 de 4 por superficie dentro de la microcuenca C1076-Q9581 (22.66 % de las 402.84 ha preliminares de la microcuenca). Su pendiente promedio (16.87 %, clase «15-25% (Fuert. inclinado)») es la 2.ª más baja de 4 y se sitúa por debajo del promedio de la microcuenca (16.96 %). Su MSAVI 2024 (0.2878) es el 3.º de 4 y queda por debajo del promedio local (0.2968). Amplitud altitudinal del bloque: 225 m (228–453 msnm). El cuadro conserva todos los bloques catalogados en la microcuenca, incluidos los descartados en el tamizaje, para referencia del conjunto. Los bloques sin ficha DT figuran con sus parámetros de gabinete. BRECHA ESPECTRAL. El 99.96 % de la superficie del bloque (91.253 ha de 91.285 ha) se sitúa bajo el umbral MSAVI 0.4976, por encima del promedio local de la microcuenca (99.79 %) calculado sobre los bloques con dato MSAVI disponible.</t>
        </is>
      </c>
      <c r="B16" s="42" t="n"/>
      <c r="C16" s="42" t="n"/>
      <c r="D16" s="42" t="n"/>
      <c r="E16" s="42" t="n"/>
      <c r="F16" s="42" t="n"/>
      <c r="G16" s="42" t="n"/>
      <c r="H16" s="43" t="n"/>
    </row>
    <row r="17"/>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3" t="n"/>
    </row>
  </sheetData>
  <mergeCells count="9">
    <mergeCell ref="A18:I18"/>
    <mergeCell ref="A4:I4"/>
    <mergeCell ref="A1:I1"/>
    <mergeCell ref="A3:I3"/>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212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(91.317 ha) coincide con la de catálogo (91.29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55 % de cobertura vegetal en campo; el NDVI mediana 2025 clasifica 99.62 %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«Serrán / Nuevo San Juan»; el cruce INEI-Bloques V5 identifica 3 centro(s) poblado(s) en el bloque: NUEVO SAN JUAN, SANTA ROSA, SERRAN</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(250 msnm)</t>
        </is>
      </c>
    </row>
    <row r="19" ht="48" customHeight="1">
      <c r="A19" s="36" t="inlineStr">
        <is>
          <t>D-10</t>
        </is>
      </c>
      <c r="B19" s="36" t="inlineStr">
        <is>
          <t>F-DT-01</t>
        </is>
      </c>
      <c r="C19" s="36" t="inlineStr">
        <is>
          <t>Viviendas con muros derruidos y daños a infraestructura por activación de quebradas en el flanco oriental (Serrán / Nuevo San Juan)</t>
        </is>
      </c>
      <c r="D19" s="37" t="inlineStr">
        <is>
          <t>SUSTANTIVA</t>
        </is>
      </c>
      <c r="E19" s="36" t="inlineStr">
        <is>
          <t>Elementos expuestos urbanos inmediatos: incorporar al análisis de riesgo y priorizar el control de escorrentía</t>
        </is>
      </c>
    </row>
    <row r="20" ht="48" customHeight="1">
      <c r="A20" s="34" t="inlineStr">
        <is>
          <t>D-11</t>
        </is>
      </c>
      <c r="B20" s="34" t="inlineStr">
        <is>
          <t>F-DT-02 / F-DT-04</t>
        </is>
      </c>
      <c r="C20" s="34" t="inlineStr">
        <is>
          <t>Urgencia de control de erosión MEDIA frente a urgencia de intervención ALTA</t>
        </is>
      </c>
      <c r="D20" s="15" t="inlineStr">
        <is>
          <t>NO SUSTANTIVA</t>
        </is>
      </c>
      <c r="E20" s="34" t="inlineStr">
        <is>
          <t>Resolver en la carga definitiva</t>
        </is>
      </c>
    </row>
    <row r="21" ht="48" customHeight="1">
      <c r="A21" s="36" t="inlineStr">
        <is>
          <t>D-12</t>
        </is>
      </c>
      <c r="B21" s="36" t="inlineStr">
        <is>
          <t>F-DT-03</t>
        </is>
      </c>
      <c r="C21" s="36" t="inlineStr">
        <is>
          <t>Categoría del Hualtaco consignada VU y del Palo Santo NT, frente a CR en la mayoría de los bloques</t>
        </is>
      </c>
      <c r="D21" s="37" t="inlineStr">
        <is>
          <t>SUSTANTIVA</t>
        </is>
      </c>
      <c r="E21" s="36" t="inlineStr">
        <is>
          <t>Homogeneizar criterio de categorización</t>
        </is>
      </c>
    </row>
    <row r="22" ht="48" customHeight="1">
      <c r="A22" s="34" t="inlineStr">
        <is>
          <t>D-13</t>
        </is>
      </c>
      <c r="B22" s="34" t="inlineStr">
        <is>
          <t>F-DT-03</t>
        </is>
      </c>
      <c r="C22" s="34" t="inlineStr">
        <is>
          <t>Solo 12 taxones registrados frente al mínimo de 15 exigido</t>
        </is>
      </c>
      <c r="D22" s="15" t="inlineStr">
        <is>
          <t>NO SUSTANTIVA</t>
        </is>
      </c>
      <c r="E22" s="34" t="inlineStr">
        <is>
          <t>Inventario a completar</t>
        </is>
      </c>
    </row>
    <row r="23" ht="48" customHeight="1">
      <c r="A23" s="36" t="inlineStr">
        <is>
          <t>D-14</t>
        </is>
      </c>
      <c r="B23" s="36" t="inlineStr">
        <is>
          <t>F-DT-04</t>
        </is>
      </c>
      <c r="C23" s="36" t="inlineStr">
        <is>
          <t>Expansión urbana FUERTE (15%, 5 años) sobre el pie de ladera del bloque</t>
        </is>
      </c>
      <c r="D23" s="37" t="inlineStr">
        <is>
          <t>SUSTANTIVA</t>
        </is>
      </c>
      <c r="E23" s="36" t="inlineStr">
        <is>
          <t>Tamizaje predial y coordinación con la municipalidad de Salitral</t>
        </is>
      </c>
    </row>
    <row r="24" ht="48" customHeight="1">
      <c r="A24" s="34" t="inlineStr">
        <is>
          <t>D-15</t>
        </is>
      </c>
      <c r="B24" s="34" t="inlineStr">
        <is>
          <t>F-DT-04</t>
        </is>
      </c>
      <c r="C24" s="34" t="inlineStr">
        <is>
          <t>Extracción de áridos en la cantera Río Serrán colindante</t>
        </is>
      </c>
      <c r="D24" s="37" t="inlineStr">
        <is>
          <t>SUSTANTIVA</t>
        </is>
      </c>
      <c r="E24" s="34" t="inlineStr">
        <is>
          <t>Pasivo ambiental: incorporar al diagnóstico</t>
        </is>
      </c>
    </row>
    <row r="25" ht="48" customHeight="1">
      <c r="A25" s="36" t="inlineStr">
        <is>
          <t>D-16</t>
        </is>
      </c>
      <c r="B25" s="36" t="inlineStr">
        <is>
          <t>F-DT-03</t>
        </is>
      </c>
      <c r="C25" s="36" t="inlineStr">
        <is>
          <t>Altura del estrato dominante 1.5 m y dosel 10%: pérdida de estructura forestal</t>
        </is>
      </c>
      <c r="D25" s="37" t="inlineStr">
        <is>
          <t>SUSTANTIVA</t>
        </is>
      </c>
      <c r="E25" s="36" t="inlineStr">
        <is>
          <t>El bloque requiere restauración activa, no solo pasiva</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(299 polígonos, 91.285 ha)</t>
        </is>
      </c>
      <c r="D26" s="37"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(91.285 ha) frente a la de catálogo V5/V6 (91.290 ha): desviación de -0.01 %</t>
        </is>
      </c>
      <c r="D27" s="37"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(0.2878) cae en la clase «DN 2 · 0.2650 - 0.3813 (Vigor muy bajo)»; la clase de mayor superficie es «DN 2 · 0.2650 - 0.3813 (Vigor muy bajo)», con 57.23 % del bloque. Superficie bajo el umbral 0.4976: 91.253 ha (99.96 %)</t>
        </is>
      </c>
      <c r="D28" s="37"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6 · CORREGIDO: 2 · NO SUSTANTIVA: 3 · SUSTANTIVA: 8</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M7B6 — IN Piura</dc:title>
  <dc:subject>Diagnóstico Territorial por bloque de intervención</dc:subject>
  <dcterms:created xsi:type="dcterms:W3CDTF">2026-09-08T03:39:59Z</dcterms:created>
  <dcterms:modified xsi:type="dcterms:W3CDTF">2026-09-10T00:28:33Z</dcterms:modified>
</cp:coreProperties>
</file>