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21</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Huamala Alto</t>
        </is>
      </c>
      <c r="C13" s="6" t="inlineStr">
        <is>
          <t>Comunidad campesina</t>
        </is>
      </c>
      <c r="D13" s="7" t="inlineStr">
        <is>
          <t>Por verificar (tamizaje predial y diagnóstico social pendientes)</t>
        </is>
      </c>
      <c r="E13" s="8" t="n"/>
      <c r="F13" s="8" t="n"/>
    </row>
    <row r="14">
      <c r="A14" s="6" t="inlineStr">
        <is>
          <t>Superficie de catálogo (V5/V6), ha</t>
        </is>
      </c>
      <c r="B14" s="7" t="n">
        <v>84.23</v>
      </c>
      <c r="C14" s="6" t="inlineStr">
        <is>
          <t>Fuente de superficie</t>
        </is>
      </c>
      <c r="D14" s="7" t="inlineStr">
        <is>
          <t>Catálogo maestro Bloques V5/V6</t>
        </is>
      </c>
      <c r="E14" s="8" t="n"/>
      <c r="F14" s="8" t="n"/>
    </row>
    <row r="15">
      <c r="A15" s="6" t="inlineStr">
        <is>
          <t>Centroide UTM ESTE (m)</t>
        </is>
      </c>
      <c r="B15" s="7" t="n">
        <v>654604</v>
      </c>
      <c r="C15" s="6" t="inlineStr">
        <is>
          <t>Centroide UTM NORTE (m)</t>
        </is>
      </c>
      <c r="D15" s="7" t="n">
        <v>9417736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1353</v>
      </c>
      <c r="C19" s="6" t="inlineStr">
        <is>
          <t>Altitud máxima (msnm)</t>
        </is>
      </c>
      <c r="D19" s="7" t="n">
        <v>2004</v>
      </c>
      <c r="E19" s="8" t="n"/>
      <c r="F19" s="8" t="n"/>
    </row>
    <row r="20">
      <c r="A20" s="6" t="inlineStr">
        <is>
          <t>Amplitud altitudinal (m)</t>
        </is>
      </c>
      <c r="B20" s="7" t="n">
        <v>651</v>
      </c>
      <c r="C20" s="6" t="inlineStr">
        <is>
          <t>Piso altitudinal dominante</t>
        </is>
      </c>
      <c r="D20" s="7" t="inlineStr">
        <is>
          <t>1500-2000 m (Quechua media)</t>
        </is>
      </c>
      <c r="E20" s="8" t="n"/>
      <c r="F20" s="8" t="n"/>
    </row>
    <row r="21">
      <c r="A21" s="6" t="inlineStr">
        <is>
          <t>Pendiente promedio (%)</t>
        </is>
      </c>
      <c r="B21" s="7" t="n">
        <v>31.71</v>
      </c>
      <c r="C21" s="6" t="inlineStr">
        <is>
          <t>Pendiente promedio (grados)</t>
        </is>
      </c>
      <c r="D21" s="7" t="n">
        <v>17.6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0.6201</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(89.39 %)</t>
        </is>
      </c>
      <c r="E29" s="8" t="n"/>
      <c r="F29" s="8" t="n"/>
    </row>
    <row r="30">
      <c r="A30" s="6" t="inlineStr">
        <is>
          <t>Superficie clasificada NDVI 2025 (ha)</t>
        </is>
      </c>
      <c r="B30" s="7" t="n">
        <v>84.244</v>
      </c>
      <c r="C30" s="6" t="inlineStr">
        <is>
          <t>Desviación frente al catálogo (%)</t>
        </is>
      </c>
      <c r="D30" s="7" t="n">
        <v>0.02</v>
      </c>
      <c r="E30" s="8" t="n"/>
      <c r="F30" s="8" t="n"/>
    </row>
    <row r="31">
      <c r="A31" s="6" t="inlineStr">
        <is>
          <t>Superficie clasificada MSAVI 2024 (ha)</t>
        </is>
      </c>
      <c r="B31" s="38" t="n">
        <v>84.227</v>
      </c>
      <c r="C31" s="6" t="inlineStr">
        <is>
          <t>Desviación MSAVI frente al catálogo (%)</t>
        </is>
      </c>
      <c r="D31" s="39" t="n">
        <v>0</v>
      </c>
      <c r="E31" s="8" t="n"/>
      <c r="F31" s="8" t="n"/>
    </row>
    <row r="32">
      <c r="A32" s="6" t="inlineStr">
        <is>
          <t>Superficie bajo umbral MSAVI 0.4976 (ha)</t>
        </is>
      </c>
      <c r="B32" s="38" t="n">
        <v>4.357</v>
      </c>
      <c r="C32" s="6" t="inlineStr">
        <is>
          <t>% del bloque bajo umbral (brecha espectral)</t>
        </is>
      </c>
      <c r="D32" s="39" t="n">
        <v>5.17</v>
      </c>
      <c r="E32" s="8" t="n"/>
      <c r="F32" s="8" t="n"/>
    </row>
    <row r="33">
      <c r="A33" s="6" t="inlineStr">
        <is>
          <t>Clase DN dominante (MSAVI 2024)</t>
        </is>
      </c>
      <c r="B33" s="7" t="inlineStr">
        <is>
          <t>DN 5 · &gt; 0.6139 (Vigor alto)</t>
        </is>
      </c>
      <c r="C33" s="6" t="inlineStr">
        <is>
          <t>N.° de polígonos MSAVI del bloque</t>
        </is>
      </c>
      <c r="D33" s="40" t="n">
        <v>195</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Por determinar (recorte de la capa oficial MINAM)</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90</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(resp. brigada) / Ing. Albert Flores Mendoza (operador RPAS)</t>
        </is>
      </c>
      <c r="C44" s="6" t="inlineStr">
        <is>
          <t>Fecha de evaluación</t>
        </is>
      </c>
      <c r="D44" s="7" t="inlineStr">
        <is>
          <t>2026-08-10</t>
        </is>
      </c>
      <c r="E44" s="8" t="n"/>
      <c r="F44" s="8" t="n"/>
    </row>
    <row r="45">
      <c r="A45" s="6" t="inlineStr">
        <is>
          <t>Hora de registro</t>
        </is>
      </c>
      <c r="B45" s="7" t="inlineStr">
        <is>
          <t>Vuelo 10:40 - 11:20 h (por confirmar con bitácora RPAS)</t>
        </is>
      </c>
      <c r="C45" s="6" t="inlineStr">
        <is>
          <t>Correlativo de ficha</t>
        </is>
      </c>
      <c r="D45" s="7" t="inlineStr">
        <is>
          <t>F-DT-01/B21-2026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 caracterización por fotointerpretación del vuelo RPAS</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productiva de ladera de fuerte pendiente sin prácticas de conservación de suelos, en contexto de accesibilidad vial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41.1843</v>
      </c>
      <c r="C10" s="31">
        <f>ROUND(B10/$B$15*100,2)</f>
        <v/>
      </c>
      <c r="D10" s="12" t="inlineStr">
        <is>
          <t>Vigor alto</t>
        </is>
      </c>
      <c r="E10" s="12" t="inlineStr">
        <is>
          <t>Sobre umbral</t>
        </is>
      </c>
    </row>
    <row r="11">
      <c r="A11" s="13" t="inlineStr">
        <is>
          <t>0.4976 - 0.6139 · DN 4</t>
        </is>
      </c>
      <c r="B11" s="20" t="n">
        <v>38.6852</v>
      </c>
      <c r="C11" s="21">
        <f>ROUND(B11/$B$15*100,2)</f>
        <v/>
      </c>
      <c r="D11" s="14" t="inlineStr">
        <is>
          <t>Vigor moderado</t>
        </is>
      </c>
      <c r="E11" s="14" t="inlineStr">
        <is>
          <t>Sobre umbral</t>
        </is>
      </c>
    </row>
    <row r="12">
      <c r="A12" s="7" t="inlineStr">
        <is>
          <t>0.3813 - 0.4976 · DN 3</t>
        </is>
      </c>
      <c r="B12" s="18" t="n">
        <v>4.3472</v>
      </c>
      <c r="C12" s="19">
        <f>ROUND(B12/$B$15*100,2)</f>
        <v/>
      </c>
      <c r="D12" s="15" t="inlineStr">
        <is>
          <t>Vigor bajo</t>
        </is>
      </c>
      <c r="E12" s="15" t="inlineStr">
        <is>
          <t>BAJO umbral 0.4976</t>
        </is>
      </c>
    </row>
    <row r="13">
      <c r="A13" s="13" t="inlineStr">
        <is>
          <t>0.2650 - 0.3813 · DN 2</t>
        </is>
      </c>
      <c r="B13" s="20" t="n">
        <v>0.009900000000000001</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195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84.23</v>
      </c>
      <c r="C18" s="49" t="inlineStr">
        <is>
          <t>—</t>
        </is>
      </c>
      <c r="D18" s="46" t="inlineStr">
        <is>
          <t>Desviación planimétrica frente al catálogo</t>
        </is>
      </c>
      <c r="E18" s="46" t="inlineStr">
        <is>
          <t>+0.00 %</t>
        </is>
      </c>
    </row>
    <row r="19">
      <c r="A19" s="16" t="inlineStr">
        <is>
          <t>MSAVI 2024 — MEDIA DEL BLOQUE</t>
        </is>
      </c>
      <c r="B19" s="17" t="n">
        <v>0.620078</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195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(0.6201)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75.3058</v>
      </c>
      <c r="C25" s="19" t="n">
        <v>89.39</v>
      </c>
      <c r="D25" s="15" t="inlineStr">
        <is>
          <t>Dosel continuo, matorral denso o mosaico agroforestal</t>
        </is>
      </c>
      <c r="E25" s="15" t="inlineStr"/>
    </row>
    <row r="26">
      <c r="A26" s="13" t="inlineStr">
        <is>
          <t>Vegetación mediana</t>
        </is>
      </c>
      <c r="B26" s="20" t="n">
        <v>8.521699999999999</v>
      </c>
      <c r="C26" s="21" t="n">
        <v>10.12</v>
      </c>
      <c r="D26" s="14" t="inlineStr">
        <is>
          <t>Pastizal cultivado, matorral ralo, parcelas agrícolas</t>
        </is>
      </c>
      <c r="E26" s="14" t="inlineStr"/>
    </row>
    <row r="27">
      <c r="A27" s="7" t="inlineStr">
        <is>
          <t>Vegetación ligera</t>
        </is>
      </c>
      <c r="B27" s="18" t="n">
        <v>0.4167</v>
      </c>
      <c r="C27" s="19" t="n">
        <v>0.49</v>
      </c>
      <c r="D27" s="15" t="inlineStr">
        <is>
          <t>Cobertura discontinua, suelo parcialmente expuesto</t>
        </is>
      </c>
      <c r="E27" s="15" t="inlineStr"/>
    </row>
    <row r="28">
      <c r="A28" s="16" t="inlineStr">
        <is>
          <t>TOTAL CLASIFICADO</t>
        </is>
      </c>
      <c r="B28" s="22">
        <f>SUM(B25:B27)</f>
        <v/>
      </c>
      <c r="C28" s="23">
        <f>SUM(C25:C27)</f>
        <v/>
      </c>
      <c r="D28" s="17" t="inlineStr"/>
      <c r="E28" s="17" t="inlineStr"/>
    </row>
    <row r="29">
      <c r="A29" s="24" t="inlineStr">
        <is>
          <t>Superficie de catálogo (V5/V6)</t>
        </is>
      </c>
      <c r="B29" s="25" t="n">
        <v>84.23</v>
      </c>
      <c r="C29" s="25" t="inlineStr">
        <is>
          <t>—</t>
        </is>
      </c>
      <c r="D29" s="25" t="inlineStr">
        <is>
          <t>Desviación planimétrica frente al catálogo</t>
        </is>
      </c>
      <c r="E29" s="25" t="inlineStr">
        <is>
          <t>+0.02 %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89.39 % del polígono clasificado como «Vegetación alta» por el NDVI 2025; la observación de campo corresponde a una parcela o recorrido puntual y no es estadísticamente representativa de las 84.230 ha del bloque.</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21</t>
        </is>
      </c>
    </row>
    <row r="6" ht="24" customHeight="1">
      <c r="A6" s="4" t="inlineStr">
        <is>
          <t>Levantamiento del 2026-08-10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654604</v>
      </c>
      <c r="D10" s="26" t="n">
        <v>9417736</v>
      </c>
      <c r="E10" s="15" t="n">
        <v>0</v>
      </c>
      <c r="F10" s="15" t="inlineStr"/>
      <c r="G10" s="15" t="inlineStr">
        <is>
          <t>Coordenada consignada en F-DT-01</t>
        </is>
      </c>
    </row>
    <row r="11">
      <c r="A11" s="13" t="inlineStr">
        <is>
          <t>H-01</t>
        </is>
      </c>
      <c r="B11" s="14" t="inlineStr">
        <is>
          <t>Fuente de agua — Quebrada permanente</t>
        </is>
      </c>
      <c r="C11" s="27" t="inlineStr">
        <is>
          <t>Por verificar</t>
        </is>
      </c>
      <c r="D11" s="27" t="inlineStr">
        <is>
          <t>Por verificar</t>
        </is>
      </c>
      <c r="E11" s="14" t="inlineStr"/>
      <c r="F11" s="14" t="inlineStr">
        <is>
          <t>Permanente</t>
        </is>
      </c>
      <c r="G11" s="14" t="inlineStr">
        <is>
          <t>Cauce principal</t>
        </is>
      </c>
    </row>
    <row r="12">
      <c r="A12" s="7" t="inlineStr">
        <is>
          <t>H-02</t>
        </is>
      </c>
      <c r="B12" s="15" t="inlineStr">
        <is>
          <t>Fuente de agua — Quebrada estacional</t>
        </is>
      </c>
      <c r="C12" s="26" t="inlineStr">
        <is>
          <t>Por verificar</t>
        </is>
      </c>
      <c r="D12" s="26" t="inlineStr">
        <is>
          <t>Por verificar</t>
        </is>
      </c>
      <c r="E12" s="15" t="inlineStr"/>
      <c r="F12" s="15" t="inlineStr">
        <is>
          <t>Estacional</t>
        </is>
      </c>
      <c r="G12" s="15" t="inlineStr">
        <is>
          <t>Cauces tributarios</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654604</v>
      </c>
      <c r="C15" s="6" t="inlineStr">
        <is>
          <t>Centroide del bloque — UTM NORTE (m)</t>
        </is>
      </c>
      <c r="D15" s="7" t="n">
        <v>9417736</v>
      </c>
      <c r="E15" s="8" t="n"/>
      <c r="F15" s="8" t="n"/>
      <c r="G15" s="8" t="n"/>
      <c r="H15" s="8" t="n"/>
    </row>
    <row r="16">
      <c r="A16" s="6" t="inlineStr">
        <is>
          <t>N.° de estaciones fotográficas declaradas</t>
        </is>
      </c>
      <c r="B16" s="7" t="inlineStr">
        <is>
          <t>Sin registro en la ficha DT</t>
        </is>
      </c>
      <c r="C16" s="6" t="inlineStr">
        <is>
          <t>Estaciones dentro del polígono</t>
        </is>
      </c>
      <c r="D16" s="7" t="inlineStr">
        <is>
          <t>Por determinar</t>
        </is>
      </c>
      <c r="E16" s="8" t="n"/>
      <c r="F16" s="8" t="n"/>
      <c r="G16" s="8" t="n"/>
      <c r="H16" s="8" t="n"/>
    </row>
    <row r="18" ht="108"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por VUELO DE DRON (RPAS); no se ejecutó recorrido peatonal interior. Las coordenadas corresponden al CENTROIDE del bloque (catálogo V5), no a un punto GPS de muestreo; la altitud de 1575 msnm es interpolada de curvas de nivel. Rango altitudinal por MDE: 1353-2004 msnm (amplitud 651 m); pendiente promedio zonal 31.71%. El polígono aparece rotulado «B4_2» en la capa MSAVI: reconciliar con el código 21.</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21</t>
        </is>
      </c>
    </row>
    <row r="6" ht="24" customHeight="1">
      <c r="A6" s="4" t="inlineStr">
        <is>
          <t>Distrito de Canchaque · Provincia de Huancabamba · Comparación de los bloques preliminares de intervención de la misma microcuenca</t>
        </is>
      </c>
    </row>
    <row r="7"/>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66</t>
        </is>
      </c>
      <c r="B10" s="28" t="n">
        <v>102.34</v>
      </c>
      <c r="C10" s="19" t="n">
        <v>18.53</v>
      </c>
      <c r="D10" s="15" t="inlineStr">
        <is>
          <t>1171 – 1769</t>
        </is>
      </c>
      <c r="E10" s="15" t="n">
        <v>598</v>
      </c>
      <c r="F10" s="15" t="n">
        <v>31.55</v>
      </c>
      <c r="G10" s="18" t="n">
        <v>0.6403</v>
      </c>
      <c r="H10" s="19" t="n">
        <v>94.08</v>
      </c>
      <c r="I10" s="19" t="n">
        <v>8.84</v>
      </c>
    </row>
    <row r="11">
      <c r="A11" s="13" t="inlineStr">
        <is>
          <t>M30B5</t>
        </is>
      </c>
      <c r="B11" s="29" t="n">
        <v>90.90000000000001</v>
      </c>
      <c r="C11" s="21" t="n">
        <v>16.46</v>
      </c>
      <c r="D11" s="14" t="inlineStr">
        <is>
          <t>1782 – 2307</t>
        </is>
      </c>
      <c r="E11" s="14" t="n">
        <v>525</v>
      </c>
      <c r="F11" s="14" t="n">
        <v>21.23</v>
      </c>
      <c r="G11" s="20" t="n">
        <v>0.5564</v>
      </c>
      <c r="H11" s="21" t="n">
        <v>79.45999999999999</v>
      </c>
      <c r="I11" s="21" t="n">
        <v>33.03</v>
      </c>
    </row>
    <row r="12">
      <c r="A12" s="11" t="inlineStr">
        <is>
          <t>► 21</t>
        </is>
      </c>
      <c r="B12" s="30" t="n">
        <v>84.23</v>
      </c>
      <c r="C12" s="31" t="n">
        <v>15.25</v>
      </c>
      <c r="D12" s="12" t="inlineStr">
        <is>
          <t>1353 – 2004</t>
        </is>
      </c>
      <c r="E12" s="12" t="n">
        <v>651</v>
      </c>
      <c r="F12" s="12" t="n">
        <v>31.71</v>
      </c>
      <c r="G12" s="32" t="n">
        <v>0.6201</v>
      </c>
      <c r="H12" s="31" t="n">
        <v>89.39</v>
      </c>
      <c r="I12" s="31" t="n">
        <v>5.17</v>
      </c>
    </row>
    <row r="13">
      <c r="A13" s="13" t="inlineStr">
        <is>
          <t>28</t>
        </is>
      </c>
      <c r="B13" s="29" t="n">
        <v>52.97</v>
      </c>
      <c r="C13" s="21" t="n">
        <v>9.59</v>
      </c>
      <c r="D13" s="14" t="inlineStr">
        <is>
          <t>1462 – 1856</t>
        </is>
      </c>
      <c r="E13" s="14" t="n">
        <v>394</v>
      </c>
      <c r="F13" s="14" t="n">
        <v>30.36</v>
      </c>
      <c r="G13" s="20" t="n">
        <v>0.6394</v>
      </c>
      <c r="H13" s="21" t="n">
        <v>96.64</v>
      </c>
      <c r="I13" s="21" t="n">
        <v>0.93</v>
      </c>
    </row>
    <row r="14">
      <c r="A14" s="7" t="inlineStr">
        <is>
          <t>26</t>
        </is>
      </c>
      <c r="B14" s="28" t="n">
        <v>46.96</v>
      </c>
      <c r="C14" s="19" t="n">
        <v>8.5</v>
      </c>
      <c r="D14" s="15" t="inlineStr">
        <is>
          <t>1260 – 1855</t>
        </is>
      </c>
      <c r="E14" s="15" t="n">
        <v>595</v>
      </c>
      <c r="F14" s="15" t="n">
        <v>32.26</v>
      </c>
      <c r="G14" s="18" t="n">
        <v>0.6733</v>
      </c>
      <c r="H14" s="19" t="n">
        <v>97.29000000000001</v>
      </c>
      <c r="I14" s="19" t="n">
        <v>2.35</v>
      </c>
    </row>
    <row r="15">
      <c r="A15" s="13" t="inlineStr">
        <is>
          <t>60</t>
        </is>
      </c>
      <c r="B15" s="29" t="n">
        <v>40.13</v>
      </c>
      <c r="C15" s="21" t="n">
        <v>7.27</v>
      </c>
      <c r="D15" s="14" t="inlineStr">
        <is>
          <t>1638 – 2073</t>
        </is>
      </c>
      <c r="E15" s="14" t="n">
        <v>435</v>
      </c>
      <c r="F15" s="14" t="n">
        <v>32.67</v>
      </c>
      <c r="G15" s="20" t="n">
        <v>0.6745</v>
      </c>
      <c r="H15" s="21" t="n">
        <v>99.90000000000001</v>
      </c>
      <c r="I15" s="21" t="n">
        <v>0.61</v>
      </c>
    </row>
    <row r="16">
      <c r="A16" s="7" t="inlineStr">
        <is>
          <t>64</t>
        </is>
      </c>
      <c r="B16" s="28" t="n">
        <v>35.77</v>
      </c>
      <c r="C16" s="19" t="n">
        <v>6.48</v>
      </c>
      <c r="D16" s="15" t="inlineStr">
        <is>
          <t>2412 – 2651</t>
        </is>
      </c>
      <c r="E16" s="15" t="n">
        <v>239</v>
      </c>
      <c r="F16" s="15" t="n">
        <v>28.18</v>
      </c>
      <c r="G16" s="18" t="n">
        <v>0.5254</v>
      </c>
      <c r="H16" s="19" t="n">
        <v>78.22</v>
      </c>
      <c r="I16" s="19" t="n">
        <v>41.48</v>
      </c>
    </row>
    <row r="17">
      <c r="A17" s="13" t="inlineStr">
        <is>
          <t>37</t>
        </is>
      </c>
      <c r="B17" s="29" t="n">
        <v>35.49</v>
      </c>
      <c r="C17" s="21" t="n">
        <v>6.43</v>
      </c>
      <c r="D17" s="14" t="inlineStr">
        <is>
          <t>1184 – 1455</t>
        </is>
      </c>
      <c r="E17" s="14" t="n">
        <v>271</v>
      </c>
      <c r="F17" s="14" t="n">
        <v>23.59</v>
      </c>
      <c r="G17" s="20" t="n">
        <v>0.6588000000000001</v>
      </c>
      <c r="H17" s="21" t="n">
        <v>98.02</v>
      </c>
      <c r="I17" s="21" t="n">
        <v>1.92</v>
      </c>
    </row>
    <row r="18">
      <c r="A18" s="7" t="inlineStr">
        <is>
          <t>30</t>
        </is>
      </c>
      <c r="B18" s="28" t="n">
        <v>34.87</v>
      </c>
      <c r="C18" s="19" t="n">
        <v>6.31</v>
      </c>
      <c r="D18" s="15" t="inlineStr">
        <is>
          <t>1216 – 1541</t>
        </is>
      </c>
      <c r="E18" s="15" t="n">
        <v>325</v>
      </c>
      <c r="F18" s="15" t="n">
        <v>27.91</v>
      </c>
      <c r="G18" s="18" t="n">
        <v>0.6637999999999999</v>
      </c>
      <c r="H18" s="19" t="n">
        <v>99.38</v>
      </c>
      <c r="I18" s="19" t="n">
        <v>1.31</v>
      </c>
    </row>
    <row r="19">
      <c r="A19" s="13" t="inlineStr">
        <is>
          <t>40</t>
        </is>
      </c>
      <c r="B19" s="29" t="n">
        <v>28.52</v>
      </c>
      <c r="C19" s="21" t="n">
        <v>5.16</v>
      </c>
      <c r="D19" s="14" t="inlineStr">
        <is>
          <t>1407 – 1656</t>
        </is>
      </c>
      <c r="E19" s="14" t="n">
        <v>249</v>
      </c>
      <c r="F19" s="14" t="n">
        <v>31.4</v>
      </c>
      <c r="G19" s="20" t="n">
        <v>0.6401</v>
      </c>
      <c r="H19" s="21" t="n">
        <v>99.55</v>
      </c>
      <c r="I19" s="21" t="n">
        <v>2.9</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c r="I20" s="23">
        <f>ROUND(AVERAGE(I10:I19),2)</f>
        <v/>
      </c>
    </row>
    <row r="21"/>
    <row r="22" ht="84" customHeight="1">
      <c r="A22" s="9" t="inlineStr">
        <is>
          <t>LECTURA INTRAMICROCUENCA. El bloque 21 ocupa el puesto 3 de 10 por superficie dentro de la microcuenca C1081-Q9591 (15.25 % de las 552.18 ha preliminares de la microcuenca). Su pendiente promedio (31.71 %, clase «25-50% (Mod. escarpado)») es la 8.ª más baja de 10 y se sitúa por encima del promedio de la microcuenca (29.09 %). Su MSAVI 2024 (0.6201) es el 8.º de 10 y queda por debajo del promedio local (0.6292). Amplitud altitudinal del bloque: 651 m (1353–2004 msnm). El cuadro conserva todos los bloques catalogados en la microcuenca, incluidos los descartados en el tamizaje, para referencia del conjunto. Los bloques sin ficha DT figuran con sus parámetros de gabinete. BRECHA ESPECTRAL. El 5.17 % de la superficie del bloque (4.357 ha de 84.227 ha) se sitúa bajo el umbral MSAVI 0.4976, por debajo del promedio local de la microcuenca (9.85 %)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9">
    <mergeCell ref="A1:I1"/>
    <mergeCell ref="A4:I4"/>
    <mergeCell ref="A3:I3"/>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21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«C1081-Q9591»</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(84.244 ha) coincide con la de catálogo (84.23 ha) dentro del ±2 % (+0.02 %)</t>
        </is>
      </c>
      <c r="D12" s="37" t="inlineStr">
        <is>
          <t>CONFORME</t>
        </is>
      </c>
      <c r="E12" s="34" t="inlineStr">
        <is>
          <t>Sin acción: la segmentación valida la geometría del bloque.</t>
        </is>
      </c>
    </row>
    <row r="13" ht="48" customHeight="1">
      <c r="A13" s="36" t="inlineStr">
        <is>
          <t>D-04</t>
        </is>
      </c>
      <c r="B13" s="36" t="inlineStr">
        <is>
          <t>Dimensiones del inventario de cárcavas</t>
        </is>
      </c>
      <c r="C13" s="36" t="inlineStr">
        <is>
          <t>Se registran 0 rasgos erosivos, pero longitud, profundidad y ancho no fueron medidos instrumentalmente</t>
        </is>
      </c>
      <c r="D13" s="12" t="inlineStr">
        <is>
          <t>NO SUSTANTIVA</t>
        </is>
      </c>
      <c r="E13" s="36" t="inlineStr">
        <is>
          <t>El conteo registrado no debe usarse para calcular densidad de cárcavas por hectárea. Pendiente de levantamiento con GPS submétrico.</t>
        </is>
      </c>
    </row>
    <row r="14" ht="48" customHeight="1">
      <c r="A14" s="34" t="inlineStr">
        <is>
          <t>D-05</t>
        </is>
      </c>
      <c r="B14" s="34" t="inlineStr">
        <is>
          <t>Centro poblado asociado</t>
        </is>
      </c>
      <c r="C14" s="34" t="inlineStr">
        <is>
          <t>La ficha DT declara «Huamala Alto»; el cruce INEI-Bloques V5 identifica 1 centro(s) poblado(s) en el bloque: HUAMALA ALTO</t>
        </is>
      </c>
      <c r="D14" s="37" t="inlineStr">
        <is>
          <t>CONFORME</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5" t="inlineStr">
        <is>
          <t>SUSTANTIVA</t>
        </is>
      </c>
      <c r="E15" s="36" t="inlineStr">
        <is>
          <t>Debe tomarse del modelamiento de mesolocalización (PMM + EPH + PGI ponderados por AHP) antes de fijar la prioridad definitiva de intervención del bloque.</t>
        </is>
      </c>
    </row>
    <row r="16" ht="48" customHeight="1">
      <c r="A16" s="36" t="inlineStr">
        <is>
          <t>D-07</t>
        </is>
      </c>
      <c r="B16" s="36" t="inlineStr">
        <is>
          <t>Distribución areal MSAVI 2024</t>
        </is>
      </c>
      <c r="C16" s="36" t="inlineStr">
        <is>
          <t>La distribución por clase de MSAVI no figuraba en los insumos del entregable y se consignaba «Por determinar»; se incorpora la estadística zonal del ráster MSAVI clasificado (195 polígonos, 84.227 ha)</t>
        </is>
      </c>
      <c r="D16" s="35" t="inlineStr">
        <is>
          <t>CORREGIDO</t>
        </is>
      </c>
      <c r="E1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7" ht="48" customHeight="1">
      <c r="A17" s="36" t="inlineStr">
        <is>
          <t>D-08</t>
        </is>
      </c>
      <c r="B17" s="36" t="inlineStr">
        <is>
          <t>Superficie MSAVI vs. catálogo</t>
        </is>
      </c>
      <c r="C17" s="36" t="inlineStr">
        <is>
          <t>La superficie total clasificada por el MSAVI 2024 (84.227 ha) frente a la de catálogo V5/V6 (84.230 ha): desviación de +0.00 %</t>
        </is>
      </c>
      <c r="D17" s="35" t="inlineStr">
        <is>
          <t>CONFORME</t>
        </is>
      </c>
      <c r="E17" s="36" t="inlineStr">
        <is>
          <t>Sin acción: la segmentación del ráster valida la geometría del bloque dentro del ±2 %.</t>
        </is>
      </c>
    </row>
    <row r="18" ht="48" customHeight="1">
      <c r="A18" s="36" t="inlineStr">
        <is>
          <t>D-09</t>
        </is>
      </c>
      <c r="B18" s="36" t="inlineStr">
        <is>
          <t>Media MSAVI vs. clase DN dominante</t>
        </is>
      </c>
      <c r="C18" s="36" t="inlineStr">
        <is>
          <t>La media del bloque (0.6201) cae en la clase «DN 5 · &gt; 0.6139 (Vigor alto)»; la clase de mayor superficie es «DN 5 · &gt; 0.6139 (Vigor alto)», con 48.90 % del bloque. Superficie bajo el umbral 0.4976: 4.357 ha (5.17 %)</t>
        </is>
      </c>
      <c r="D18" s="35" t="inlineStr">
        <is>
          <t>CONFORME</t>
        </is>
      </c>
      <c r="E18" s="36" t="inlineStr">
        <is>
          <t>Sin acción: la media del bloque y la clase de mayor superficie coinciden.</t>
        </is>
      </c>
    </row>
    <row r="19"/>
    <row r="20">
      <c r="A20" s="16" t="inlineStr">
        <is>
          <t>RESUMEN</t>
        </is>
      </c>
      <c r="B20" s="17" t="inlineStr">
        <is>
          <t>9 verificaciones</t>
        </is>
      </c>
      <c r="C20" s="17" t="inlineStr">
        <is>
          <t>CONFORME: 5 · CORREGIDO: 1 · NO SUSTANTIVA: 1 · SUSTANTIVA: 2</t>
        </is>
      </c>
      <c r="D20" s="17" t="inlineStr"/>
      <c r="E20" s="17" t="inlineStr"/>
    </row>
    <row r="21"/>
    <row r="22" ht="60" customHeight="1">
      <c r="A2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2" s="41" t="n"/>
      <c r="C22" s="41" t="n"/>
      <c r="D22" s="41" t="n"/>
      <c r="E22" s="42" t="n"/>
    </row>
  </sheetData>
  <mergeCells count="8">
    <mergeCell ref="A4:E4"/>
    <mergeCell ref="A2:E2"/>
    <mergeCell ref="A1:E1"/>
    <mergeCell ref="A5:E5"/>
    <mergeCell ref="A8:E8"/>
    <mergeCell ref="A6:E6"/>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21 — IN Piura</dc:title>
  <dc:subject>Diagnóstico Territorial por bloque de intervención</dc:subject>
  <dcterms:created xsi:type="dcterms:W3CDTF">2026-09-08T03:39:55Z</dcterms:created>
  <dcterms:modified xsi:type="dcterms:W3CDTF">2026-09-09T23:30:50Z</dcterms:modified>
</cp:coreProperties>
</file>