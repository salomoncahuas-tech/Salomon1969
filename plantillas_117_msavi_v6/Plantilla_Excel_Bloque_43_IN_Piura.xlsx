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43</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Pizarrume (222 hab., ≈0.48 km del centroide); Coyona (74 hab., ≈0.62 km)</t>
        </is>
      </c>
      <c r="C13" s="6" t="inlineStr">
        <is>
          <t>Comunidad campesina</t>
        </is>
      </c>
      <c r="D13" s="7" t="inlineStr">
        <is>
          <t>Por verificar</t>
        </is>
      </c>
      <c r="E13" s="8" t="n"/>
      <c r="F13" s="8" t="n"/>
    </row>
    <row r="14">
      <c r="A14" s="6" t="inlineStr">
        <is>
          <t>Superficie de catálogo (V5/V6), ha</t>
        </is>
      </c>
      <c r="B14" s="7" t="n">
        <v>23.17</v>
      </c>
      <c r="C14" s="6" t="inlineStr">
        <is>
          <t>Fuente de superficie</t>
        </is>
      </c>
      <c r="D14" s="7" t="inlineStr">
        <is>
          <t>Catálogo maestro Bloques V5/V6</t>
        </is>
      </c>
      <c r="E14" s="8" t="n"/>
      <c r="F14" s="8" t="n"/>
    </row>
    <row r="15">
      <c r="A15" s="6" t="inlineStr">
        <is>
          <t>Centroide UTM ESTE (m)</t>
        </is>
      </c>
      <c r="B15" s="7" t="n">
        <v>656489</v>
      </c>
      <c r="C15" s="6" t="inlineStr">
        <is>
          <t>Centroide UTM NORTE (m)</t>
        </is>
      </c>
      <c r="D15" s="7" t="n">
        <v>9395403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251</v>
      </c>
      <c r="C19" s="6" t="inlineStr">
        <is>
          <t>Altitud máxima (msnm)</t>
        </is>
      </c>
      <c r="D19" s="7" t="n">
        <v>811</v>
      </c>
      <c r="E19" s="8" t="n"/>
      <c r="F19" s="8" t="n"/>
    </row>
    <row r="20">
      <c r="A20" s="6" t="inlineStr">
        <is>
          <t>Amplitud altitudinal (m)</t>
        </is>
      </c>
      <c r="B20" s="7" t="n">
        <v>560</v>
      </c>
      <c r="C20" s="6" t="inlineStr">
        <is>
          <t>Piso altitudinal dominante</t>
        </is>
      </c>
      <c r="D20" s="7" t="inlineStr">
        <is>
          <t>&lt;1000 m (Yunga)</t>
        </is>
      </c>
      <c r="E20" s="8" t="n"/>
      <c r="F20" s="8" t="n"/>
    </row>
    <row r="21">
      <c r="A21" s="6" t="inlineStr">
        <is>
          <t>Pendiente promedio (%)</t>
        </is>
      </c>
      <c r="B21" s="7" t="n">
        <v>31.39</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0.5515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(78.91 %)</t>
        </is>
      </c>
      <c r="E29" s="8" t="n"/>
      <c r="F29" s="8" t="n"/>
    </row>
    <row r="30">
      <c r="A30" s="6" t="inlineStr">
        <is>
          <t>Superficie clasificada NDVI 2025 (ha)</t>
        </is>
      </c>
      <c r="B30" s="7" t="n">
        <v>23.176</v>
      </c>
      <c r="C30" s="6" t="inlineStr">
        <is>
          <t>Desviación frente al catálogo (%)</t>
        </is>
      </c>
      <c r="D30" s="7" t="n">
        <v>0.03</v>
      </c>
      <c r="E30" s="8" t="n"/>
      <c r="F30" s="8" t="n"/>
    </row>
    <row r="31">
      <c r="A31" s="6" t="inlineStr">
        <is>
          <t>Superficie clasificada MSAVI 2024 (ha)</t>
        </is>
      </c>
      <c r="B31" s="38" t="n">
        <v>23.171</v>
      </c>
      <c r="C31" s="6" t="inlineStr">
        <is>
          <t>Desviación MSAVI frente al catálogo (%)</t>
        </is>
      </c>
      <c r="D31" s="39" t="n">
        <v>0.01</v>
      </c>
      <c r="E31" s="8" t="n"/>
      <c r="F31" s="8" t="n"/>
    </row>
    <row r="32">
      <c r="A32" s="6" t="inlineStr">
        <is>
          <t>Superficie bajo umbral MSAVI 0.4976 (ha)</t>
        </is>
      </c>
      <c r="B32" s="38" t="n">
        <v>4.931</v>
      </c>
      <c r="C32" s="6" t="inlineStr">
        <is>
          <t>% del bloque bajo umbral (brecha espectral)</t>
        </is>
      </c>
      <c r="D32" s="39" t="n">
        <v>21.28</v>
      </c>
      <c r="E32" s="8" t="n"/>
      <c r="F32" s="8" t="n"/>
    </row>
    <row r="33">
      <c r="A33" s="6" t="inlineStr">
        <is>
          <t>Clase DN dominante (MSAVI 2024)</t>
        </is>
      </c>
      <c r="B33" s="7" t="inlineStr">
        <is>
          <t>DN 4 · 0.4976 - 0.6139 (Vigor moderado)</t>
        </is>
      </c>
      <c r="C33" s="6" t="inlineStr">
        <is>
          <t>N.° de polígonos MSAVI del bloque</t>
        </is>
      </c>
      <c r="D33" s="40" t="n">
        <v>191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23.17 ha (MINAM: Zona agrícola 100%)</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14:53 - 15:12 h</t>
        </is>
      </c>
      <c r="C45" s="6" t="inlineStr">
        <is>
          <t>Correlativo de ficha</t>
        </is>
      </c>
      <c r="D45" s="7" t="inlineStr">
        <is>
          <t>F-DT-01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campo</t>
        </is>
      </c>
      <c r="E47" s="8" t="n"/>
      <c r="F47" s="8" t="n"/>
    </row>
    <row r="48">
      <c r="A48" s="6" t="inlineStr">
        <is>
          <t>Estaciones fotográficas georreferenciadas</t>
        </is>
      </c>
      <c r="B48" s="7" t="inlineStr">
        <is>
          <t>Sin registro en la ficha DT</t>
        </is>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y de conectividad vial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4.8128</v>
      </c>
      <c r="C10" s="19">
        <f>ROUND(B10/$B$15*100,2)</f>
        <v>20.77</v>
      </c>
      <c r="D10" s="11" t="inlineStr">
        <is>
          <t>Vigor alto</t>
        </is>
      </c>
      <c r="E10" s="11" t="inlineStr">
        <is>
          <t>Sobre umbral</t>
        </is>
      </c>
    </row>
    <row r="11">
      <c r="A11" s="12" t="inlineStr">
        <is>
          <t>0.4976 - 0.6139 · DN 4</t>
        </is>
      </c>
      <c r="B11" s="32" t="n">
        <v>13.4277</v>
      </c>
      <c r="C11" s="31">
        <f>ROUND(B11/$B$15*100,2)</f>
        <v>57.95</v>
      </c>
      <c r="D11" s="13" t="inlineStr">
        <is>
          <t>Vigor moderado</t>
        </is>
      </c>
      <c r="E11" s="13" t="inlineStr">
        <is>
          <t>Sobre umbral</t>
        </is>
      </c>
    </row>
    <row r="12">
      <c r="A12" s="7" t="inlineStr">
        <is>
          <t>0.3813 - 0.4976 · DN 3</t>
        </is>
      </c>
      <c r="B12" s="18" t="n">
        <v>4.0401</v>
      </c>
      <c r="C12" s="19">
        <f>ROUND(B12/$B$15*100,2)</f>
        <v>17.44</v>
      </c>
      <c r="D12" s="11" t="inlineStr">
        <is>
          <t>Vigor bajo</t>
        </is>
      </c>
      <c r="E12" s="11" t="inlineStr">
        <is>
          <t>BAJO umbral 0.4976</t>
        </is>
      </c>
    </row>
    <row r="13">
      <c r="A13" s="14" t="inlineStr">
        <is>
          <t>0.2650 - 0.3813 · DN 2</t>
        </is>
      </c>
      <c r="B13" s="20" t="n">
        <v>0.7522</v>
      </c>
      <c r="C13" s="21">
        <f>ROUND(B13/$B$15*100,2)</f>
        <v>3.25</v>
      </c>
      <c r="D13" s="15" t="inlineStr">
        <is>
          <t>Vigor muy bajo</t>
        </is>
      </c>
      <c r="E13" s="15" t="inlineStr">
        <is>
          <t>BAJO umbral 0.4976</t>
        </is>
      </c>
    </row>
    <row r="14">
      <c r="A14" s="7" t="inlineStr">
        <is>
          <t>&lt;= 0.2650 · DN 1</t>
        </is>
      </c>
      <c r="B14" s="18" t="n">
        <v>0.1386</v>
      </c>
      <c r="C14" s="19">
        <f>ROUND(B14/$B$15*100,2)</f>
        <v>0.6</v>
      </c>
      <c r="D14" s="11" t="inlineStr">
        <is>
          <t>Suelo desnudo / no vegetal</t>
        </is>
      </c>
      <c r="E14" s="11" t="inlineStr">
        <is>
          <t>BAJO umbral 0.4976</t>
        </is>
      </c>
    </row>
    <row r="15" ht="30" customHeight="1">
      <c r="A15" s="43" t="inlineStr">
        <is>
          <t>TOTAL CLASIFICADO MSAVI 2024</t>
        </is>
      </c>
      <c r="B15" s="44">
        <f>SUM(B10:B14)</f>
        <v>23.1714</v>
      </c>
      <c r="C15" s="45">
        <f>SUM(C10:C14)</f>
        <v>100.01</v>
      </c>
      <c r="D15" s="43" t="inlineStr">
        <is>
          <t>Suma de la distribución areal · 191 polígonos</t>
        </is>
      </c>
      <c r="E15" s="43" t="inlineStr">
        <is>
          <t>—</t>
        </is>
      </c>
    </row>
    <row r="16" ht="30" customHeight="1">
      <c r="A16" s="46" t="inlineStr">
        <is>
          <t>Superficie SOBRE umbral 0.4976 (ha)</t>
        </is>
      </c>
      <c r="B16" s="47">
        <f>SUM(B10:B11)</f>
        <v>18.2405</v>
      </c>
      <c r="C16" s="48">
        <f>ROUND(B16/B15*100,2)</f>
        <v>78.72</v>
      </c>
      <c r="D16" s="46" t="inlineStr">
        <is>
          <t>Vigor alto y moderado (DN 4 y DN 5)</t>
        </is>
      </c>
      <c r="E16" s="46" t="inlineStr">
        <is>
          <t>Sobre umbral 0.4976</t>
        </is>
      </c>
    </row>
    <row r="17" ht="30" customHeight="1">
      <c r="A17" s="46" t="inlineStr">
        <is>
          <t>Superficie BAJO umbral 0.4976 (ha) — brecha</t>
        </is>
      </c>
      <c r="B17" s="47">
        <f>SUM(B12:B14)</f>
        <v>4.9309</v>
      </c>
      <c r="C17" s="48">
        <f>ROUND(B17/B15*100,2)</f>
        <v>21.28</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23.17</v>
      </c>
      <c r="C18" s="49" t="inlineStr">
        <is>
          <t>—</t>
        </is>
      </c>
      <c r="D18" s="46" t="inlineStr">
        <is>
          <t>Desviación planimétrica frente al catálogo</t>
        </is>
      </c>
      <c r="E18" s="46" t="inlineStr">
        <is>
          <t>+0.01 %</t>
        </is>
      </c>
    </row>
    <row r="19">
      <c r="A19" s="16" t="inlineStr">
        <is>
          <t>MSAVI 2024 — MEDIA DEL BLOQUE</t>
        </is>
      </c>
      <c r="B19" s="17" t="n">
        <v>0.551525</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(0.5515)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18.2891</v>
      </c>
      <c r="C25" s="19" t="n">
        <v>78.91</v>
      </c>
      <c r="D25" s="11" t="inlineStr">
        <is>
          <t>Dosel continuo, matorral denso o mosaico agroforestal</t>
        </is>
      </c>
      <c r="E25" s="11" t="inlineStr"/>
    </row>
    <row r="26">
      <c r="A26" s="14" t="inlineStr">
        <is>
          <t>Vegetación mediana</t>
        </is>
      </c>
      <c r="B26" s="20" t="n">
        <v>4.3713</v>
      </c>
      <c r="C26" s="21" t="n">
        <v>18.86</v>
      </c>
      <c r="D26" s="15" t="inlineStr">
        <is>
          <t>Pastizal cultivado, matorral ralo, parcelas agrícolas</t>
        </is>
      </c>
      <c r="E26" s="15" t="inlineStr"/>
    </row>
    <row r="27">
      <c r="A27" s="7" t="inlineStr">
        <is>
          <t>Vegetación ligera</t>
        </is>
      </c>
      <c r="B27" s="18" t="n">
        <v>0.5054999999999999</v>
      </c>
      <c r="C27" s="19" t="n">
        <v>2.18</v>
      </c>
      <c r="D27" s="11" t="inlineStr">
        <is>
          <t>Cobertura discontinua, suelo parcialmente expuesto</t>
        </is>
      </c>
      <c r="E27" s="11" t="inlineStr"/>
    </row>
    <row r="28">
      <c r="A28" s="14" t="inlineStr">
        <is>
          <t>Tierra desnuda</t>
        </is>
      </c>
      <c r="B28" s="20" t="n">
        <v>0.009900000000000001</v>
      </c>
      <c r="C28" s="21" t="n">
        <v>0.04</v>
      </c>
      <c r="D28" s="15" t="inlineStr">
        <is>
          <t>Suelo desnudo, afloramientos, plataformas y taludes</t>
        </is>
      </c>
      <c r="E28" s="15" t="inlineStr"/>
    </row>
    <row r="29">
      <c r="A29" s="16" t="inlineStr">
        <is>
          <t>TOTAL CLASIFICADO</t>
        </is>
      </c>
      <c r="B29" s="22">
        <f>SUM(B25:B28)</f>
        <v>23.1758</v>
      </c>
      <c r="C29" s="23">
        <f>SUM(C25:C28)</f>
        <v>99.99</v>
      </c>
      <c r="D29" s="17" t="inlineStr"/>
      <c r="E29" s="17" t="inlineStr"/>
    </row>
    <row r="30">
      <c r="A30" s="24" t="inlineStr">
        <is>
          <t>Superficie de catálogo (V5/V6)</t>
        </is>
      </c>
      <c r="B30" s="25" t="n">
        <v>23.17</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78.91 % del polígono clasificado como «Vegetación alta» por el NDVI 2025; la observación de campo corresponde a una parcela o recorrido puntual y no es estadísticamente representativa de las 23.170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43</t>
        </is>
      </c>
    </row>
    <row r="6" ht="24" customHeight="1">
      <c r="A6" s="4" t="inlineStr">
        <is>
          <t>Levantamiento del 2026-07-21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656489</v>
      </c>
      <c r="D10" s="26" t="n">
        <v>9395403</v>
      </c>
      <c r="E10" s="11" t="n">
        <v>0</v>
      </c>
      <c r="F10" s="11" t="inlineStr"/>
      <c r="G10" s="11" t="inlineStr">
        <is>
          <t>Coordenada consignada en F-DT-01</t>
        </is>
      </c>
    </row>
    <row r="11">
      <c r="A11" s="14" t="inlineStr">
        <is>
          <t>C-01</t>
        </is>
      </c>
      <c r="B11" s="15" t="inlineStr">
        <is>
          <t>Rasgo erosivo — Por determinar</t>
        </is>
      </c>
      <c r="C11" s="27" t="n">
        <v>656535</v>
      </c>
      <c r="D11" s="27" t="n">
        <v>9395544</v>
      </c>
      <c r="E11" s="15" t="n">
        <v>148.3</v>
      </c>
      <c r="F11" s="15" t="inlineStr">
        <is>
          <t>Activa</t>
        </is>
      </c>
      <c r="G11" s="15" t="inlineStr">
        <is>
          <t>Otro (talud de corte de la trocha)</t>
        </is>
      </c>
    </row>
    <row r="12">
      <c r="A12" s="7" t="inlineStr">
        <is>
          <t>C-02</t>
        </is>
      </c>
      <c r="B12" s="11" t="inlineStr">
        <is>
          <t>Rasgo erosivo — Por determinar</t>
        </is>
      </c>
      <c r="C12" s="26" t="n">
        <v>656523</v>
      </c>
      <c r="D12" s="26" t="n">
        <v>9395528</v>
      </c>
      <c r="E12" s="11" t="n">
        <v>129.5</v>
      </c>
      <c r="F12" s="11" t="inlineStr">
        <is>
          <t>Activa</t>
        </is>
      </c>
      <c r="G12" s="11" t="inlineStr">
        <is>
          <t>Otro (talud de corte de la trocha)</t>
        </is>
      </c>
    </row>
    <row r="13">
      <c r="A13" s="14" t="inlineStr">
        <is>
          <t>C-03</t>
        </is>
      </c>
      <c r="B13" s="15" t="inlineStr">
        <is>
          <t>Rasgo erosivo — Por determinar</t>
        </is>
      </c>
      <c r="C13" s="27" t="n">
        <v>656510</v>
      </c>
      <c r="D13" s="27" t="n">
        <v>9395523</v>
      </c>
      <c r="E13" s="15" t="n">
        <v>121.8</v>
      </c>
      <c r="F13" s="15" t="inlineStr">
        <is>
          <t>Activa</t>
        </is>
      </c>
      <c r="G13" s="15" t="inlineStr">
        <is>
          <t>Otro (talud de corte de la trocha)</t>
        </is>
      </c>
    </row>
    <row r="14">
      <c r="A14" s="7" t="inlineStr">
        <is>
          <t>H-01</t>
        </is>
      </c>
      <c r="B14" s="11" t="inlineStr">
        <is>
          <t>Fuente de agua — Manantial / Puquio</t>
        </is>
      </c>
      <c r="C14" s="26" t="n">
        <v>656280</v>
      </c>
      <c r="D14" s="26" t="n">
        <v>9395464</v>
      </c>
      <c r="E14" s="11" t="n">
        <v>217.7</v>
      </c>
      <c r="F14" s="11" t="inlineStr">
        <is>
          <t>Permanente</t>
        </is>
      </c>
      <c r="G14" s="11" t="inlineStr">
        <is>
          <t>Captación de agua poblacional (estructura de concreto con tapa metálica)</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656489</v>
      </c>
      <c r="C17" s="6" t="inlineStr">
        <is>
          <t>Centroide del bloque — UTM NORTE (m)</t>
        </is>
      </c>
      <c r="D17" s="7" t="n">
        <v>9395403</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19"/>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instrumentalmente; el perfil Google Earth indica un rango aproximado de 1578-1769 msnm (media ≈1689), piso Quechua media. Las evidencias de inestabilidad (escarpes y desprendimientos de material residual rojizo) se concentran en los TALUDES DE CORTE de la trocha carrozable que ATRAVIESA el bloque; no se observaron remociones en masa activas en la superficie natural.</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43</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12" t="inlineStr">
        <is>
          <t>► 43</t>
        </is>
      </c>
      <c r="B14" s="30" t="n">
        <v>23.17</v>
      </c>
      <c r="C14" s="31" t="n">
        <v>8.460000000000001</v>
      </c>
      <c r="D14" s="13" t="inlineStr">
        <is>
          <t>251 – 811</t>
        </is>
      </c>
      <c r="E14" s="13" t="n">
        <v>560</v>
      </c>
      <c r="F14" s="13" t="n">
        <v>31.39</v>
      </c>
      <c r="G14" s="32" t="n">
        <v>0.5515</v>
      </c>
      <c r="H14" s="31" t="n">
        <v>78.91</v>
      </c>
      <c r="I14" s="31" t="n">
        <v>21.28</v>
      </c>
    </row>
    <row r="15">
      <c r="A15" s="14" t="inlineStr">
        <is>
          <t>47</t>
        </is>
      </c>
      <c r="B15" s="29" t="n">
        <v>13.55</v>
      </c>
      <c r="C15" s="21" t="n">
        <v>4.95</v>
      </c>
      <c r="D15" s="15" t="inlineStr">
        <is>
          <t>2105 – 2333</t>
        </is>
      </c>
      <c r="E15" s="15" t="n">
        <v>228</v>
      </c>
      <c r="F15" s="15" t="n">
        <v>32.43</v>
      </c>
      <c r="G15" s="20" t="n">
        <v>0.5936</v>
      </c>
      <c r="H15" s="21" t="n">
        <v>91.26000000000001</v>
      </c>
      <c r="I15" s="2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273.96</v>
      </c>
      <c r="C17" s="23">
        <f>SUM(C10:C16)</f>
        <v>100.0</v>
      </c>
      <c r="D17" s="17" t="inlineStr">
        <is>
          <t>251 – 3436</t>
        </is>
      </c>
      <c r="E17" s="17" t="inlineStr"/>
      <c r="F17" s="17">
        <f>ROUND(AVERAGE(F10:F16),2)</f>
        <v>29.26</v>
      </c>
      <c r="G17" s="22">
        <f>ROUND(AVERAGE(G10:G16),4)</f>
        <v>0.5792</v>
      </c>
      <c r="H17" s="23">
        <f>ROUND(AVERAGE(H10:H16),2)</f>
        <v>90.14</v>
      </c>
      <c r="I17" s="23">
        <f>ROUND(AVERAGE(I10:I16),2)</f>
        <v>14.61</v>
      </c>
    </row>
    <row r="18"/>
    <row r="19" ht="84" customHeight="1">
      <c r="A19" s="9" t="inlineStr">
        <is>
          <t>LECTURA INTRAMICROCUENCA. El bloque 43 ocupa el puesto 5 de 7 por superficie dentro de la microcuenca C1076-Q9586 (8.46 % de las 273.96 ha preliminares de la microcuenca). Su pendiente promedio (31.39 %, clase «25-50% (Mod. escarpado)») es la 4.ª más baja de 7 y se sitúa por encima del promedio de la microcuenca (29.26 %). Su MSAVI 2024 (0.5515) es el 6.º de 7 y queda por debajo del promedio local (0.5793). Amplitud altitudinal del bloque: 560 m (251–811 msnm). El cuadro conserva todos los bloques catalogados en la microcuenca, incluidos los descartados en el tamizaje, para referencia del conjunto. Los bloques sin ficha DT figuran con sus parámetros de gabinete. BRECHA ESPECTRAL. El 21.28 % de la superficie del bloque (4.931 ha de 23.171 ha) se sitúa bajo el umbral MSAVI 0.4976, por encima del promedio local de la microcuenca (14.61 %) calculado sobre los bloques con dato MSAVI disponible.</t>
        </is>
      </c>
      <c r="B19" s="41" t="n"/>
      <c r="C19" s="41" t="n"/>
      <c r="D19" s="41" t="n"/>
      <c r="E19" s="41" t="n"/>
      <c r="F19" s="41" t="n"/>
      <c r="G19" s="41" t="n"/>
      <c r="H19" s="42"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2"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(23.176 ha) coincide con la de catálogo (23.17 ha) dentro del ±2 % (+0.03 %)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251 y 811 msnm, cuyo punto medio corresponde a «&lt;1000 m (Yunga)»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(251–811 msnm) y la pendiente promedio (31.39 %)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9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«Pizarrume (222 hab., ≈0.48 km del centroide); Coyona (74 hab., ≈0.62 km)»; el cruce INEI-Bloques V5 identifica 2 centro(s) poblado(s) en el bloque: COYONA, PIZARRUME</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(191 polígonos, 23.171 ha)</t>
        </is>
      </c>
      <c r="D19" s="37"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(23.171 ha) frente a la de catálogo V5/V6 (23.170 ha): desviación de +0.01 %</t>
        </is>
      </c>
      <c r="D20" s="37"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(0.5515) cae en la clase «DN 4 · 0.4976 - 0.6139 (Vigor moderado)»; la clase de mayor superficie es «DN 4 · 0.4976 - 0.6139 (Vigor moderado)», con 57.95 % del bloque. Superficie bajo el umbral 0.4976: 4.931 ha (21.28 %)</t>
        </is>
      </c>
      <c r="D21" s="37"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6 · CORREGIDO: 1 · NO SUSTANTIVA: 3 · SUSTANTIVA: 2</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43 — IN Piura</dc:title>
  <dc:subject>Diagnóstico Territorial por bloque de intervención</dc:subject>
  <dcterms:created xsi:type="dcterms:W3CDTF">2026-09-08T03:39:56Z</dcterms:created>
  <dcterms:modified xsi:type="dcterms:W3CDTF">2026-09-10T00:28:27Z</dcterms:modified>
</cp:coreProperties>
</file>