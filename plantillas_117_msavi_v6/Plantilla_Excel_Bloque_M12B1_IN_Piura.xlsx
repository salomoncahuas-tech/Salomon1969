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M12B1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M12B1</t>
        </is>
      </c>
      <c r="C9" s="6" t="inlineStr">
        <is>
          <t>Microcuenca (catálogo)</t>
        </is>
      </c>
      <c r="D9" s="7" t="inlineStr">
        <is>
          <t>C1076-Q9588</t>
        </is>
      </c>
      <c r="E9" s="8" t="n"/>
      <c r="F9" s="8" t="n"/>
    </row>
    <row r="10">
      <c r="A10" s="6" t="inlineStr">
        <is>
          <t>Zona de planificación</t>
        </is>
      </c>
      <c r="B10" s="7" t="inlineStr">
        <is>
          <t>Z13</t>
        </is>
      </c>
      <c r="C10" s="6" t="inlineStr">
        <is>
          <t>Microcuenca declarada en ficha DT</t>
        </is>
      </c>
      <c r="D10" s="7" t="inlineStr">
        <is>
          <t>C1076-Q9584 (según ficha — valor por defecto de plantilla; catálogo: C1076-Q9588)</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Nueva Esperanza de Los Molinos y Faicalito</t>
        </is>
      </c>
      <c r="C13" s="6" t="inlineStr">
        <is>
          <t>Comunidad campesina</t>
        </is>
      </c>
      <c r="D13" s="7" t="inlineStr">
        <is>
          <t>No consignada</t>
        </is>
      </c>
      <c r="E13" s="8" t="n"/>
      <c r="F13" s="8" t="n"/>
    </row>
    <row r="14">
      <c r="A14" s="6" t="inlineStr">
        <is>
          <t>Superficie de catálogo (V5/V6), ha</t>
        </is>
      </c>
      <c r="B14" s="7" t="n">
        <v>268.39</v>
      </c>
      <c r="C14" s="6" t="inlineStr">
        <is>
          <t>Fuente de superficie</t>
        </is>
      </c>
      <c r="D14" s="7" t="inlineStr">
        <is>
          <t>Catálogo maestro Bloques V5/V6</t>
        </is>
      </c>
      <c r="E14" s="8" t="n"/>
      <c r="F14" s="8" t="n"/>
    </row>
    <row r="15">
      <c r="A15" s="6" t="inlineStr">
        <is>
          <t>Centroide UTM ESTE (m)</t>
        </is>
      </c>
      <c r="B15" s="7" t="n">
        <v>644546</v>
      </c>
      <c r="C15" s="6" t="inlineStr">
        <is>
          <t>Centroide UTM NORTE (m)</t>
        </is>
      </c>
      <c r="D15" s="7" t="n">
        <v>9389106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333</v>
      </c>
      <c r="C19" s="6" t="inlineStr">
        <is>
          <t>Altitud máxima (msnm)</t>
        </is>
      </c>
      <c r="D19" s="7" t="n">
        <v>821</v>
      </c>
      <c r="E19" s="8" t="n"/>
      <c r="F19" s="8" t="n"/>
    </row>
    <row r="20">
      <c r="A20" s="6" t="inlineStr">
        <is>
          <t>Amplitud altitudinal (m)</t>
        </is>
      </c>
      <c r="B20" s="7" t="n">
        <v>488</v>
      </c>
      <c r="C20" s="6" t="inlineStr">
        <is>
          <t>Piso altitudinal dominante</t>
        </is>
      </c>
      <c r="D20" s="7" t="inlineStr">
        <is>
          <t>&lt;1000 m (Yunga)</t>
        </is>
      </c>
      <c r="E20" s="8" t="n"/>
      <c r="F20" s="8" t="n"/>
    </row>
    <row r="21">
      <c r="A21" s="6" t="inlineStr">
        <is>
          <t>Pendiente promedio (%)</t>
        </is>
      </c>
      <c r="B21" s="7" t="n">
        <v>18.18</v>
      </c>
      <c r="C21" s="6" t="inlineStr">
        <is>
          <t>Pendiente promedio (grados)</t>
        </is>
      </c>
      <c r="D21" s="7" t="n">
        <v>10.3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0.3475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(53.38 %)</t>
        </is>
      </c>
      <c r="E29" s="8" t="n"/>
      <c r="F29" s="8" t="n"/>
    </row>
    <row r="30">
      <c r="A30" s="6" t="inlineStr">
        <is>
          <t>Superficie clasificada NDVI 2025 (ha)</t>
        </is>
      </c>
      <c r="B30" s="7" t="n">
        <v>268.469</v>
      </c>
      <c r="C30" s="6" t="inlineStr">
        <is>
          <t>Desviación frente al catálogo (%)</t>
        </is>
      </c>
      <c r="D30" s="7" t="n">
        <v>0.03</v>
      </c>
      <c r="E30" s="8" t="n"/>
      <c r="F30" s="8" t="n"/>
    </row>
    <row r="31">
      <c r="A31" s="6" t="inlineStr">
        <is>
          <t>Superficie clasificada MSAVI 2024 (ha)</t>
        </is>
      </c>
      <c r="B31" s="37" t="n">
        <v>268.393</v>
      </c>
      <c r="C31" s="6" t="inlineStr">
        <is>
          <t>Desviación MSAVI frente al catálogo (%)</t>
        </is>
      </c>
      <c r="D31" s="38" t="n">
        <v>0</v>
      </c>
      <c r="E31" s="8" t="n"/>
      <c r="F31" s="8" t="n"/>
    </row>
    <row r="32">
      <c r="A32" s="6" t="inlineStr">
        <is>
          <t>Superficie bajo umbral MSAVI 0.4976 (ha)</t>
        </is>
      </c>
      <c r="B32" s="37" t="n">
        <v>259.309</v>
      </c>
      <c r="C32" s="6" t="inlineStr">
        <is>
          <t>% del bloque bajo umbral (brecha espectral)</t>
        </is>
      </c>
      <c r="D32" s="38" t="n">
        <v>96.62</v>
      </c>
      <c r="E32" s="8" t="n"/>
      <c r="F32" s="8" t="n"/>
    </row>
    <row r="33">
      <c r="A33" s="6" t="inlineStr">
        <is>
          <t>Clase DN dominante (MSAVI 2024)</t>
        </is>
      </c>
      <c r="B33" s="7" t="inlineStr">
        <is>
          <t>DN 2 · 0.2650 - 0.3813 (Vigor muy bajo)</t>
        </is>
      </c>
      <c r="C33" s="6" t="inlineStr">
        <is>
          <t>N.° de polígonos MSAVI del bloque</t>
        </is>
      </c>
      <c r="D33" s="39" t="n">
        <v>825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120 ha (de 268.39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2026-08-10</t>
        </is>
      </c>
      <c r="E44" s="8" t="n"/>
      <c r="F44" s="8" t="n"/>
    </row>
    <row r="45">
      <c r="A45" s="6" t="inlineStr">
        <is>
          <t>Hora de registro</t>
        </is>
      </c>
      <c r="B45" s="7" t="inlineStr">
        <is>
          <t>11:46 h</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M12B1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0.1188</v>
      </c>
      <c r="C10" s="19">
        <f>ROUND(B10/$B$15*100,2)</f>
        <v>0.04</v>
      </c>
      <c r="D10" s="11" t="inlineStr">
        <is>
          <t>Vigor alto</t>
        </is>
      </c>
      <c r="E10" s="11" t="inlineStr">
        <is>
          <t>Sobre umbral</t>
        </is>
      </c>
    </row>
    <row r="11">
      <c r="A11" s="12" t="inlineStr">
        <is>
          <t>0.4976 - 0.6139 · DN 4</t>
        </is>
      </c>
      <c r="B11" s="20" t="n">
        <v>8.965</v>
      </c>
      <c r="C11" s="21">
        <f>ROUND(B11/$B$15*100,2)</f>
        <v>3.34</v>
      </c>
      <c r="D11" s="13" t="inlineStr">
        <is>
          <t>Vigor moderado</t>
        </is>
      </c>
      <c r="E11" s="13" t="inlineStr">
        <is>
          <t>Sobre umbral</t>
        </is>
      </c>
    </row>
    <row r="12">
      <c r="A12" s="7" t="inlineStr">
        <is>
          <t>0.3813 - 0.4976 · DN 3</t>
        </is>
      </c>
      <c r="B12" s="18" t="n">
        <v>77.95950000000001</v>
      </c>
      <c r="C12" s="19">
        <f>ROUND(B12/$B$15*100,2)</f>
        <v>29.05</v>
      </c>
      <c r="D12" s="11" t="inlineStr">
        <is>
          <t>Vigor bajo</t>
        </is>
      </c>
      <c r="E12" s="11" t="inlineStr">
        <is>
          <t>BAJO umbral 0.4976</t>
        </is>
      </c>
    </row>
    <row r="13">
      <c r="A13" s="14" t="inlineStr">
        <is>
          <t>0.2650 - 0.3813 · DN 2</t>
        </is>
      </c>
      <c r="B13" s="29" t="n">
        <v>139.215</v>
      </c>
      <c r="C13" s="28">
        <f>ROUND(B13/$B$15*100,2)</f>
        <v>51.87</v>
      </c>
      <c r="D13" s="15" t="inlineStr">
        <is>
          <t>Vigor muy bajo</t>
        </is>
      </c>
      <c r="E13" s="15" t="inlineStr">
        <is>
          <t>BAJO umbral 0.4976</t>
        </is>
      </c>
    </row>
    <row r="14">
      <c r="A14" s="7" t="inlineStr">
        <is>
          <t>&lt;= 0.2650 · DN 1</t>
        </is>
      </c>
      <c r="B14" s="18" t="n">
        <v>42.1349</v>
      </c>
      <c r="C14" s="19">
        <f>ROUND(B14/$B$15*100,2)</f>
        <v>15.7</v>
      </c>
      <c r="D14" s="11" t="inlineStr">
        <is>
          <t>Suelo desnudo / no vegetal</t>
        </is>
      </c>
      <c r="E14" s="11" t="inlineStr">
        <is>
          <t>BAJO umbral 0.4976</t>
        </is>
      </c>
    </row>
    <row r="15" ht="30" customHeight="1">
      <c r="A15" s="42" t="inlineStr">
        <is>
          <t>TOTAL CLASIFICADO MSAVI 2024</t>
        </is>
      </c>
      <c r="B15" s="43">
        <f>SUM(B10:B14)</f>
        <v>268.3932</v>
      </c>
      <c r="C15" s="44">
        <f>SUM(C10:C14)</f>
        <v>100.0</v>
      </c>
      <c r="D15" s="42" t="inlineStr">
        <is>
          <t>Suma de la distribución areal · 825 polígonos</t>
        </is>
      </c>
      <c r="E15" s="42" t="inlineStr">
        <is>
          <t>—</t>
        </is>
      </c>
    </row>
    <row r="16" ht="30" customHeight="1">
      <c r="A16" s="45" t="inlineStr">
        <is>
          <t>Superficie SOBRE umbral 0.4976 (ha)</t>
        </is>
      </c>
      <c r="B16" s="46">
        <f>SUM(B10:B11)</f>
        <v>9.0838</v>
      </c>
      <c r="C16" s="47">
        <f>ROUND(B16/B15*100,2)</f>
        <v>3.38</v>
      </c>
      <c r="D16" s="45" t="inlineStr">
        <is>
          <t>Vigor alto y moderado (DN 4 y DN 5)</t>
        </is>
      </c>
      <c r="E16" s="45" t="inlineStr">
        <is>
          <t>Sobre umbral 0.4976</t>
        </is>
      </c>
    </row>
    <row r="17" ht="30" customHeight="1">
      <c r="A17" s="45" t="inlineStr">
        <is>
          <t>Superficie BAJO umbral 0.4976 (ha) — brecha</t>
        </is>
      </c>
      <c r="B17" s="46">
        <f>SUM(B12:B14)</f>
        <v>259.3094</v>
      </c>
      <c r="C17" s="47">
        <f>ROUND(B17/B15*100,2)</f>
        <v>96.62</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268.39</v>
      </c>
      <c r="C18" s="48" t="inlineStr">
        <is>
          <t>—</t>
        </is>
      </c>
      <c r="D18" s="45" t="inlineStr">
        <is>
          <t>Desviación planimétrica frente al catálogo</t>
        </is>
      </c>
      <c r="E18" s="45" t="inlineStr">
        <is>
          <t>+0.00 %</t>
        </is>
      </c>
    </row>
    <row r="19">
      <c r="A19" s="16" t="inlineStr">
        <is>
          <t>MSAVI 2024 — MEDIA DEL BLOQUE</t>
        </is>
      </c>
      <c r="B19" s="17" t="n">
        <v>0.34753</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825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(0.3475)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6.6849</v>
      </c>
      <c r="C25" s="19" t="n">
        <v>2.49</v>
      </c>
      <c r="D25" s="11" t="inlineStr">
        <is>
          <t>Dosel continuo, matorral denso o mosaico agroforestal</t>
        </is>
      </c>
      <c r="E25" s="11" t="inlineStr"/>
    </row>
    <row r="26">
      <c r="A26" s="12" t="inlineStr">
        <is>
          <t>Vegetación mediana</t>
        </is>
      </c>
      <c r="B26" s="20" t="n">
        <v>143.3102</v>
      </c>
      <c r="C26" s="21" t="n">
        <v>53.38</v>
      </c>
      <c r="D26" s="13" t="inlineStr">
        <is>
          <t>Pastizal cultivado, matorral ralo, parcelas agrícolas</t>
        </is>
      </c>
      <c r="E26" s="13" t="inlineStr"/>
    </row>
    <row r="27">
      <c r="A27" s="7" t="inlineStr">
        <is>
          <t>Vegetación ligera</t>
        </is>
      </c>
      <c r="B27" s="18" t="n">
        <v>116.8474</v>
      </c>
      <c r="C27" s="19" t="n">
        <v>43.52</v>
      </c>
      <c r="D27" s="11" t="inlineStr">
        <is>
          <t>Cobertura discontinua, suelo parcialmente expuesto</t>
        </is>
      </c>
      <c r="E27" s="11" t="inlineStr"/>
    </row>
    <row r="28">
      <c r="A28" s="12" t="inlineStr">
        <is>
          <t>Tierra desnuda</t>
        </is>
      </c>
      <c r="B28" s="20" t="n">
        <v>1.6265</v>
      </c>
      <c r="C28" s="21" t="n">
        <v>0.61</v>
      </c>
      <c r="D28" s="13" t="inlineStr">
        <is>
          <t>Suelo desnudo, afloramientos, plataformas y taludes</t>
        </is>
      </c>
      <c r="E28" s="13" t="inlineStr"/>
    </row>
    <row r="29">
      <c r="A29" s="16" t="inlineStr">
        <is>
          <t>TOTAL CLASIFICADO</t>
        </is>
      </c>
      <c r="B29" s="22">
        <f>SUM(B25:B28)</f>
        <v>268.469</v>
      </c>
      <c r="C29" s="23">
        <f>SUM(C25:C28)</f>
        <v>100.0</v>
      </c>
      <c r="D29" s="17" t="inlineStr"/>
      <c r="E29" s="17" t="inlineStr"/>
    </row>
    <row r="30">
      <c r="A30" s="24" t="inlineStr">
        <is>
          <t>Superficie de catálogo (V5/V6)</t>
        </is>
      </c>
      <c r="B30" s="25" t="n">
        <v>268.39</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2.49 % del polígono clasificado como «Vegetación alta» por el NDVI 2025; la observación de campo corresponde a una parcela o recorrido puntual y no es estadísticamente representativa de las 268.390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M12B1</t>
        </is>
      </c>
    </row>
    <row r="6" ht="24" customHeight="1">
      <c r="A6" s="4" t="inlineStr">
        <is>
          <t>Levantamiento del 2026-08-10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643508</v>
      </c>
      <c r="D10" s="26" t="n">
        <v>9389713</v>
      </c>
      <c r="E10" s="11" t="n">
        <v>1202.5</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644546</v>
      </c>
      <c r="C13" s="6" t="inlineStr">
        <is>
          <t>Centroide del bloque — UTM NORTE (m)</t>
        </is>
      </c>
      <c r="D13" s="7" t="n">
        <v>9389106</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5"/>
    <row r="16" ht="16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≈380 msnm. Presenta AFLORAMIENTO ROCOSO, rocas semienterradas y piedras medianas a grandes dispersas. Zonas con cobertura vegetal remanente. LA LADERA ES EMPLEADA PARA PASTOREO EXTENSIVO DE GANADO CAPRINO del centro poblado próximo. LEÑA APILADA en viviendas próximas. El suelo presenta erosión eólica; estrías y surcos por tránsito de ganado; caminos de herradura dentro del bloque y áreas de suelo desprovistas de vegetación. INCONSISTENCIA INTERNA (D-04): la sección 3 de la ficha responde «No» a la presencia de afloramientos rocosos, mientras estas mismas observaciones afirman que «presenta afloramiento rocoso». NOTA: el punto de muestreo (643 508 · 9 389 713) dista ≈1.2 km al SO del centroide catastral (644 546 · 9 389 110) y es contiguo al empleado en las fichas de M4B3 y M4B4.</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C1076-Q9588 — BLOQUE M12B1</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C1076-Q9588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M12B1</t>
        </is>
      </c>
      <c r="B10" s="27" t="n">
        <v>268.39</v>
      </c>
      <c r="C10" s="28" t="n">
        <v>50.86</v>
      </c>
      <c r="D10" s="15" t="inlineStr">
        <is>
          <t>333 – 821</t>
        </is>
      </c>
      <c r="E10" s="15" t="n">
        <v>488</v>
      </c>
      <c r="F10" s="15" t="n">
        <v>18.18</v>
      </c>
      <c r="G10" s="29" t="n">
        <v>0.3475</v>
      </c>
      <c r="H10" s="28" t="n">
        <v>2.49</v>
      </c>
      <c r="I10" s="28" t="n">
        <v>96.62</v>
      </c>
    </row>
    <row r="11">
      <c r="A11" s="12" t="inlineStr">
        <is>
          <t>4</t>
        </is>
      </c>
      <c r="B11" s="30" t="n">
        <v>230.1</v>
      </c>
      <c r="C11" s="21" t="n">
        <v>43.6</v>
      </c>
      <c r="D11" s="13" t="inlineStr">
        <is>
          <t>1378 – 2318</t>
        </is>
      </c>
      <c r="E11" s="13" t="n">
        <v>940</v>
      </c>
      <c r="F11" s="13" t="n">
        <v>35.01</v>
      </c>
      <c r="G11" s="20" t="n">
        <v>0.6601</v>
      </c>
      <c r="H11" s="21" t="n">
        <v>88.09999999999999</v>
      </c>
      <c r="I11" s="21" t="n">
        <v>9.23</v>
      </c>
    </row>
    <row r="12">
      <c r="A12" s="7" t="inlineStr">
        <is>
          <t>74</t>
        </is>
      </c>
      <c r="B12" s="31" t="n">
        <v>29.23</v>
      </c>
      <c r="C12" s="19" t="n">
        <v>5.54</v>
      </c>
      <c r="D12" s="11" t="inlineStr">
        <is>
          <t>663 – 975</t>
        </is>
      </c>
      <c r="E12" s="11" t="n">
        <v>312</v>
      </c>
      <c r="F12" s="11" t="n">
        <v>29.51</v>
      </c>
      <c r="G12" s="18" t="n">
        <v>0.3565</v>
      </c>
      <c r="H12" s="19" t="n">
        <v>3.75</v>
      </c>
      <c r="I12" s="19" t="n">
        <v>99.8</v>
      </c>
    </row>
    <row r="13">
      <c r="A13" s="16" t="inlineStr">
        <is>
          <t>TOTAL / PROMEDIO</t>
        </is>
      </c>
      <c r="B13" s="32">
        <f>SUM(B10:B12)</f>
        <v>527.72</v>
      </c>
      <c r="C13" s="23">
        <f>SUM(C10:C12)</f>
        <v>100.0</v>
      </c>
      <c r="D13" s="17" t="inlineStr">
        <is>
          <t>333 – 2318</t>
        </is>
      </c>
      <c r="E13" s="17" t="inlineStr"/>
      <c r="F13" s="17">
        <f>ROUND(AVERAGE(F10:F12),2)</f>
        <v>27.57</v>
      </c>
      <c r="G13" s="22">
        <f>ROUND(AVERAGE(G10:G12),4)</f>
        <v>0.4547</v>
      </c>
      <c r="H13" s="23">
        <f>ROUND(AVERAGE(H10:H12),2)</f>
        <v>31.45</v>
      </c>
      <c r="I13" s="23">
        <f>ROUND(AVERAGE(I10:I12),2)</f>
        <v>68.55</v>
      </c>
    </row>
    <row r="14"/>
    <row r="15" ht="84" customHeight="1">
      <c r="A15" s="9" t="inlineStr">
        <is>
          <t>LECTURA INTRAMICROCUENCA. El bloque M12B1 ocupa el puesto 1 de 3 por superficie dentro de la microcuenca C1076-Q9588 (50.86 % de las 527.72 ha preliminares de la microcuenca). Su pendiente promedio (18.18 %, clase «15-25% (Fuert. inclinado)») es la 1.ª más baja de 3 y se sitúa por debajo del promedio de la microcuenca (27.57 %). Su MSAVI 2024 (0.3475) es el 3.º de 3 y queda por debajo del promedio local (0.4547). Amplitud altitudinal del bloque: 488 m (333–821 msnm). El cuadro conserva todos los bloques catalogados en la microcuenca, incluidos los descartados en el tamizaje, para referencia del conjunto. Los bloques sin ficha DT figuran con sus parámetros de gabinete. BRECHA ESPECTRAL. El 96.62 % de la superficie del bloque (259.309 ha de 268.393 ha) se sitúa bajo el umbral MSAVI 0.4976, por encima del promedio local de la microcuenca (68.55 %) calculado sobre los bloques con dato MSAVI disponible.</t>
        </is>
      </c>
      <c r="B15" s="40" t="n"/>
      <c r="C15" s="40" t="n"/>
      <c r="D15" s="40" t="n"/>
      <c r="E15" s="40" t="n"/>
      <c r="F15" s="40" t="n"/>
      <c r="G15" s="40" t="n"/>
      <c r="H15" s="41" t="n"/>
    </row>
    <row r="16"/>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0" t="n"/>
      <c r="C17" s="40" t="n"/>
      <c r="D17" s="40" t="n"/>
      <c r="E17" s="40" t="n"/>
      <c r="F17" s="40" t="n"/>
      <c r="G17" s="40" t="n"/>
      <c r="H17" s="41" t="n"/>
    </row>
  </sheetData>
  <mergeCells count="9">
    <mergeCell ref="A1:I1"/>
    <mergeCell ref="A4:I4"/>
    <mergeCell ref="A3:I3"/>
    <mergeCell ref="A15:I15"/>
    <mergeCell ref="A2:I2"/>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M12B1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 valor por defecto de plantilla; catálogo: C1076-Q9588)»; el catálogo maestro V5/V6 asigna el bloque a «C1076-Q9588»</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(643508 E / 9389713 N) dista 1,202 m del centroide de catálogo (644546 E / 9389106 N), distancia incompatible con la superficie del bloque (268.39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(268.469 ha) coincide con la de catálogo (268.39 ha) dentro del ±2 % (+0.03 %)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18.18 %,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70 % de cobertura vegetal en campo; el NDVI mediana 2025 clasifica 99.39 %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Elenco florístico</t>
        </is>
      </c>
      <c r="C15" s="35" t="inlineStr">
        <is>
          <t>La ficha registra 7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4"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«Nueva Esperanza de Los Molinos y Faicalito»; el cruce INEI-Bloques V5 identifica 2 centro(s) poblado(s) en el bloque: FAICALITO, NUEVA ESPERANZA</t>
        </is>
      </c>
      <c r="D17" s="36"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4"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Ficha DT</t>
        </is>
      </c>
      <c r="C19" s="35" t="inlineStr">
        <is>
          <t>La ficha consigna microcuenca C1076-Q9584; el catálogo maestro asigna a M12B1 la microcuenca C1076-Q9588</t>
        </is>
      </c>
      <c r="D19" s="34" t="inlineStr">
        <is>
          <t>SUSTANTIVA</t>
        </is>
      </c>
      <c r="E19" s="35" t="inlineStr">
        <is>
          <t>Valor por defecto de la plantilla; se conserva el del catálogo</t>
        </is>
      </c>
    </row>
    <row r="20" ht="48" customHeight="1">
      <c r="A20" s="33" t="inlineStr">
        <is>
          <t>D-11</t>
        </is>
      </c>
      <c r="B20" s="33" t="inlineStr">
        <is>
          <t>F-DT-01</t>
        </is>
      </c>
      <c r="C20" s="33" t="inlineStr">
        <is>
          <t>D-04: la sección 3 responde «No» a afloramientos rocosos mientras la narrativa afirma que «presenta afloramiento rocoso»</t>
        </is>
      </c>
      <c r="D20" s="34" t="inlineStr">
        <is>
          <t>SUSTANTIVA</t>
        </is>
      </c>
      <c r="E20" s="33" t="inlineStr">
        <is>
          <t>Inconsistencia interna a corregir</t>
        </is>
      </c>
    </row>
    <row r="21" ht="48" customHeight="1">
      <c r="A21" s="35" t="inlineStr">
        <is>
          <t>D-12</t>
        </is>
      </c>
      <c r="B21" s="35" t="inlineStr">
        <is>
          <t>F-DT-01</t>
        </is>
      </c>
      <c r="C21" s="35" t="inlineStr">
        <is>
          <t>El punto de muestreo dista ≈1.2 km al SO del centroide y es contiguo al usado en las fichas de M4B3 y M4B4</t>
        </is>
      </c>
      <c r="D21" s="34" t="inlineStr">
        <is>
          <t>SUSTANTIVA</t>
        </is>
      </c>
      <c r="E21" s="35" t="inlineStr">
        <is>
          <t>Una sola jornada y estaciones muy próximas sirvieron a tres bloques</t>
        </is>
      </c>
    </row>
    <row r="22" ht="48" customHeight="1">
      <c r="A22" s="33" t="inlineStr">
        <is>
          <t>D-13</t>
        </is>
      </c>
      <c r="B22" s="33" t="inlineStr">
        <is>
          <t>F-DT-01</t>
        </is>
      </c>
      <c r="C22" s="33" t="inlineStr">
        <is>
          <t>Altitud: GPS 340 msnm frente a ≈380 msnm de la narrativa</t>
        </is>
      </c>
      <c r="D22" s="15" t="inlineStr">
        <is>
          <t>NO SUSTANTIVA</t>
        </is>
      </c>
      <c r="E22" s="33" t="inlineStr">
        <is>
          <t>Conciliar</t>
        </is>
      </c>
    </row>
    <row r="23" ht="48" customHeight="1">
      <c r="A23" s="35" t="inlineStr">
        <is>
          <t>D-14</t>
        </is>
      </c>
      <c r="B23" s="35" t="inlineStr">
        <is>
          <t>F-DT-02</t>
        </is>
      </c>
      <c r="C23" s="35" t="inlineStr">
        <is>
          <t>Sin ficha F-DT-02 firmada en el ANEXO 01; inventario de cárcavas pendiente</t>
        </is>
      </c>
      <c r="D23" s="34" t="inlineStr">
        <is>
          <t>SUSTANTIVA</t>
        </is>
      </c>
      <c r="E23" s="35" t="inlineStr">
        <is>
          <t>Levantamiento pendiente</t>
        </is>
      </c>
    </row>
    <row r="24" ht="48" customHeight="1">
      <c r="A24" s="33" t="inlineStr">
        <is>
          <t>D-15</t>
        </is>
      </c>
      <c r="B24" s="33" t="inlineStr">
        <is>
          <t>F-DT-03</t>
        </is>
      </c>
      <c r="C24" s="33" t="inlineStr">
        <is>
          <t>D-05: altura del estrato dominante (9 m) y DAP (30 cm) de la sección 3 no coinciden con las observaciones (&lt;8 m y &lt;20 cm)</t>
        </is>
      </c>
      <c r="D24" s="34" t="inlineStr">
        <is>
          <t>SUSTANTIVA</t>
        </is>
      </c>
      <c r="E24" s="33" t="inlineStr">
        <is>
          <t>Inconsistencia interna a resolver</t>
        </is>
      </c>
    </row>
    <row r="25" ht="48" customHeight="1">
      <c r="A25" s="35" t="inlineStr">
        <is>
          <t>D-16</t>
        </is>
      </c>
      <c r="B25" s="35" t="inlineStr">
        <is>
          <t>F-DT-03</t>
        </is>
      </c>
      <c r="C25" s="35" t="inlineStr">
        <is>
          <t>D-02: valores estructurales muy próximos a los de M4B3 y M4B4, registrados a la misma hora</t>
        </is>
      </c>
      <c r="D25" s="34" t="inlineStr">
        <is>
          <t>SUSTANTIVA</t>
        </is>
      </c>
      <c r="E25" s="35" t="inlineStr">
        <is>
          <t>Estimación visual global no diferenciada por bloque</t>
        </is>
      </c>
    </row>
    <row r="26" ht="48" customHeight="1">
      <c r="A26" s="33" t="inlineStr">
        <is>
          <t>D-17</t>
        </is>
      </c>
      <c r="B26" s="33" t="inlineStr">
        <is>
          <t>F-DT-03 / F-DT-04</t>
        </is>
      </c>
      <c r="C26" s="33" t="inlineStr">
        <is>
          <t>Suelo desnudo: 10% en F-DT-03 frente a 5% en el indicador N.° 2</t>
        </is>
      </c>
      <c r="D26" s="34" t="inlineStr">
        <is>
          <t>SUSTANTIVA</t>
        </is>
      </c>
      <c r="E26" s="33" t="inlineStr">
        <is>
          <t>Inconsistencia interna a resolver</t>
        </is>
      </c>
    </row>
    <row r="27" ht="48" customHeight="1">
      <c r="A27" s="35" t="inlineStr">
        <is>
          <t>D-18</t>
        </is>
      </c>
      <c r="B27" s="35" t="inlineStr">
        <is>
          <t>F-DT-04</t>
        </is>
      </c>
      <c r="C27" s="35" t="inlineStr">
        <is>
          <t>Densidad de cárcavas 1 N.°/ha frente a inventario de 0 cárcavas; % pendiente &gt;50% = 35% calificado «Bajo»</t>
        </is>
      </c>
      <c r="D27" s="34" t="inlineStr">
        <is>
          <t>SUSTANTIVA</t>
        </is>
      </c>
      <c r="E27" s="35" t="inlineStr">
        <is>
          <t>Inconsistencias internas a resolver</t>
        </is>
      </c>
    </row>
    <row r="28" ht="48" customHeight="1">
      <c r="A28" s="33" t="inlineStr">
        <is>
          <t>D-19</t>
        </is>
      </c>
      <c r="B28" s="33" t="inlineStr">
        <is>
          <t>F-DT-05</t>
        </is>
      </c>
      <c r="C28" s="33" t="inlineStr">
        <is>
          <t>Sin ficha F-DT-05 en el ANEXO 01</t>
        </is>
      </c>
      <c r="D28" s="34" t="inlineStr">
        <is>
          <t>SUSTANTIVA</t>
        </is>
      </c>
      <c r="E28" s="33" t="inlineStr">
        <is>
          <t>Inventario hídrico y accesibilidad por completar</t>
        </is>
      </c>
    </row>
    <row r="29" ht="48" customHeight="1">
      <c r="A29" s="33" t="inlineStr">
        <is>
          <t>D-20</t>
        </is>
      </c>
      <c r="B29" s="33" t="inlineStr">
        <is>
          <t>Distribución areal MSAVI 2024</t>
        </is>
      </c>
      <c r="C29" s="33" t="inlineStr">
        <is>
          <t>La distribución por clase de MSAVI no figuraba en los insumos del entregable y se consignaba «Por determinar»; se incorpora la estadística zonal del ráster MSAVI clasificado (825 polígonos, 268.393 ha)</t>
        </is>
      </c>
      <c r="D29" s="34" t="inlineStr">
        <is>
          <t>CORREGIDO</t>
        </is>
      </c>
      <c r="E29" s="33"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30" ht="48" customHeight="1">
      <c r="A30" s="33" t="inlineStr">
        <is>
          <t>D-21</t>
        </is>
      </c>
      <c r="B30" s="33" t="inlineStr">
        <is>
          <t>Superficie MSAVI vs. catálogo</t>
        </is>
      </c>
      <c r="C30" s="33" t="inlineStr">
        <is>
          <t>La superficie total clasificada por el MSAVI 2024 (268.393 ha) frente a la de catálogo V5/V6 (268.390 ha): desviación de +0.00 %</t>
        </is>
      </c>
      <c r="D30" s="34" t="inlineStr">
        <is>
          <t>CONFORME</t>
        </is>
      </c>
      <c r="E30" s="33" t="inlineStr">
        <is>
          <t>Sin acción: la segmentación del ráster valida la geometría del bloque dentro del ±2 %.</t>
        </is>
      </c>
    </row>
    <row r="31" ht="48" customHeight="1">
      <c r="A31" s="33" t="inlineStr">
        <is>
          <t>D-22</t>
        </is>
      </c>
      <c r="B31" s="33" t="inlineStr">
        <is>
          <t>Media MSAVI vs. clase DN dominante</t>
        </is>
      </c>
      <c r="C31" s="33" t="inlineStr">
        <is>
          <t>La media del bloque (0.3475) cae en la clase «DN 2 · 0.2650 - 0.3813 (Vigor muy bajo)»; la clase de mayor superficie es «DN 2 · 0.2650 - 0.3813 (Vigor muy bajo)», con 51.87 % del bloque. Superficie bajo el umbral 0.4976: 259.309 ha (96.62 %)</t>
        </is>
      </c>
      <c r="D31" s="34" t="inlineStr">
        <is>
          <t>CONFORME</t>
        </is>
      </c>
      <c r="E31" s="33" t="inlineStr">
        <is>
          <t>Sin acción: la media del bloque y la clase de mayor superficie coinciden.</t>
        </is>
      </c>
    </row>
    <row r="32"/>
    <row r="33">
      <c r="A33" s="16" t="inlineStr">
        <is>
          <t>RESUMEN</t>
        </is>
      </c>
      <c r="B33" s="17" t="inlineStr">
        <is>
          <t>22 verificaciones</t>
        </is>
      </c>
      <c r="C33" s="17" t="inlineStr">
        <is>
          <t>CONFORME: 4 · CORREGIDO: 1 · NO SUSTANTIVA: 3 · SUSTANTIVA: 14</t>
        </is>
      </c>
      <c r="D33" s="17" t="inlineStr"/>
      <c r="E33" s="17" t="inlineStr"/>
    </row>
    <row r="34"/>
    <row r="35" ht="60" customHeight="1">
      <c r="A3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5" s="40" t="n"/>
      <c r="C35" s="40" t="n"/>
      <c r="D35" s="40" t="n"/>
      <c r="E35" s="41" t="n"/>
    </row>
  </sheetData>
  <mergeCells count="8">
    <mergeCell ref="A35:E35"/>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M12B1 — IN Piura</dc:title>
  <dc:subject>Diagnóstico Territorial por bloque de intervención</dc:subject>
  <dcterms:created xsi:type="dcterms:W3CDTF">2026-09-08T03:39:57Z</dcterms:created>
  <dcterms:modified xsi:type="dcterms:W3CDTF">2026-09-10T00:28:30Z</dcterms:modified>
</cp:coreProperties>
</file>