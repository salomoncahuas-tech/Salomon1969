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M7B1</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Víctor Raúl</t>
        </is>
      </c>
      <c r="C13" s="6" t="inlineStr">
        <is>
          <t>Comunidad campesina</t>
        </is>
      </c>
      <c r="D13" s="7" t="inlineStr">
        <is>
          <t>Sin registro en ficha</t>
        </is>
      </c>
      <c r="E13" s="8" t="n"/>
      <c r="F13" s="8" t="n"/>
    </row>
    <row r="14">
      <c r="A14" s="6" t="inlineStr">
        <is>
          <t>Superficie de catálogo (V5/V6), ha</t>
        </is>
      </c>
      <c r="B14" s="7" t="n">
        <v>130.43</v>
      </c>
      <c r="C14" s="6" t="inlineStr">
        <is>
          <t>Fuente de superficie</t>
        </is>
      </c>
      <c r="D14" s="7" t="inlineStr">
        <is>
          <t>Catálogo maestro Bloques V5/V6</t>
        </is>
      </c>
      <c r="E14" s="8" t="n"/>
      <c r="F14" s="8" t="n"/>
    </row>
    <row r="15">
      <c r="A15" s="6" t="inlineStr">
        <is>
          <t>Centroide UTM ESTE (m)</t>
        </is>
      </c>
      <c r="B15" s="7" t="n">
        <v>629006</v>
      </c>
      <c r="C15" s="6" t="inlineStr">
        <is>
          <t>Centroide UTM NORTE (m)</t>
        </is>
      </c>
      <c r="D15" s="7" t="n">
        <v>9407536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183</v>
      </c>
      <c r="C19" s="6" t="inlineStr">
        <is>
          <t>Altitud máxima (msnm)</t>
        </is>
      </c>
      <c r="D19" s="7" t="n">
        <v>357</v>
      </c>
      <c r="E19" s="8" t="n"/>
      <c r="F19" s="8" t="n"/>
    </row>
    <row r="20">
      <c r="A20" s="6" t="inlineStr">
        <is>
          <t>Amplitud altitudinal (m)</t>
        </is>
      </c>
      <c r="B20" s="7" t="n">
        <v>174</v>
      </c>
      <c r="C20" s="6" t="inlineStr">
        <is>
          <t>Piso altitudinal dominante</t>
        </is>
      </c>
      <c r="D20" s="7" t="inlineStr">
        <is>
          <t>&lt;1000 m (Yunga)</t>
        </is>
      </c>
      <c r="E20" s="8" t="n"/>
      <c r="F20" s="8" t="n"/>
    </row>
    <row r="21">
      <c r="A21" s="6" t="inlineStr">
        <is>
          <t>Pendiente promedio (%)</t>
        </is>
      </c>
      <c r="B21" s="7" t="n">
        <v>17.35</v>
      </c>
      <c r="C21" s="6" t="inlineStr">
        <is>
          <t>Pendiente promedio (grados)</t>
        </is>
      </c>
      <c r="D21" s="7" t="n">
        <v>9.800000000000001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0.3136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(60.13 %)</t>
        </is>
      </c>
      <c r="E29" s="8" t="n"/>
      <c r="F29" s="8" t="n"/>
    </row>
    <row r="30">
      <c r="A30" s="6" t="inlineStr">
        <is>
          <t>Superficie clasificada NDVI 2025 (ha)</t>
        </is>
      </c>
      <c r="B30" s="7" t="n">
        <v>130.476</v>
      </c>
      <c r="C30" s="6" t="inlineStr">
        <is>
          <t>Desviación frente al catálogo (%)</t>
        </is>
      </c>
      <c r="D30" s="7" t="n">
        <v>0.04</v>
      </c>
      <c r="E30" s="8" t="n"/>
      <c r="F30" s="8" t="n"/>
    </row>
    <row r="31">
      <c r="A31" s="6" t="inlineStr">
        <is>
          <t>Superficie clasificada MSAVI 2024 (ha)</t>
        </is>
      </c>
      <c r="B31" s="39" t="n">
        <v>130.425</v>
      </c>
      <c r="C31" s="6" t="inlineStr">
        <is>
          <t>Desviación MSAVI frente al catálogo (%)</t>
        </is>
      </c>
      <c r="D31" s="40" t="n">
        <v>0</v>
      </c>
      <c r="E31" s="8" t="n"/>
      <c r="F31" s="8" t="n"/>
    </row>
    <row r="32">
      <c r="A32" s="6" t="inlineStr">
        <is>
          <t>Superficie bajo umbral MSAVI 0.4976 (ha)</t>
        </is>
      </c>
      <c r="B32" s="39" t="n">
        <v>130.133</v>
      </c>
      <c r="C32" s="6" t="inlineStr">
        <is>
          <t>% del bloque bajo umbral (brecha espectral)</t>
        </is>
      </c>
      <c r="D32" s="40" t="n">
        <v>99.78</v>
      </c>
      <c r="E32" s="8" t="n"/>
      <c r="F32" s="8" t="n"/>
    </row>
    <row r="33">
      <c r="A33" s="6" t="inlineStr">
        <is>
          <t>Clase DN dominante (MSAVI 2024)</t>
        </is>
      </c>
      <c r="B33" s="7" t="inlineStr">
        <is>
          <t>DN 2 · 0.2650 - 0.3813 (Vigor muy bajo)</t>
        </is>
      </c>
      <c r="C33" s="6" t="inlineStr">
        <is>
          <t>N.° de polígonos MSAVI del bloque</t>
        </is>
      </c>
      <c r="D33" s="41" t="n">
        <v>414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130.43 ha (100%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Bosque ralo (30-70%)</t>
        </is>
      </c>
      <c r="C38" s="6" t="inlineStr">
        <is>
          <t>Cobertura vegetal total — campo (%)</t>
        </is>
      </c>
      <c r="D38" s="7" t="n">
        <v>30</v>
      </c>
      <c r="E38" s="8" t="n"/>
      <c r="F38" s="8" t="n"/>
    </row>
    <row r="39">
      <c r="A39" s="6" t="inlineStr">
        <is>
          <t>Suelo desnudo — campo (%)</t>
        </is>
      </c>
      <c r="B39" s="7" t="n">
        <v>70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6</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2026-05-05</t>
        </is>
      </c>
      <c r="E44" s="8" t="n"/>
      <c r="F44" s="8" t="n"/>
    </row>
    <row r="45">
      <c r="A45" s="6" t="inlineStr">
        <is>
          <t>Hora de registro</t>
        </is>
      </c>
      <c r="B45" s="7" t="inlineStr">
        <is>
          <t>09:00 h</t>
        </is>
      </c>
      <c r="C45" s="6" t="inlineStr">
        <is>
          <t>Correlativo de ficha</t>
        </is>
      </c>
      <c r="D45" s="7" t="inlineStr">
        <is>
          <t>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Crecimiento poblacional — proximidad de 5 centros poblados a lo largo del corredor PE-02A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0.2925</v>
      </c>
      <c r="C11" s="21">
        <f>ROUND(B11/$B$15*100,2)</f>
        <v/>
      </c>
      <c r="D11" s="13" t="inlineStr">
        <is>
          <t>Vigor moderado</t>
        </is>
      </c>
      <c r="E11" s="13" t="inlineStr">
        <is>
          <t>Sobre umbral</t>
        </is>
      </c>
    </row>
    <row r="12">
      <c r="A12" s="7" t="inlineStr">
        <is>
          <t>0.3813 - 0.4976 · DN 3</t>
        </is>
      </c>
      <c r="B12" s="18" t="n">
        <v>11.1016</v>
      </c>
      <c r="C12" s="19">
        <f>ROUND(B12/$B$15*100,2)</f>
        <v/>
      </c>
      <c r="D12" s="11" t="inlineStr">
        <is>
          <t>Vigor bajo</t>
        </is>
      </c>
      <c r="E12" s="11" t="inlineStr">
        <is>
          <t>BAJO umbral 0.4976</t>
        </is>
      </c>
    </row>
    <row r="13">
      <c r="A13" s="14" t="inlineStr">
        <is>
          <t>0.2650 - 0.3813 · DN 2</t>
        </is>
      </c>
      <c r="B13" s="30" t="n">
        <v>97.9795</v>
      </c>
      <c r="C13" s="29">
        <f>ROUND(B13/$B$15*100,2)</f>
        <v/>
      </c>
      <c r="D13" s="15" t="inlineStr">
        <is>
          <t>Vigor muy bajo</t>
        </is>
      </c>
      <c r="E13" s="15" t="inlineStr">
        <is>
          <t>BAJO umbral 0.4976</t>
        </is>
      </c>
    </row>
    <row r="14">
      <c r="A14" s="7" t="inlineStr">
        <is>
          <t>&lt;= 0.2650 · DN 1</t>
        </is>
      </c>
      <c r="B14" s="18" t="n">
        <v>21.0515</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414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130.43</v>
      </c>
      <c r="C18" s="50" t="inlineStr">
        <is>
          <t>—</t>
        </is>
      </c>
      <c r="D18" s="47" t="inlineStr">
        <is>
          <t>Desviación planimétrica frente al catálogo</t>
        </is>
      </c>
      <c r="E18" s="47" t="inlineStr">
        <is>
          <t>+0.00 %</t>
        </is>
      </c>
    </row>
    <row r="19">
      <c r="A19" s="16" t="inlineStr">
        <is>
          <t>MSAVI 2024 — MEDIA DEL BLOQUE</t>
        </is>
      </c>
      <c r="B19" s="17" t="n">
        <v>0.313647</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414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(0.3136)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5.5888</v>
      </c>
      <c r="C25" s="19" t="n">
        <v>4.28</v>
      </c>
      <c r="D25" s="11" t="inlineStr">
        <is>
          <t>Dosel continuo, matorral denso o mosaico agroforestal</t>
        </is>
      </c>
      <c r="E25" s="11" t="inlineStr"/>
    </row>
    <row r="26">
      <c r="A26" s="12" t="inlineStr">
        <is>
          <t>Vegetación mediana</t>
        </is>
      </c>
      <c r="B26" s="20" t="n">
        <v>78.459</v>
      </c>
      <c r="C26" s="21" t="n">
        <v>60.13</v>
      </c>
      <c r="D26" s="13" t="inlineStr">
        <is>
          <t>Pastizal cultivado, matorral ralo, parcelas agrícolas</t>
        </is>
      </c>
      <c r="E26" s="13" t="inlineStr"/>
    </row>
    <row r="27">
      <c r="A27" s="7" t="inlineStr">
        <is>
          <t>Vegetación ligera</t>
        </is>
      </c>
      <c r="B27" s="18" t="n">
        <v>45.8987</v>
      </c>
      <c r="C27" s="19" t="n">
        <v>35.18</v>
      </c>
      <c r="D27" s="11" t="inlineStr">
        <is>
          <t>Cobertura discontinua, suelo parcialmente expuesto</t>
        </is>
      </c>
      <c r="E27" s="11" t="inlineStr"/>
    </row>
    <row r="28">
      <c r="A28" s="12" t="inlineStr">
        <is>
          <t>Tierra desnuda</t>
        </is>
      </c>
      <c r="B28" s="20" t="n">
        <v>0.5292</v>
      </c>
      <c r="C28" s="21" t="n">
        <v>0.41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130.43</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4.28 % del polígono clasificado como «Vegetación alta» por el NDVI 2025; la observación de campo corresponde a una parcela o recorrido puntual y no es estadísticamente representativa de las 130.430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M7B1</t>
        </is>
      </c>
    </row>
    <row r="6" ht="24" customHeight="1">
      <c r="A6" s="4" t="inlineStr">
        <is>
          <t>Levantamiento del 2026-05-05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629006</v>
      </c>
      <c r="D10" s="26" t="n">
        <v>9407540</v>
      </c>
      <c r="E10" s="11" t="n">
        <v>4</v>
      </c>
      <c r="F10" s="11" t="inlineStr"/>
      <c r="G10" s="11" t="inlineStr">
        <is>
          <t>Coordenada consignada en F-DT-01</t>
        </is>
      </c>
    </row>
    <row r="11">
      <c r="A11" s="12" t="inlineStr">
        <is>
          <t>H-01</t>
        </is>
      </c>
      <c r="B11" s="13" t="inlineStr">
        <is>
          <t>Fuente de agua — Reservorio / Represa</t>
        </is>
      </c>
      <c r="C11" s="27" t="n">
        <v>628636</v>
      </c>
      <c r="D11" s="27" t="n">
        <v>9408472</v>
      </c>
      <c r="E11" s="13" t="n">
        <v>1006.5</v>
      </c>
      <c r="F11" s="13" t="inlineStr">
        <is>
          <t>Permanente</t>
        </is>
      </c>
      <c r="G11" s="13" t="inlineStr">
        <is>
          <t>Reservorio JASS Nuevo Progreso</t>
        </is>
      </c>
    </row>
    <row r="12">
      <c r="A12" s="7" t="inlineStr">
        <is>
          <t>H-02</t>
        </is>
      </c>
      <c r="B12" s="11" t="inlineStr">
        <is>
          <t>Fuente de agua — Reservorio / Represa</t>
        </is>
      </c>
      <c r="C12" s="26" t="n">
        <v>628707</v>
      </c>
      <c r="D12" s="26" t="n">
        <v>9408442</v>
      </c>
      <c r="E12" s="11" t="n">
        <v>954.1</v>
      </c>
      <c r="F12" s="11" t="inlineStr">
        <is>
          <t>Permanente</t>
        </is>
      </c>
      <c r="G12" s="11" t="inlineStr">
        <is>
          <t>Reservorio JASS Nuevo Progreso (2)</t>
        </is>
      </c>
    </row>
    <row r="13">
      <c r="A13" s="12" t="inlineStr">
        <is>
          <t>H-03</t>
        </is>
      </c>
      <c r="B13" s="13" t="inlineStr">
        <is>
          <t>Fuente de agua — Manantial / Puquio</t>
        </is>
      </c>
      <c r="C13" s="27" t="n">
        <v>628485</v>
      </c>
      <c r="D13" s="27" t="n">
        <v>9408678</v>
      </c>
      <c r="E13" s="13" t="n">
        <v>1255.2</v>
      </c>
      <c r="F13" s="13" t="inlineStr">
        <is>
          <t>Intermitente</t>
        </is>
      </c>
      <c r="G13" s="13" t="inlineStr">
        <is>
          <t>Fuente intermitente</t>
        </is>
      </c>
    </row>
    <row r="14">
      <c r="A14" s="7" t="inlineStr">
        <is>
          <t>H-04</t>
        </is>
      </c>
      <c r="B14" s="11" t="inlineStr">
        <is>
          <t>Fuente de agua — Quebrada estacional</t>
        </is>
      </c>
      <c r="C14" s="26" t="n">
        <v>628900</v>
      </c>
      <c r="D14" s="26" t="n">
        <v>9408100</v>
      </c>
      <c r="E14" s="11" t="n">
        <v>573.9</v>
      </c>
      <c r="F14" s="11" t="inlineStr">
        <is>
          <t>Estacional</t>
        </is>
      </c>
      <c r="G14" s="11" t="inlineStr">
        <is>
          <t>Quebrada estacional 1</t>
        </is>
      </c>
    </row>
    <row r="15">
      <c r="A15" s="12" t="inlineStr">
        <is>
          <t>H-05</t>
        </is>
      </c>
      <c r="B15" s="13" t="inlineStr">
        <is>
          <t>Fuente de agua — Quebrada estacional</t>
        </is>
      </c>
      <c r="C15" s="27" t="n">
        <v>628950</v>
      </c>
      <c r="D15" s="27" t="n">
        <v>9407900</v>
      </c>
      <c r="E15" s="13" t="n">
        <v>368.3</v>
      </c>
      <c r="F15" s="13" t="inlineStr">
        <is>
          <t>Estacional</t>
        </is>
      </c>
      <c r="G15" s="13" t="inlineStr">
        <is>
          <t>Quebrada estacional 2</t>
        </is>
      </c>
    </row>
    <row r="16">
      <c r="A16" s="7" t="inlineStr">
        <is>
          <t>H-06</t>
        </is>
      </c>
      <c r="B16" s="11" t="inlineStr">
        <is>
          <t>Fuente de agua — Quebrada estacional</t>
        </is>
      </c>
      <c r="C16" s="26" t="n">
        <v>629050</v>
      </c>
      <c r="D16" s="26" t="n">
        <v>9407700</v>
      </c>
      <c r="E16" s="11" t="n">
        <v>169.8</v>
      </c>
      <c r="F16" s="11" t="inlineStr">
        <is>
          <t>Estacional</t>
        </is>
      </c>
      <c r="G16" s="11" t="inlineStr">
        <is>
          <t>Quebrada estacional 3</t>
        </is>
      </c>
    </row>
    <row r="17">
      <c r="A17" s="12" t="inlineStr">
        <is>
          <t>H-07</t>
        </is>
      </c>
      <c r="B17" s="13" t="inlineStr">
        <is>
          <t>Fuente de agua — Quebrada estacional</t>
        </is>
      </c>
      <c r="C17" s="27" t="n">
        <v>629100</v>
      </c>
      <c r="D17" s="27" t="n">
        <v>9407500</v>
      </c>
      <c r="E17" s="13" t="n">
        <v>100.7</v>
      </c>
      <c r="F17" s="13" t="inlineStr">
        <is>
          <t>Estacional</t>
        </is>
      </c>
      <c r="G17" s="13" t="inlineStr">
        <is>
          <t>Quebrada estacional 4</t>
        </is>
      </c>
    </row>
    <row r="18">
      <c r="A18" s="7" t="inlineStr">
        <is>
          <t>H-08</t>
        </is>
      </c>
      <c r="B18" s="11" t="inlineStr">
        <is>
          <t>Fuente de agua — Río</t>
        </is>
      </c>
      <c r="C18" s="26" t="n">
        <v>629200</v>
      </c>
      <c r="D18" s="26" t="n">
        <v>9407400</v>
      </c>
      <c r="E18" s="11" t="n">
        <v>236.9</v>
      </c>
      <c r="F18" s="11" t="inlineStr">
        <is>
          <t>Permanente</t>
        </is>
      </c>
      <c r="G18" s="11" t="inlineStr">
        <is>
          <t>Río Piura — borde oriental</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629006</v>
      </c>
      <c r="C21" s="6" t="inlineStr">
        <is>
          <t>Centroide del bloque — UTM NORTE (m)</t>
        </is>
      </c>
      <c r="D21" s="7" t="n">
        <v>9407536</v>
      </c>
      <c r="E21" s="8" t="n"/>
      <c r="F21" s="8" t="n"/>
      <c r="G21" s="8" t="n"/>
      <c r="H21" s="8" t="n"/>
    </row>
    <row r="22">
      <c r="A22" s="6" t="inlineStr">
        <is>
          <t>N.° de estaciones fotográficas declaradas</t>
        </is>
      </c>
      <c r="B22" s="7" t="n">
        <v>0</v>
      </c>
      <c r="C22" s="6" t="inlineStr">
        <is>
          <t>Estaciones dentro del polígono</t>
        </is>
      </c>
      <c r="D22" s="7" t="n">
        <v>0</v>
      </c>
      <c r="E22" s="8" t="n"/>
      <c r="F22" s="8" t="n"/>
      <c r="G22" s="8" t="n"/>
      <c r="H22" s="8" t="n"/>
    </row>
    <row r="24" ht="108"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DE GEOMETRÍA LINEAL: corredor de ≈4.2 km sobre la ladera derecha del valle del río Piura, PARALELO A LA VÍA DEPARTAMENTAL PE-02A. La ficha F-DT-01 no consigna observaciones adicionales. NOTA: la geometría alargada del polígono y su contigüidad con la vía condicionan tanto la exposición del ecosistema como la logística de intervención.</t>
        </is>
      </c>
      <c r="B24" s="42" t="n"/>
      <c r="C24" s="42" t="n"/>
      <c r="D24" s="42" t="n"/>
      <c r="E24" s="42" t="n"/>
      <c r="F24" s="42" t="n"/>
      <c r="G24" s="43"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M7B1</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M7B1</t>
        </is>
      </c>
      <c r="B10" s="28" t="n">
        <v>130.43</v>
      </c>
      <c r="C10" s="29" t="n">
        <v>32.38</v>
      </c>
      <c r="D10" s="15" t="inlineStr">
        <is>
          <t>183 – 357</t>
        </is>
      </c>
      <c r="E10" s="15" t="n">
        <v>174</v>
      </c>
      <c r="F10" s="15" t="n">
        <v>17.35</v>
      </c>
      <c r="G10" s="30" t="n">
        <v>0.3136</v>
      </c>
      <c r="H10" s="29" t="n">
        <v>4.28</v>
      </c>
      <c r="I10" s="29" t="n">
        <v>99.78</v>
      </c>
    </row>
    <row r="11">
      <c r="A11" s="12" t="inlineStr">
        <is>
          <t>M7B2</t>
        </is>
      </c>
      <c r="B11" s="31" t="n">
        <v>115.38</v>
      </c>
      <c r="C11" s="21" t="n">
        <v>28.64</v>
      </c>
      <c r="D11" s="13" t="inlineStr">
        <is>
          <t>204 – 362</t>
        </is>
      </c>
      <c r="E11" s="13" t="n">
        <v>158</v>
      </c>
      <c r="F11" s="13" t="n">
        <v>14.01</v>
      </c>
      <c r="G11" s="20" t="n">
        <v>0.2877</v>
      </c>
      <c r="H11" s="21" t="n">
        <v>0.91</v>
      </c>
      <c r="I11" s="21" t="n">
        <v>99.58</v>
      </c>
    </row>
    <row r="12">
      <c r="A12" s="7" t="inlineStr">
        <is>
          <t>M7B6</t>
        </is>
      </c>
      <c r="B12" s="32" t="n">
        <v>91.29000000000001</v>
      </c>
      <c r="C12" s="19" t="n">
        <v>22.66</v>
      </c>
      <c r="D12" s="11" t="inlineStr">
        <is>
          <t>228 – 453</t>
        </is>
      </c>
      <c r="E12" s="11" t="n">
        <v>225</v>
      </c>
      <c r="F12" s="11" t="n">
        <v>16.87</v>
      </c>
      <c r="G12" s="18" t="n">
        <v>0.2878</v>
      </c>
      <c r="H12" s="19" t="n">
        <v>0.73</v>
      </c>
      <c r="I12" s="19" t="n">
        <v>99.95999999999999</v>
      </c>
    </row>
    <row r="13">
      <c r="A13" s="12" t="inlineStr">
        <is>
          <t>M7B3</t>
        </is>
      </c>
      <c r="B13" s="31" t="n">
        <v>65.73999999999999</v>
      </c>
      <c r="C13" s="21" t="n">
        <v>16.32</v>
      </c>
      <c r="D13" s="13" t="inlineStr">
        <is>
          <t>209 – 372</t>
        </is>
      </c>
      <c r="E13" s="13" t="n">
        <v>163</v>
      </c>
      <c r="F13" s="13" t="n">
        <v>19.61</v>
      </c>
      <c r="G13" s="20" t="n">
        <v>0.298</v>
      </c>
      <c r="H13" s="21" t="n">
        <v>1.32</v>
      </c>
      <c r="I13" s="21" t="n">
        <v>99.84999999999999</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c r="I14" s="23">
        <f>ROUND(AVERAGE(I10:I13),2)</f>
        <v/>
      </c>
    </row>
    <row r="15"/>
    <row r="16" ht="84" customHeight="1">
      <c r="A16" s="9" t="inlineStr">
        <is>
          <t>LECTURA INTRAMICROCUENCA. El bloque M7B1 ocupa el puesto 1 de 4 por superficie dentro de la microcuenca C1076-Q9581 (32.38 % de las 402.84 ha preliminares de la microcuenca). Su pendiente promedio (17.35 %, clase «15-25% (Fuert. inclinado)») es la 3.ª más baja de 4 y se sitúa por encima del promedio de la microcuenca (16.96 %). Su MSAVI 2024 (0.3136) es el 1.º de 4 y queda por encima del promedio local (0.2968). Amplitud altitudinal del bloque: 174 m (183–357 msnm). El cuadro conserva todos los bloques catalogados en la microcuenca, incluidos los descartados en el tamizaje, para referencia del conjunto. Los bloques sin ficha DT figuran con sus parámetros de gabinete. BRECHA ESPECTRAL. El 99.78 % de la superficie del bloque (130.133 ha de 130.425 ha) se sitúa bajo el umbral MSAVI 0.4976, por debajo del promedio local de la microcuenca (99.79 %) calculado sobre los bloques con dato MSAVI disponible.</t>
        </is>
      </c>
      <c r="B16" s="42" t="n"/>
      <c r="C16" s="42" t="n"/>
      <c r="D16" s="42" t="n"/>
      <c r="E16" s="42" t="n"/>
      <c r="F16" s="42" t="n"/>
      <c r="G16" s="42" t="n"/>
      <c r="H16" s="43" t="n"/>
    </row>
    <row r="17"/>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3" t="n"/>
    </row>
  </sheetData>
  <mergeCells count="9">
    <mergeCell ref="A18:I18"/>
    <mergeCell ref="A4:I4"/>
    <mergeCell ref="A1:I1"/>
    <mergeCell ref="A3:I3"/>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(130.476 ha) coincide con la de catálogo (130.43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17.35 %,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30 % de cobertura vegetal en campo; el NDVI mediana 2025 clasifica 99.59 %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6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«Víctor Raúl»; el cruce INEI-Bloques V5 identifica 3 centro(s) poblado(s) en el bloque: LA ALBERCA, NUEVO PROGRESO, VICTOR RAUL</t>
        </is>
      </c>
      <c r="D17" s="15" t="inlineStr">
        <is>
          <t>NO SUSTANTIVA</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(196 msnm)</t>
        </is>
      </c>
    </row>
    <row r="20" ht="48" customHeight="1">
      <c r="A20" s="34" t="inlineStr">
        <is>
          <t>D-11</t>
        </is>
      </c>
      <c r="B20" s="34" t="inlineStr">
        <is>
          <t>F-DT-02 / F-DT-03</t>
        </is>
      </c>
      <c r="C20" s="34" t="inlineStr">
        <is>
          <t>Erosión «Ligera (laminar)» y urgencia «Baja» frente a un suelo desnudo del 70%</t>
        </is>
      </c>
      <c r="D20" s="37" t="inlineStr">
        <is>
          <t>SUSTANTIVA</t>
        </is>
      </c>
      <c r="E20" s="34" t="inlineStr">
        <is>
          <t>Inconsistencia interna a resolver</t>
        </is>
      </c>
    </row>
    <row r="21" ht="48" customHeight="1">
      <c r="A21" s="36" t="inlineStr">
        <is>
          <t>D-12</t>
        </is>
      </c>
      <c r="B21" s="36" t="inlineStr">
        <is>
          <t>F-DT-03</t>
        </is>
      </c>
      <c r="C21" s="36" t="inlineStr">
        <is>
          <t>Cobertura vegetal total 30% frente al tipo de cobertura dominante «Bosque ralo (30-70%)»</t>
        </is>
      </c>
      <c r="D21" s="15" t="inlineStr">
        <is>
          <t>NO SUSTANTIVA</t>
        </is>
      </c>
      <c r="E21" s="36" t="inlineStr">
        <is>
          <t>Verificar clasificación</t>
        </is>
      </c>
    </row>
    <row r="22" ht="48" customHeight="1">
      <c r="A22" s="34" t="inlineStr">
        <is>
          <t>D-13</t>
        </is>
      </c>
      <c r="B22" s="34" t="inlineStr">
        <is>
          <t>F-DT-03</t>
        </is>
      </c>
      <c r="C22" s="34" t="inlineStr">
        <is>
          <t>Solo 6 taxones registrados frente al mínimo de 15 exigido</t>
        </is>
      </c>
      <c r="D22" s="37" t="inlineStr">
        <is>
          <t>SUSTANTIVA</t>
        </is>
      </c>
      <c r="E22" s="34" t="inlineStr">
        <is>
          <t>Inventario florístico incompleto</t>
        </is>
      </c>
    </row>
    <row r="23" ht="48" customHeight="1">
      <c r="A23" s="36" t="inlineStr">
        <is>
          <t>D-14</t>
        </is>
      </c>
      <c r="B23" s="36" t="inlineStr">
        <is>
          <t>F-DT-03</t>
        </is>
      </c>
      <c r="C23" s="36" t="inlineStr">
        <is>
          <t>Categoría del Hualtaco consignada VU y del Palo Santo LC, frente a CR en la mayoría de los bloques</t>
        </is>
      </c>
      <c r="D23" s="37" t="inlineStr">
        <is>
          <t>SUSTANTIVA</t>
        </is>
      </c>
      <c r="E23" s="36" t="inlineStr">
        <is>
          <t>Homogeneizar criterio de categorización</t>
        </is>
      </c>
    </row>
    <row r="24" ht="48" customHeight="1">
      <c r="A24" s="34" t="inlineStr">
        <is>
          <t>D-15</t>
        </is>
      </c>
      <c r="B24" s="34" t="inlineStr">
        <is>
          <t>F-DT-04</t>
        </is>
      </c>
      <c r="C24" s="34" t="inlineStr">
        <is>
          <t>Urgencia de intervención BAJA pese a 70% de suelo desnudo y 25% de área con especie invasora</t>
        </is>
      </c>
      <c r="D24" s="37" t="inlineStr">
        <is>
          <t>SUSTANTIVA</t>
        </is>
      </c>
      <c r="E24" s="34" t="inlineStr">
        <is>
          <t>Revisar calificación</t>
        </is>
      </c>
    </row>
    <row r="25" ht="48" customHeight="1">
      <c r="A25" s="36" t="inlineStr">
        <is>
          <t>D-16</t>
        </is>
      </c>
      <c r="B25" s="36" t="inlineStr">
        <is>
          <t>F-DT-04</t>
        </is>
      </c>
      <c r="C25" s="36" t="inlineStr">
        <is>
          <t>Carga ganadera calificada «Bajo» sin valor numérico</t>
        </is>
      </c>
      <c r="D25" s="15" t="inlineStr">
        <is>
          <t>NO SUSTANTIVA</t>
        </is>
      </c>
      <c r="E25" s="36" t="inlineStr">
        <is>
          <t>Completar el valor</t>
        </is>
      </c>
    </row>
    <row r="26" ht="48" customHeight="1">
      <c r="A26" s="34" t="inlineStr">
        <is>
          <t>D-17</t>
        </is>
      </c>
      <c r="B26" s="34" t="inlineStr">
        <is>
          <t>F-DT-04</t>
        </is>
      </c>
      <c r="C26" s="34" t="inlineStr">
        <is>
          <t>Área LOTIZADA en el sector noroeste del bloque (expansión urbana, 10%)</t>
        </is>
      </c>
      <c r="D26" s="37" t="inlineStr">
        <is>
          <t>SUSTANTIVA</t>
        </is>
      </c>
      <c r="E26" s="34" t="inlineStr">
        <is>
          <t>Tamizaje predial: verificar superposición con habilitaciones urbanas</t>
        </is>
      </c>
    </row>
    <row r="27" ht="48" customHeight="1">
      <c r="A27" s="36" t="inlineStr">
        <is>
          <t>D-18</t>
        </is>
      </c>
      <c r="B27" s="36" t="inlineStr">
        <is>
          <t>F-DT-05</t>
        </is>
      </c>
      <c r="C27" s="36" t="inlineStr">
        <is>
          <t>Dos reservorios de la JASS Nuevo Progreso dentro del polígono</t>
        </is>
      </c>
      <c r="D27" s="37" t="inlineStr">
        <is>
          <t>SUSTANTIVA</t>
        </is>
      </c>
      <c r="E27" s="36" t="inlineStr">
        <is>
          <t>Coordinación obligatoria con la JASS; oportunidad MERESE</t>
        </is>
      </c>
    </row>
    <row r="28" ht="48" customHeight="1">
      <c r="A28" s="36" t="inlineStr">
        <is>
          <t>D-19</t>
        </is>
      </c>
      <c r="B28" s="36" t="inlineStr">
        <is>
          <t>Distribución areal MSAVI 2024</t>
        </is>
      </c>
      <c r="C28" s="36" t="inlineStr">
        <is>
          <t>La distribución por clase de MSAVI no figuraba en los insumos del entregable y se consignaba «Por determinar»; se incorpora la estadística zonal del ráster MSAVI clasificado (414 polígonos, 130.425 ha)</t>
        </is>
      </c>
      <c r="D28" s="37" t="inlineStr">
        <is>
          <t>CORREGIDO</t>
        </is>
      </c>
      <c r="E2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9" ht="48" customHeight="1">
      <c r="A29" s="36" t="inlineStr">
        <is>
          <t>D-20</t>
        </is>
      </c>
      <c r="B29" s="36" t="inlineStr">
        <is>
          <t>Superficie MSAVI vs. catálogo</t>
        </is>
      </c>
      <c r="C29" s="36" t="inlineStr">
        <is>
          <t>La superficie total clasificada por el MSAVI 2024 (130.425 ha) frente a la de catálogo V5/V6 (130.430 ha): desviación de +0.00 %</t>
        </is>
      </c>
      <c r="D29" s="37" t="inlineStr">
        <is>
          <t>CONFORME</t>
        </is>
      </c>
      <c r="E29" s="36" t="inlineStr">
        <is>
          <t>Sin acción: la segmentación del ráster valida la geometría del bloque dentro del ±2 %.</t>
        </is>
      </c>
    </row>
    <row r="30" ht="48" customHeight="1">
      <c r="A30" s="36" t="inlineStr">
        <is>
          <t>D-21</t>
        </is>
      </c>
      <c r="B30" s="36" t="inlineStr">
        <is>
          <t>Media MSAVI vs. clase DN dominante</t>
        </is>
      </c>
      <c r="C30" s="36" t="inlineStr">
        <is>
          <t>La media del bloque (0.3136) cae en la clase «DN 2 · 0.2650 - 0.3813 (Vigor muy bajo)»; la clase de mayor superficie es «DN 2 · 0.2650 - 0.3813 (Vigor muy bajo)», con 75.12 % del bloque. Superficie bajo el umbral 0.4976: 130.133 ha (99.78 %)</t>
        </is>
      </c>
      <c r="D30" s="37" t="inlineStr">
        <is>
          <t>CONFORME</t>
        </is>
      </c>
      <c r="E30" s="36" t="inlineStr">
        <is>
          <t>Sin acción: la media del bloque y la clase de mayor superficie coinciden.</t>
        </is>
      </c>
    </row>
    <row r="31"/>
    <row r="32">
      <c r="A32" s="16" t="inlineStr">
        <is>
          <t>RESUMEN</t>
        </is>
      </c>
      <c r="B32" s="17" t="inlineStr">
        <is>
          <t>21 verificaciones</t>
        </is>
      </c>
      <c r="C32" s="17" t="inlineStr">
        <is>
          <t>CONFORME: 5 · CORREGIDO: 2 · NO SUSTANTIVA: 5 · SUSTANTIVA: 9</t>
        </is>
      </c>
      <c r="D32" s="17" t="inlineStr"/>
      <c r="E32" s="17" t="inlineStr"/>
    </row>
    <row r="33"/>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4" s="42" t="n"/>
      <c r="C34" s="42" t="n"/>
      <c r="D34" s="42" t="n"/>
      <c r="E34" s="43" t="n"/>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M7B1 — IN Piura</dc:title>
  <dc:subject>Diagnóstico Territorial por bloque de intervención</dc:subject>
  <dcterms:created xsi:type="dcterms:W3CDTF">2026-09-08T03:39:59Z</dcterms:created>
  <dcterms:modified xsi:type="dcterms:W3CDTF">2026-09-09T23:30:56Z</dcterms:modified>
</cp:coreProperties>
</file>