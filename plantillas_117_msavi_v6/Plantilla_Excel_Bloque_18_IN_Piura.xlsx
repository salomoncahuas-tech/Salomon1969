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18</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Caserío Piedra Blanca (Huarmaca)</t>
        </is>
      </c>
      <c r="C13" s="6" t="inlineStr">
        <is>
          <t>Comunidad campesina</t>
        </is>
      </c>
      <c r="D13" s="7" t="inlineStr">
        <is>
          <t>Por verificar</t>
        </is>
      </c>
      <c r="E13" s="8" t="n"/>
      <c r="F13" s="8" t="n"/>
    </row>
    <row r="14">
      <c r="A14" s="6" t="inlineStr">
        <is>
          <t>Superficie de catálogo (V5/V6), ha</t>
        </is>
      </c>
      <c r="B14" s="7" t="n">
        <v>103.62</v>
      </c>
      <c r="C14" s="6" t="inlineStr">
        <is>
          <t>Fuente de superficie</t>
        </is>
      </c>
      <c r="D14" s="7" t="inlineStr">
        <is>
          <t>Catálogo maestro Bloques V5/V6</t>
        </is>
      </c>
      <c r="E14" s="8" t="n"/>
      <c r="F14" s="8" t="n"/>
    </row>
    <row r="15">
      <c r="A15" s="6" t="inlineStr">
        <is>
          <t>Centroide UTM ESTE (m)</t>
        </is>
      </c>
      <c r="B15" s="7" t="n">
        <v>656445</v>
      </c>
      <c r="C15" s="6" t="inlineStr">
        <is>
          <t>Centroide UTM NORTE (m)</t>
        </is>
      </c>
      <c r="D15" s="7" t="n">
        <v>9393180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1218</v>
      </c>
      <c r="C19" s="6" t="inlineStr">
        <is>
          <t>Altitud máxima (msnm)</t>
        </is>
      </c>
      <c r="D19" s="7" t="n">
        <v>1904</v>
      </c>
      <c r="E19" s="8" t="n"/>
      <c r="F19" s="8" t="n"/>
    </row>
    <row r="20">
      <c r="A20" s="6" t="inlineStr">
        <is>
          <t>Amplitud altitudinal (m)</t>
        </is>
      </c>
      <c r="B20" s="7" t="n">
        <v>686</v>
      </c>
      <c r="C20" s="6" t="inlineStr">
        <is>
          <t>Piso altitudinal dominante</t>
        </is>
      </c>
      <c r="D20" s="7" t="inlineStr">
        <is>
          <t>1500-2000 m (Quechua media)</t>
        </is>
      </c>
      <c r="E20" s="8" t="n"/>
      <c r="F20" s="8" t="n"/>
    </row>
    <row r="21">
      <c r="A21" s="6" t="inlineStr">
        <is>
          <t>Pendiente promedio (%)</t>
        </is>
      </c>
      <c r="B21" s="7" t="n">
        <v>28.7</v>
      </c>
      <c r="C21" s="6" t="inlineStr">
        <is>
          <t>Pendiente promedio (grados)</t>
        </is>
      </c>
      <c r="D21" s="7" t="n">
        <v>16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0.6402</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(96.64 %)</t>
        </is>
      </c>
      <c r="E29" s="8" t="n"/>
      <c r="F29" s="8" t="n"/>
    </row>
    <row r="30">
      <c r="A30" s="6" t="inlineStr">
        <is>
          <t>Superficie clasificada NDVI 2025 (ha)</t>
        </is>
      </c>
      <c r="B30" s="7" t="n">
        <v>103.637</v>
      </c>
      <c r="C30" s="6" t="inlineStr">
        <is>
          <t>Desviación frente al catálogo (%)</t>
        </is>
      </c>
      <c r="D30" s="7" t="n">
        <v>0.02</v>
      </c>
      <c r="E30" s="8" t="n"/>
      <c r="F30" s="8" t="n"/>
    </row>
    <row r="31">
      <c r="A31" s="6" t="inlineStr">
        <is>
          <t>Superficie clasificada MSAVI 2024 (ha)</t>
        </is>
      </c>
      <c r="B31" s="38" t="n">
        <v>103.617</v>
      </c>
      <c r="C31" s="6" t="inlineStr">
        <is>
          <t>Desviación MSAVI frente al catálogo (%)</t>
        </is>
      </c>
      <c r="D31" s="39" t="n">
        <v>0</v>
      </c>
      <c r="E31" s="8" t="n"/>
      <c r="F31" s="8" t="n"/>
    </row>
    <row r="32">
      <c r="A32" s="6" t="inlineStr">
        <is>
          <t>Superficie bajo umbral MSAVI 0.4976 (ha)</t>
        </is>
      </c>
      <c r="B32" s="38" t="n">
        <v>3.111</v>
      </c>
      <c r="C32" s="6" t="inlineStr">
        <is>
          <t>% del bloque bajo umbral (brecha espectral)</t>
        </is>
      </c>
      <c r="D32" s="39" t="n">
        <v>3</v>
      </c>
      <c r="E32" s="8" t="n"/>
      <c r="F32" s="8" t="n"/>
    </row>
    <row r="33">
      <c r="A33" s="6" t="inlineStr">
        <is>
          <t>Clase DN dominante (MSAVI 2024)</t>
        </is>
      </c>
      <c r="B33" s="7" t="inlineStr">
        <is>
          <t>DN 5 · &gt; 0.6139 (Vigor alto)</t>
        </is>
      </c>
      <c r="C33" s="6" t="inlineStr">
        <is>
          <t>N.° de polígonos MSAVI del bloque</t>
        </is>
      </c>
      <c r="D33" s="40" t="n">
        <v>210</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Bes-cm 94.3 ha + Zona agrícola 9.32 ha</t>
        </is>
      </c>
      <c r="E36" s="8" t="n"/>
      <c r="F36" s="8" t="n"/>
    </row>
    <row r="37">
      <c r="A37" s="6" t="inlineStr">
        <is>
          <t>Estado de conservación</t>
        </is>
      </c>
      <c r="B37" s="7" t="inlineStr">
        <is>
          <t>Levemente alterado</t>
        </is>
      </c>
      <c r="C37" s="6" t="inlineStr">
        <is>
          <t>Uso actual dominante del suelo</t>
        </is>
      </c>
      <c r="D37" s="7" t="inlineStr">
        <is>
          <t>Forestal protección</t>
        </is>
      </c>
      <c r="E37" s="8" t="n"/>
      <c r="F37" s="8" t="n"/>
    </row>
    <row r="38">
      <c r="A38" s="6" t="inlineStr">
        <is>
          <t>Tipo de cobertura dominante</t>
        </is>
      </c>
      <c r="B38" s="7" t="inlineStr">
        <is>
          <t>Bosque ralo (30-70%)</t>
        </is>
      </c>
      <c r="C38" s="6" t="inlineStr">
        <is>
          <t>Cobertura vegetal total — campo (%)</t>
        </is>
      </c>
      <c r="D38" s="7" t="n">
        <v>85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2026-07-21</t>
        </is>
      </c>
      <c r="E44" s="8" t="n"/>
      <c r="F44" s="8" t="n"/>
    </row>
    <row r="45">
      <c r="A45" s="6" t="inlineStr">
        <is>
          <t>Hora de registro</t>
        </is>
      </c>
      <c r="B45" s="7" t="inlineStr">
        <is>
          <t>16:21</t>
        </is>
      </c>
      <c r="C45" s="6" t="inlineStr">
        <is>
          <t>Correlativo de ficha</t>
        </is>
      </c>
      <c r="D45" s="7" t="inlineStr">
        <is>
          <t>B18-F01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Observación directa en recorrido (sin parcela permanente)</t>
        </is>
      </c>
      <c r="E47" s="8" t="n"/>
      <c r="F47" s="8" t="n"/>
    </row>
    <row r="48">
      <c r="A48" s="6" t="inlineStr">
        <is>
          <t>Estaciones fotográficas georreferenciadas</t>
        </is>
      </c>
      <c r="B48" s="7" t="n">
        <v>10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antrópica sobre laderas de fuerte pendiente asociada al corredor vial y a la agricultura de subsistencia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69.01439999999999</v>
      </c>
      <c r="C10" s="29">
        <f>ROUND(B10/$B$15*100,2)</f>
        <v/>
      </c>
      <c r="D10" s="12" t="inlineStr">
        <is>
          <t>Vigor alto</t>
        </is>
      </c>
      <c r="E10" s="12" t="inlineStr">
        <is>
          <t>Sobre umbral</t>
        </is>
      </c>
    </row>
    <row r="11">
      <c r="A11" s="13" t="inlineStr">
        <is>
          <t>0.4976 - 0.6139 · DN 4</t>
        </is>
      </c>
      <c r="B11" s="20" t="n">
        <v>31.4917</v>
      </c>
      <c r="C11" s="21">
        <f>ROUND(B11/$B$15*100,2)</f>
        <v/>
      </c>
      <c r="D11" s="14" t="inlineStr">
        <is>
          <t>Vigor moderado</t>
        </is>
      </c>
      <c r="E11" s="14" t="inlineStr">
        <is>
          <t>Sobre umbral</t>
        </is>
      </c>
    </row>
    <row r="12">
      <c r="A12" s="7" t="inlineStr">
        <is>
          <t>0.3813 - 0.4976 · DN 3</t>
        </is>
      </c>
      <c r="B12" s="18" t="n">
        <v>3.1111</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210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103.62</v>
      </c>
      <c r="C18" s="49" t="inlineStr">
        <is>
          <t>—</t>
        </is>
      </c>
      <c r="D18" s="46" t="inlineStr">
        <is>
          <t>Desviación planimétrica frente al catálogo</t>
        </is>
      </c>
      <c r="E18" s="46" t="inlineStr">
        <is>
          <t>+0.00 %</t>
        </is>
      </c>
    </row>
    <row r="19">
      <c r="A19" s="16" t="inlineStr">
        <is>
          <t>MSAVI 2024 — MEDIA DEL BLOQUE</t>
        </is>
      </c>
      <c r="B19" s="17" t="n">
        <v>0.640219</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210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(0.6402)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100.1564</v>
      </c>
      <c r="C25" s="19" t="n">
        <v>96.64</v>
      </c>
      <c r="D25" s="15" t="inlineStr">
        <is>
          <t>Dosel continuo, matorral denso o mosaico agroforestal</t>
        </is>
      </c>
      <c r="E25" s="15" t="inlineStr"/>
    </row>
    <row r="26">
      <c r="A26" s="13" t="inlineStr">
        <is>
          <t>Vegetación mediana</t>
        </is>
      </c>
      <c r="B26" s="20" t="n">
        <v>3.4808</v>
      </c>
      <c r="C26" s="21" t="n">
        <v>3.36</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103.62</v>
      </c>
      <c r="C28" s="25" t="inlineStr">
        <is>
          <t>—</t>
        </is>
      </c>
      <c r="D28" s="25" t="inlineStr">
        <is>
          <t>Desviación planimétrica frente al catálogo</t>
        </is>
      </c>
      <c r="E28" s="25" t="inlineStr">
        <is>
          <t>+0.02 %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96.64 % del polígono clasificado como «Vegetación alta» por el NDVI 2025; la observación de campo corresponde a una parcela o recorrido puntual y no es estadísticamente representativa de las 103.620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18</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C-01</t>
        </is>
      </c>
      <c r="B10" s="15" t="inlineStr">
        <is>
          <t>Rasgo erosivo — Cárcava incipiente (30-50 cm)</t>
        </is>
      </c>
      <c r="C10" s="26" t="n">
        <v>657109</v>
      </c>
      <c r="D10" s="26" t="n">
        <v>9392675</v>
      </c>
      <c r="E10" s="15" t="n">
        <v>834.2</v>
      </c>
      <c r="F10" s="15" t="inlineStr">
        <is>
          <t>Activa</t>
        </is>
      </c>
      <c r="G10" s="15" t="inlineStr">
        <is>
          <t>Otro</t>
        </is>
      </c>
    </row>
    <row r="11">
      <c r="A11" s="13" t="inlineStr">
        <is>
          <t>C-02</t>
        </is>
      </c>
      <c r="B11" s="14" t="inlineStr">
        <is>
          <t>Rasgo erosivo — Cárcava somera (0.5-2 m)</t>
        </is>
      </c>
      <c r="C11" s="27" t="n">
        <v>657110</v>
      </c>
      <c r="D11" s="27" t="n">
        <v>9392674</v>
      </c>
      <c r="E11" s="14" t="n">
        <v>835.6</v>
      </c>
      <c r="F11" s="14" t="inlineStr">
        <is>
          <t>Semi-activa</t>
        </is>
      </c>
      <c r="G11" s="14" t="inlineStr">
        <is>
          <t>Concentración natural de escorrentía</t>
        </is>
      </c>
    </row>
    <row r="12">
      <c r="A12" s="7" t="inlineStr">
        <is>
          <t>C-03</t>
        </is>
      </c>
      <c r="B12" s="15" t="inlineStr">
        <is>
          <t>Rasgo erosivo — Cárcava incipiente (30-50 cm)</t>
        </is>
      </c>
      <c r="C12" s="26" t="n">
        <v>657109</v>
      </c>
      <c r="D12" s="26" t="n">
        <v>9392443</v>
      </c>
      <c r="E12" s="15" t="n">
        <v>992</v>
      </c>
      <c r="F12" s="15" t="inlineStr">
        <is>
          <t>Semi-activa</t>
        </is>
      </c>
      <c r="G12" s="15" t="inlineStr">
        <is>
          <t>Concentración natural de escorrentía</t>
        </is>
      </c>
    </row>
    <row r="13">
      <c r="A13" s="13" t="inlineStr">
        <is>
          <t>H-01</t>
        </is>
      </c>
      <c r="B13" s="14" t="inlineStr">
        <is>
          <t>Fuente de agua — Quebrada estacional</t>
        </is>
      </c>
      <c r="C13" s="27" t="n">
        <v>657110</v>
      </c>
      <c r="D13" s="27" t="n">
        <v>9392674</v>
      </c>
      <c r="E13" s="14" t="n">
        <v>835.6</v>
      </c>
      <c r="F13" s="14" t="inlineStr"/>
      <c r="G13" s="14" t="inlineStr">
        <is>
          <t>Quebrada tributaria</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656445</v>
      </c>
      <c r="C16" s="6" t="inlineStr">
        <is>
          <t>Centroide del bloque — UTM NORTE (m)</t>
        </is>
      </c>
      <c r="D16" s="7" t="n">
        <v>9393180</v>
      </c>
      <c r="E16" s="8" t="n"/>
      <c r="F16" s="8" t="n"/>
      <c r="G16" s="8" t="n"/>
      <c r="H16" s="8" t="n"/>
    </row>
    <row r="17">
      <c r="A17" s="6" t="inlineStr">
        <is>
          <t>N.° de estaciones fotográficas declaradas</t>
        </is>
      </c>
      <c r="B17" s="7" t="n">
        <v>10</v>
      </c>
      <c r="C17" s="6" t="inlineStr">
        <is>
          <t>Estaciones dentro del polígono</t>
        </is>
      </c>
      <c r="D17" s="7" t="inlineStr">
        <is>
          <t>Por determinar</t>
        </is>
      </c>
      <c r="E17" s="8" t="n"/>
      <c r="F17" s="8" t="n"/>
      <c r="G17" s="8" t="n"/>
      <c r="H17" s="8" t="n"/>
    </row>
    <row r="19" ht="108"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Terrenos de propiedad privada. El recorrido (21-07-2026) se concentró en el corredor de acceso sur, sobre la trocha departamental 108. Perfil de elevación: cotas 1223-1606 msnm (media ≈1420, pendiente media 33%, máxima 54%); el bloque asciende hacia las cimas al piso Quechua media. Altitud GPS instrumental no registrada: por verificar.</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18</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18</t>
        </is>
      </c>
      <c r="B10" s="28" t="n">
        <v>103.62</v>
      </c>
      <c r="C10" s="29" t="n">
        <v>21.54</v>
      </c>
      <c r="D10" s="12" t="inlineStr">
        <is>
          <t>1218 – 1904</t>
        </is>
      </c>
      <c r="E10" s="12" t="n">
        <v>686</v>
      </c>
      <c r="F10" s="12" t="n">
        <v>28.7</v>
      </c>
      <c r="G10" s="30" t="n">
        <v>0.6402</v>
      </c>
      <c r="H10" s="29" t="n">
        <v>96.64</v>
      </c>
      <c r="I10" s="29" t="n">
        <v>3</v>
      </c>
    </row>
    <row r="11">
      <c r="A11" s="13" t="inlineStr">
        <is>
          <t>19</t>
        </is>
      </c>
      <c r="B11" s="31" t="n">
        <v>82.09</v>
      </c>
      <c r="C11" s="21" t="n">
        <v>17.06</v>
      </c>
      <c r="D11" s="14" t="inlineStr">
        <is>
          <t>2064 – 2503</t>
        </is>
      </c>
      <c r="E11" s="14" t="n">
        <v>439</v>
      </c>
      <c r="F11" s="14" t="n">
        <v>31.01</v>
      </c>
      <c r="G11" s="20" t="n">
        <v>0.5372</v>
      </c>
      <c r="H11" s="21" t="n">
        <v>60.33</v>
      </c>
      <c r="I11" s="21" t="n">
        <v>42.63</v>
      </c>
    </row>
    <row r="12">
      <c r="A12" s="7" t="inlineStr">
        <is>
          <t>41</t>
        </is>
      </c>
      <c r="B12" s="32" t="n">
        <v>64.92</v>
      </c>
      <c r="C12" s="19" t="n">
        <v>13.49</v>
      </c>
      <c r="D12" s="15" t="inlineStr">
        <is>
          <t>1536 – 1818</t>
        </is>
      </c>
      <c r="E12" s="15" t="n">
        <v>282</v>
      </c>
      <c r="F12" s="15" t="n">
        <v>25.53</v>
      </c>
      <c r="G12" s="18" t="n">
        <v>0.5927</v>
      </c>
      <c r="H12" s="19" t="n">
        <v>98.02</v>
      </c>
      <c r="I12" s="19" t="n">
        <v>12.26</v>
      </c>
    </row>
    <row r="13">
      <c r="A13" s="13" t="inlineStr">
        <is>
          <t>73</t>
        </is>
      </c>
      <c r="B13" s="31" t="n">
        <v>54.29</v>
      </c>
      <c r="C13" s="21" t="n">
        <v>11.28</v>
      </c>
      <c r="D13" s="14" t="inlineStr">
        <is>
          <t>1845 – 2305</t>
        </is>
      </c>
      <c r="E13" s="14" t="n">
        <v>460</v>
      </c>
      <c r="F13" s="14" t="n">
        <v>36.34</v>
      </c>
      <c r="G13" s="20" t="n">
        <v>0.555</v>
      </c>
      <c r="H13" s="21" t="n">
        <v>88.8</v>
      </c>
      <c r="I13" s="21" t="n">
        <v>18.94</v>
      </c>
    </row>
    <row r="14">
      <c r="A14" s="7" t="inlineStr">
        <is>
          <t>31</t>
        </is>
      </c>
      <c r="B14" s="32" t="n">
        <v>47.58</v>
      </c>
      <c r="C14" s="19" t="n">
        <v>9.890000000000001</v>
      </c>
      <c r="D14" s="15" t="inlineStr">
        <is>
          <t>1741 – 2234</t>
        </is>
      </c>
      <c r="E14" s="15" t="n">
        <v>493</v>
      </c>
      <c r="F14" s="15" t="n">
        <v>27.08</v>
      </c>
      <c r="G14" s="18" t="n">
        <v>0.4358</v>
      </c>
      <c r="H14" s="19" t="n">
        <v>18.56</v>
      </c>
      <c r="I14" s="19" t="n">
        <v>78.42</v>
      </c>
    </row>
    <row r="15">
      <c r="A15" s="13" t="inlineStr">
        <is>
          <t>29</t>
        </is>
      </c>
      <c r="B15" s="31" t="n">
        <v>40.1</v>
      </c>
      <c r="C15" s="21" t="n">
        <v>8.33</v>
      </c>
      <c r="D15" s="14" t="inlineStr">
        <is>
          <t>2142 – 2391</t>
        </is>
      </c>
      <c r="E15" s="14" t="n">
        <v>249</v>
      </c>
      <c r="F15" s="14" t="n">
        <v>31.54</v>
      </c>
      <c r="G15" s="20" t="n">
        <v>0.5482</v>
      </c>
      <c r="H15" s="21" t="inlineStr">
        <is>
          <t>Por determinar</t>
        </is>
      </c>
      <c r="I15" s="14" t="inlineStr">
        <is>
          <t>s/d</t>
        </is>
      </c>
    </row>
    <row r="16">
      <c r="A16" s="7" t="inlineStr">
        <is>
          <t>70</t>
        </is>
      </c>
      <c r="B16" s="32" t="n">
        <v>22.39</v>
      </c>
      <c r="C16" s="19" t="n">
        <v>4.65</v>
      </c>
      <c r="D16" s="15" t="inlineStr">
        <is>
          <t>2326 – 2536</t>
        </is>
      </c>
      <c r="E16" s="15" t="n">
        <v>210</v>
      </c>
      <c r="F16" s="15" t="n">
        <v>23.2</v>
      </c>
      <c r="G16" s="18" t="n">
        <v>0.6223</v>
      </c>
      <c r="H16" s="19" t="n">
        <v>98.39</v>
      </c>
      <c r="I16" s="19" t="n">
        <v>4.87</v>
      </c>
    </row>
    <row r="17">
      <c r="A17" s="13" t="inlineStr">
        <is>
          <t>68</t>
        </is>
      </c>
      <c r="B17" s="31" t="n">
        <v>21.29</v>
      </c>
      <c r="C17" s="21" t="n">
        <v>4.42</v>
      </c>
      <c r="D17" s="14" t="inlineStr">
        <is>
          <t>2086 – 2374</t>
        </is>
      </c>
      <c r="E17" s="14" t="n">
        <v>288</v>
      </c>
      <c r="F17" s="14" t="n">
        <v>36.81</v>
      </c>
      <c r="G17" s="20" t="n">
        <v>0.483</v>
      </c>
      <c r="H17" s="21" t="inlineStr">
        <is>
          <t>Por determinar</t>
        </is>
      </c>
      <c r="I17" s="14" t="inlineStr">
        <is>
          <t>s/d</t>
        </is>
      </c>
    </row>
    <row r="18">
      <c r="A18" s="7" t="inlineStr">
        <is>
          <t>69</t>
        </is>
      </c>
      <c r="B18" s="32" t="n">
        <v>19.43</v>
      </c>
      <c r="C18" s="19" t="n">
        <v>4.04</v>
      </c>
      <c r="D18" s="15" t="inlineStr">
        <is>
          <t>1931 – 2205</t>
        </is>
      </c>
      <c r="E18" s="15" t="n">
        <v>274</v>
      </c>
      <c r="F18" s="15" t="n">
        <v>27.95</v>
      </c>
      <c r="G18" s="18" t="n">
        <v>0.4489</v>
      </c>
      <c r="H18" s="19" t="n">
        <v>22.92</v>
      </c>
      <c r="I18" s="19" t="n">
        <v>81.28</v>
      </c>
    </row>
    <row r="19">
      <c r="A19" s="13" t="inlineStr">
        <is>
          <t>53</t>
        </is>
      </c>
      <c r="B19" s="31" t="n">
        <v>13.06</v>
      </c>
      <c r="C19" s="21" t="n">
        <v>2.71</v>
      </c>
      <c r="D19" s="14" t="inlineStr">
        <is>
          <t>2235 – 2540</t>
        </is>
      </c>
      <c r="E19" s="14" t="n">
        <v>305</v>
      </c>
      <c r="F19" s="14" t="n">
        <v>26.89</v>
      </c>
      <c r="G19" s="20" t="n">
        <v>0.5963000000000001</v>
      </c>
      <c r="H19" s="21" t="n">
        <v>86.15000000000001</v>
      </c>
      <c r="I19" s="21" t="n">
        <v>12.45</v>
      </c>
    </row>
    <row r="20">
      <c r="A20" s="7" t="inlineStr">
        <is>
          <t>72</t>
        </is>
      </c>
      <c r="B20" s="32" t="n">
        <v>12.4</v>
      </c>
      <c r="C20" s="19" t="n">
        <v>2.58</v>
      </c>
      <c r="D20" s="15" t="inlineStr">
        <is>
          <t>1538 – 1742</t>
        </is>
      </c>
      <c r="E20" s="15" t="n">
        <v>204</v>
      </c>
      <c r="F20" s="15" t="n">
        <v>28.25</v>
      </c>
      <c r="G20" s="18" t="n">
        <v>0.5185</v>
      </c>
      <c r="H20" s="19" t="n">
        <v>92.44</v>
      </c>
      <c r="I20" s="19"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2" t="n"/>
    </row>
    <row r="23"/>
    <row r="24" ht="84" customHeight="1">
      <c r="A24" s="9" t="inlineStr">
        <is>
          <t>LECTURA INTRAMICROCUENCA. El bloque 18 ocupa el puesto 1 de 11 por superficie dentro de la microcuenca C1076-Q9592 (21.54 % de las 481.17 ha preliminares de la microcuenca). Su pendiente promedio (28.70 %, clase «25-50% (Mod. escarpado)») es la 7.ª más baja de 11 y se sitúa por debajo del promedio de la microcuenca (29.39 %). Su MSAVI 2024 (0.6402) es el 1.º de 11 y queda por encima del promedio local (0.5435). Amplitud altitudinal del bloque: 686 m (1218–1904 msnm). El cuadro conserva todos los bloques catalogados en la microcuenca, incluidos los descartados en el tamizaje, para referencia del conjunto. Los bloques sin ficha DT figuran con sus parámetros de gabinete. BRECHA ESPECTRAL. El 3.00 % de la superficie del bloque (3.111 ha de 103.617 ha) se sitúa bajo el umbral MSAVI 0.4976, por debajo del promedio local de la microcuenca (32.80 %)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10">
    <mergeCell ref="A1:I1"/>
    <mergeCell ref="A4:I4"/>
    <mergeCell ref="A3:I3"/>
    <mergeCell ref="A26:I26"/>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«C1076-Q9592»</t>
        </is>
      </c>
      <c r="D10" s="35" t="inlineStr">
        <is>
          <t>CONFORME</t>
        </is>
      </c>
      <c r="E10" s="34" t="inlineStr">
        <is>
          <t>Sin acción.</t>
        </is>
      </c>
    </row>
    <row r="11" ht="48" customHeight="1">
      <c r="A11" s="36" t="inlineStr">
        <is>
          <t>D-02</t>
        </is>
      </c>
      <c r="B11" s="36" t="inlineStr">
        <is>
          <t>UTM del punto de muestreo</t>
        </is>
      </c>
      <c r="C11" s="36" t="inlineStr">
        <is>
          <t>Las celdas de UTM ESTE / NORTE del punto de muestreo están vacías o incompletas en la ficha DT</t>
        </is>
      </c>
      <c r="D11" s="37" t="inlineStr">
        <is>
          <t>SUSTANTIVA</t>
        </is>
      </c>
      <c r="E11" s="36" t="inlineStr">
        <is>
          <t>No se sustituye por el centroide del catálogo. Se consigna «Por registrar en campo».</t>
        </is>
      </c>
    </row>
    <row r="12" ht="48" customHeight="1">
      <c r="A12" s="34" t="inlineStr">
        <is>
          <t>D-03</t>
        </is>
      </c>
      <c r="B12" s="34" t="inlineStr">
        <is>
          <t>Superficie del polígono</t>
        </is>
      </c>
      <c r="C12" s="34" t="inlineStr">
        <is>
          <t>La superficie clasificada por el NDVI 2025 (103.637 ha) coincide con la de catálogo (103.62 ha) dentro del ±2 % (+0.02 %)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el MDE sitúa el bloque entre 1218 y 1904 msnm, cuyo punto medio corresponde a «1500-2000 m (Quechua media)»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2" t="inlineStr">
        <is>
          <t>NO SUSTANTIVA</t>
        </is>
      </c>
      <c r="E14" s="34" t="inlineStr">
        <is>
          <t>El rango altitudinal del bloque (1218–1904 msnm) y la pendiente promedio (28.70 %) se toman de la estadística zonal sobre el MDE, no de medición de campo. Se declara la fuente.</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2"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11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«Caserío Piedra Blanca (Huarmaca)»; el cruce INEI-Bloques V5 identifica 1 centro(s) poblado(s) en el bloque: PIEDRA BLANCA</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4" t="inlineStr">
        <is>
          <t>D-10</t>
        </is>
      </c>
      <c r="B19" s="34" t="inlineStr">
        <is>
          <t>Distribución areal MSAVI 2024</t>
        </is>
      </c>
      <c r="C19" s="34" t="inlineStr">
        <is>
          <t>La distribución por clase de MSAVI no figuraba en los insumos del entregable y se consignaba «Por determinar»; se incorpora la estadística zonal del ráster MSAVI clasificado (210 polígonos, 103.617 ha)</t>
        </is>
      </c>
      <c r="D19" s="37" t="inlineStr">
        <is>
          <t>CORREGIDO</t>
        </is>
      </c>
      <c r="E19"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4" t="inlineStr">
        <is>
          <t>D-11</t>
        </is>
      </c>
      <c r="B20" s="34" t="inlineStr">
        <is>
          <t>Superficie MSAVI vs. catálogo</t>
        </is>
      </c>
      <c r="C20" s="34" t="inlineStr">
        <is>
          <t>La superficie total clasificada por el MSAVI 2024 (103.617 ha) frente a la de catálogo V5/V6 (103.620 ha): desviación de +0.00 %</t>
        </is>
      </c>
      <c r="D20" s="37" t="inlineStr">
        <is>
          <t>CONFORME</t>
        </is>
      </c>
      <c r="E20" s="34" t="inlineStr">
        <is>
          <t>Sin acción: la segmentación del ráster valida la geometría del bloque dentro del ±2 %.</t>
        </is>
      </c>
    </row>
    <row r="21" ht="48" customHeight="1">
      <c r="A21" s="34" t="inlineStr">
        <is>
          <t>D-12</t>
        </is>
      </c>
      <c r="B21" s="34" t="inlineStr">
        <is>
          <t>Media MSAVI vs. clase DN dominante</t>
        </is>
      </c>
      <c r="C21" s="34" t="inlineStr">
        <is>
          <t>La media del bloque (0.6402) cae en la clase «DN 5 · &gt; 0.6139 (Vigor alto)»; la clase de mayor superficie es «DN 5 · &gt; 0.6139 (Vigor alto)», con 66.61 % del bloque. Superficie bajo el umbral 0.4976: 3.111 ha (3.00 %)</t>
        </is>
      </c>
      <c r="D21" s="37" t="inlineStr">
        <is>
          <t>CONFORME</t>
        </is>
      </c>
      <c r="E21" s="34" t="inlineStr">
        <is>
          <t>Sin acción: la media del bloque y la clase de mayor superficie coinciden.</t>
        </is>
      </c>
    </row>
    <row r="22"/>
    <row r="23">
      <c r="A23" s="16" t="inlineStr">
        <is>
          <t>RESUMEN</t>
        </is>
      </c>
      <c r="B23" s="17" t="inlineStr">
        <is>
          <t>12 verificaciones</t>
        </is>
      </c>
      <c r="C23" s="17" t="inlineStr">
        <is>
          <t>CONFORME: 5 · CORREGIDO: 1 · NO SUSTANTIVA: 3 · SUSTANTIVA: 3</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1" t="n"/>
      <c r="C25" s="41" t="n"/>
      <c r="D25" s="41" t="n"/>
      <c r="E25" s="42"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18 — IN Piura</dc:title>
  <dc:subject>Diagnóstico Territorial por bloque de intervención</dc:subject>
  <dcterms:created xsi:type="dcterms:W3CDTF">2026-09-08T03:39:55Z</dcterms:created>
  <dcterms:modified xsi:type="dcterms:W3CDTF">2026-09-09T23:30:50Z</dcterms:modified>
</cp:coreProperties>
</file>