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70</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Zururán</t>
        </is>
      </c>
      <c r="C13" s="6" t="inlineStr">
        <is>
          <t>Comunidad campesina</t>
        </is>
      </c>
      <c r="D13" s="7" t="inlineStr">
        <is>
          <t>Por verificar — no se consultó registro de comunidades campesinas en campo</t>
        </is>
      </c>
      <c r="E13" s="8" t="n"/>
      <c r="F13" s="8" t="n"/>
    </row>
    <row r="14">
      <c r="A14" s="6" t="inlineStr">
        <is>
          <t>Superficie de catálogo (V5/V6), ha</t>
        </is>
      </c>
      <c r="B14" s="7" t="n">
        <v>22.39</v>
      </c>
      <c r="C14" s="6" t="inlineStr">
        <is>
          <t>Fuente de superficie</t>
        </is>
      </c>
      <c r="D14" s="7" t="inlineStr">
        <is>
          <t>Catálogo maestro Bloques V5/V6</t>
        </is>
      </c>
      <c r="E14" s="8" t="n"/>
      <c r="F14" s="8" t="n"/>
    </row>
    <row r="15">
      <c r="A15" s="6" t="inlineStr">
        <is>
          <t>Centroide UTM ESTE (m)</t>
        </is>
      </c>
      <c r="B15" s="7" t="n">
        <v>666781</v>
      </c>
      <c r="C15" s="6" t="inlineStr">
        <is>
          <t>Centroide UTM NORTE (m)</t>
        </is>
      </c>
      <c r="D15" s="7" t="n">
        <v>9395573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2326</v>
      </c>
      <c r="C19" s="6" t="inlineStr">
        <is>
          <t>Altitud máxima (msnm)</t>
        </is>
      </c>
      <c r="D19" s="7" t="n">
        <v>2536</v>
      </c>
      <c r="E19" s="8" t="n"/>
      <c r="F19" s="8" t="n"/>
    </row>
    <row r="20">
      <c r="A20" s="6" t="inlineStr">
        <is>
          <t>Amplitud altitudinal (m)</t>
        </is>
      </c>
      <c r="B20" s="7" t="n">
        <v>210</v>
      </c>
      <c r="C20" s="6" t="inlineStr">
        <is>
          <t>Piso altitudinal dominante</t>
        </is>
      </c>
      <c r="D20" s="7" t="inlineStr">
        <is>
          <t>2000-2500 m (Quechua alta)</t>
        </is>
      </c>
      <c r="E20" s="8" t="n"/>
      <c r="F20" s="8" t="n"/>
    </row>
    <row r="21">
      <c r="A21" s="6" t="inlineStr">
        <is>
          <t>Pendiente promedio (%)</t>
        </is>
      </c>
      <c r="B21" s="7" t="n">
        <v>23.2</v>
      </c>
      <c r="C21" s="6" t="inlineStr">
        <is>
          <t>Pendiente promedio (grados)</t>
        </is>
      </c>
      <c r="D21" s="7" t="n">
        <v>13.1</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0.6223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(98.39 %)</t>
        </is>
      </c>
      <c r="E29" s="8" t="n"/>
      <c r="F29" s="8" t="n"/>
    </row>
    <row r="30">
      <c r="A30" s="6" t="inlineStr">
        <is>
          <t>Superficie clasificada NDVI 2025 (ha)</t>
        </is>
      </c>
      <c r="B30" s="7" t="n">
        <v>22.39</v>
      </c>
      <c r="C30" s="6" t="inlineStr">
        <is>
          <t>Desviación frente al catálogo (%)</t>
        </is>
      </c>
      <c r="D30" s="7" t="n">
        <v>0</v>
      </c>
      <c r="E30" s="8" t="n"/>
      <c r="F30" s="8" t="n"/>
    </row>
    <row r="31">
      <c r="A31" s="6" t="inlineStr">
        <is>
          <t>Superficie clasificada MSAVI 2024 (ha)</t>
        </is>
      </c>
      <c r="B31" s="37" t="n">
        <v>22.388</v>
      </c>
      <c r="C31" s="6" t="inlineStr">
        <is>
          <t>Desviación MSAVI frente al catálogo (%)</t>
        </is>
      </c>
      <c r="D31" s="38" t="n">
        <v>-0.01</v>
      </c>
      <c r="E31" s="8" t="n"/>
      <c r="F31" s="8" t="n"/>
    </row>
    <row r="32">
      <c r="A32" s="6" t="inlineStr">
        <is>
          <t>Superficie bajo umbral MSAVI 0.4976 (ha)</t>
        </is>
      </c>
      <c r="B32" s="37" t="n">
        <v>1.09</v>
      </c>
      <c r="C32" s="6" t="inlineStr">
        <is>
          <t>% del bloque bajo umbral (brecha espectral)</t>
        </is>
      </c>
      <c r="D32" s="38" t="n">
        <v>4.87</v>
      </c>
      <c r="E32" s="8" t="n"/>
      <c r="F32" s="8" t="n"/>
    </row>
    <row r="33">
      <c r="A33" s="6" t="inlineStr">
        <is>
          <t>Clase DN dominante (MSAVI 2024)</t>
        </is>
      </c>
      <c r="B33" s="7" t="inlineStr">
        <is>
          <t>DN 5 · &gt; 0.6139 (Vigor alto)</t>
        </is>
      </c>
      <c r="C33" s="6" t="inlineStr">
        <is>
          <t>N.° de polígonos MSAVI del bloque</t>
        </is>
      </c>
      <c r="D33" s="39" t="n">
        <v>68</v>
      </c>
      <c r="E33" s="8" t="n"/>
      <c r="F33" s="8" t="n"/>
    </row>
    <row r="34"/>
    <row r="35" ht="18" customHeight="1">
      <c r="A35" s="5" t="inlineStr">
        <is>
          <t>4. ECOSISTEMA Y ESTADO DE CONSERVACIÓN</t>
        </is>
      </c>
    </row>
    <row r="36">
      <c r="A36" s="6" t="inlineStr">
        <is>
          <t>Tipo de ecosistema (UP)</t>
        </is>
      </c>
      <c r="B36" s="7" t="inlineStr">
        <is>
          <t>Matorral Andino subhúmedo (adscripción preliminar)</t>
        </is>
      </c>
      <c r="C36" s="6" t="inlineStr">
        <is>
          <t>Superficie de ecosistema (ha)</t>
        </is>
      </c>
      <c r="D36" s="7" t="inlineStr">
        <is>
          <t>22.39 ha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inlineStr">
        <is>
          <t>Por determinar</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determinar (prellenado de gabinete SESDI)</t>
        </is>
      </c>
      <c r="C44" s="6" t="inlineStr">
        <is>
          <t>Fecha de evaluación</t>
        </is>
      </c>
      <c r="D44" s="7" t="inlineStr">
        <is>
          <t>2026-09-05 (gabinete) — reconocimiento de campo 19-08-2026</t>
        </is>
      </c>
      <c r="E44" s="8" t="n"/>
      <c r="F44" s="8" t="n"/>
    </row>
    <row r="45">
      <c r="A45" s="6" t="inlineStr">
        <is>
          <t>Hora de registro</t>
        </is>
      </c>
      <c r="B45" s="7" t="inlineStr">
        <is>
          <t>09:20 - 10:05 h</t>
        </is>
      </c>
      <c r="C45" s="6" t="inlineStr">
        <is>
          <t>Correlativo de ficha</t>
        </is>
      </c>
      <c r="D45" s="7" t="inlineStr">
        <is>
          <t>F-DT-01/70/2026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(prellenado de gabinete)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ganadera sin ordenamiento de carga ni clausura, sobre una unidad de cabecera de microcuenca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12.8653</v>
      </c>
      <c r="C10" s="30">
        <f>ROUND(B10/$B$15*100,2)</f>
        <v>57.47</v>
      </c>
      <c r="D10" s="12" t="inlineStr">
        <is>
          <t>Vigor alto</t>
        </is>
      </c>
      <c r="E10" s="12" t="inlineStr">
        <is>
          <t>Sobre umbral</t>
        </is>
      </c>
    </row>
    <row r="11">
      <c r="A11" s="13" t="inlineStr">
        <is>
          <t>0.4976 - 0.6139 · DN 4</t>
        </is>
      </c>
      <c r="B11" s="20" t="n">
        <v>8.4328</v>
      </c>
      <c r="C11" s="21">
        <f>ROUND(B11/$B$15*100,2)</f>
        <v>37.67</v>
      </c>
      <c r="D11" s="14" t="inlineStr">
        <is>
          <t>Vigor moderado</t>
        </is>
      </c>
      <c r="E11" s="14" t="inlineStr">
        <is>
          <t>Sobre umbral</t>
        </is>
      </c>
    </row>
    <row r="12">
      <c r="A12" s="7" t="inlineStr">
        <is>
          <t>0.3813 - 0.4976 · DN 3</t>
        </is>
      </c>
      <c r="B12" s="18" t="n">
        <v>1.0898</v>
      </c>
      <c r="C12" s="19">
        <f>ROUND(B12/$B$15*100,2)</f>
        <v>4.87</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2" t="inlineStr">
        <is>
          <t>TOTAL CLASIFICADO MSAVI 2024</t>
        </is>
      </c>
      <c r="B15" s="43">
        <f>SUM(B10:B14)</f>
        <v>22.3879</v>
      </c>
      <c r="C15" s="44">
        <f>SUM(C10:C14)</f>
        <v>100.01</v>
      </c>
      <c r="D15" s="42" t="inlineStr">
        <is>
          <t>Suma de la distribución areal · 68 polígonos</t>
        </is>
      </c>
      <c r="E15" s="42" t="inlineStr">
        <is>
          <t>—</t>
        </is>
      </c>
    </row>
    <row r="16" ht="30" customHeight="1">
      <c r="A16" s="45" t="inlineStr">
        <is>
          <t>Superficie SOBRE umbral 0.4976 (ha)</t>
        </is>
      </c>
      <c r="B16" s="46">
        <f>SUM(B10:B11)</f>
        <v>21.2981</v>
      </c>
      <c r="C16" s="47">
        <f>ROUND(B16/B15*100,2)</f>
        <v>95.13</v>
      </c>
      <c r="D16" s="45" t="inlineStr">
        <is>
          <t>Vigor alto y moderado (DN 4 y DN 5)</t>
        </is>
      </c>
      <c r="E16" s="45" t="inlineStr">
        <is>
          <t>Sobre umbral 0.4976</t>
        </is>
      </c>
    </row>
    <row r="17" ht="30" customHeight="1">
      <c r="A17" s="45" t="inlineStr">
        <is>
          <t>Superficie BAJO umbral 0.4976 (ha) — brecha</t>
        </is>
      </c>
      <c r="B17" s="46">
        <f>SUM(B12:B14)</f>
        <v>1.0898</v>
      </c>
      <c r="C17" s="47">
        <f>ROUND(B17/B15*100,2)</f>
        <v>4.87</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22.39</v>
      </c>
      <c r="C18" s="48" t="inlineStr">
        <is>
          <t>—</t>
        </is>
      </c>
      <c r="D18" s="45" t="inlineStr">
        <is>
          <t>Desviación planimétrica frente al catálogo</t>
        </is>
      </c>
      <c r="E18" s="45" t="inlineStr">
        <is>
          <t>-0.01 %</t>
        </is>
      </c>
    </row>
    <row r="19">
      <c r="A19" s="16" t="inlineStr">
        <is>
          <t>MSAVI 2024 — MEDIA DEL BLOQUE</t>
        </is>
      </c>
      <c r="B19" s="17" t="n">
        <v>0.622295</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(0.6223)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22.0293</v>
      </c>
      <c r="C25" s="19" t="n">
        <v>98.39</v>
      </c>
      <c r="D25" s="15" t="inlineStr">
        <is>
          <t>Dosel continuo, matorral denso o mosaico agroforestal</t>
        </is>
      </c>
      <c r="E25" s="15" t="inlineStr"/>
    </row>
    <row r="26">
      <c r="A26" s="13" t="inlineStr">
        <is>
          <t>Vegetación mediana</t>
        </is>
      </c>
      <c r="B26" s="20" t="n">
        <v>0.3612</v>
      </c>
      <c r="C26" s="21" t="n">
        <v>1.61</v>
      </c>
      <c r="D26" s="14" t="inlineStr">
        <is>
          <t>Pastizal cultivado, matorral ralo, parcelas agrícolas</t>
        </is>
      </c>
      <c r="E26" s="14" t="inlineStr"/>
    </row>
    <row r="27">
      <c r="A27" s="16" t="inlineStr">
        <is>
          <t>TOTAL CLASIFICADO</t>
        </is>
      </c>
      <c r="B27" s="22">
        <f>SUM(B25:B26)</f>
        <v>22.3905</v>
      </c>
      <c r="C27" s="23">
        <f>SUM(C25:C26)</f>
        <v>100.0</v>
      </c>
      <c r="D27" s="17" t="inlineStr"/>
      <c r="E27" s="17" t="inlineStr"/>
    </row>
    <row r="28">
      <c r="A28" s="24" t="inlineStr">
        <is>
          <t>Superficie de catálogo (V5/V6)</t>
        </is>
      </c>
      <c r="B28" s="25" t="n">
        <v>22.39</v>
      </c>
      <c r="C28" s="25" t="inlineStr">
        <is>
          <t>—</t>
        </is>
      </c>
      <c r="D28" s="25" t="inlineStr">
        <is>
          <t>Desviación planimétrica frente al catálogo</t>
        </is>
      </c>
      <c r="E28" s="25" t="inlineStr">
        <is>
          <t>+0.00 %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98.39 % del polígono clasificado como «Vegetación alta» por el NDVI 2025; la observación de campo corresponde a una parcela o recorrido puntual y no es estadísticamente representativa de las 22.390 ha del bloque.</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70</t>
        </is>
      </c>
    </row>
    <row r="6" ht="24" customHeight="1">
      <c r="A6" s="4" t="inlineStr">
        <is>
          <t>Levantamiento del 2026-09-05 (gabinete) — reconocimiento de campo 19-08-2026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21307.1</v>
      </c>
      <c r="F10" s="15" t="inlineStr"/>
      <c r="G10" s="15"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666781</v>
      </c>
      <c r="C13" s="6" t="inlineStr">
        <is>
          <t>Centroide del bloque — UTM NORTE (m)</t>
        </is>
      </c>
      <c r="D13" s="7" t="n">
        <v>9395573</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5"/>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NINGUNA FICHA F-DT FUE DILIGENCIADA EN CAMPO el 19-08-2026; el reconocimiento consistió en recorrido con registro fotográfico georreferenciado. Pendiente promedio zonal (MDE) 23.20% ≈ 13.05°; rango altitudinal 2 326-2 536 msnm (amplitud 210 m). Escarpes activos: no observados; los taludes de corte del camino se localizan FUERA del polígono. Reptación: SÍ — terracillas de pisoteo de ganado paralelas a la curva de nivel (estación E-04), indicio de reptación superficial asociada a sobrepastoreo. Afloramientos rocosos verificados en el talud de la vía (E-05). ATENCIÓN: el registro consigna UTM Este 645 575 (valor por defecto de la plantilla), distinto del centroide de catálogo 666 781 E · 9 395 570 N.</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70</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7" t="n">
        <v>103.62</v>
      </c>
      <c r="C10" s="19" t="n">
        <v>21.54</v>
      </c>
      <c r="D10" s="15" t="inlineStr">
        <is>
          <t>1218 – 1904</t>
        </is>
      </c>
      <c r="E10" s="15" t="n">
        <v>686</v>
      </c>
      <c r="F10" s="15" t="n">
        <v>28.7</v>
      </c>
      <c r="G10" s="18" t="n">
        <v>0.6402</v>
      </c>
      <c r="H10" s="19" t="n">
        <v>96.64</v>
      </c>
      <c r="I10" s="19" t="n">
        <v>3</v>
      </c>
    </row>
    <row r="11">
      <c r="A11" s="13" t="inlineStr">
        <is>
          <t>19</t>
        </is>
      </c>
      <c r="B11" s="28" t="n">
        <v>82.09</v>
      </c>
      <c r="C11" s="21" t="n">
        <v>17.06</v>
      </c>
      <c r="D11" s="14" t="inlineStr">
        <is>
          <t>2064 – 2503</t>
        </is>
      </c>
      <c r="E11" s="14" t="n">
        <v>439</v>
      </c>
      <c r="F11" s="14" t="n">
        <v>31.01</v>
      </c>
      <c r="G11" s="20" t="n">
        <v>0.5372</v>
      </c>
      <c r="H11" s="21" t="n">
        <v>60.33</v>
      </c>
      <c r="I11" s="21" t="n">
        <v>42.63</v>
      </c>
    </row>
    <row r="12">
      <c r="A12" s="7" t="inlineStr">
        <is>
          <t>41</t>
        </is>
      </c>
      <c r="B12" s="27" t="n">
        <v>64.92</v>
      </c>
      <c r="C12" s="19" t="n">
        <v>13.49</v>
      </c>
      <c r="D12" s="15" t="inlineStr">
        <is>
          <t>1536 – 1818</t>
        </is>
      </c>
      <c r="E12" s="15" t="n">
        <v>282</v>
      </c>
      <c r="F12" s="15" t="n">
        <v>25.53</v>
      </c>
      <c r="G12" s="18" t="n">
        <v>0.5927</v>
      </c>
      <c r="H12" s="19" t="n">
        <v>98.02</v>
      </c>
      <c r="I12" s="19" t="n">
        <v>12.26</v>
      </c>
    </row>
    <row r="13">
      <c r="A13" s="13" t="inlineStr">
        <is>
          <t>73</t>
        </is>
      </c>
      <c r="B13" s="28" t="n">
        <v>54.29</v>
      </c>
      <c r="C13" s="21" t="n">
        <v>11.28</v>
      </c>
      <c r="D13" s="14" t="inlineStr">
        <is>
          <t>1845 – 2305</t>
        </is>
      </c>
      <c r="E13" s="14" t="n">
        <v>460</v>
      </c>
      <c r="F13" s="14" t="n">
        <v>36.34</v>
      </c>
      <c r="G13" s="20" t="n">
        <v>0.555</v>
      </c>
      <c r="H13" s="21" t="n">
        <v>88.8</v>
      </c>
      <c r="I13" s="21" t="n">
        <v>18.94</v>
      </c>
    </row>
    <row r="14">
      <c r="A14" s="7" t="inlineStr">
        <is>
          <t>31</t>
        </is>
      </c>
      <c r="B14" s="27" t="n">
        <v>47.58</v>
      </c>
      <c r="C14" s="19" t="n">
        <v>9.890000000000001</v>
      </c>
      <c r="D14" s="15" t="inlineStr">
        <is>
          <t>1741 – 2234</t>
        </is>
      </c>
      <c r="E14" s="15" t="n">
        <v>493</v>
      </c>
      <c r="F14" s="15" t="n">
        <v>27.08</v>
      </c>
      <c r="G14" s="18" t="n">
        <v>0.4358</v>
      </c>
      <c r="H14" s="19" t="n">
        <v>18.56</v>
      </c>
      <c r="I14" s="19" t="n">
        <v>78.42</v>
      </c>
    </row>
    <row r="15">
      <c r="A15" s="13" t="inlineStr">
        <is>
          <t>29</t>
        </is>
      </c>
      <c r="B15" s="28" t="n">
        <v>40.1</v>
      </c>
      <c r="C15" s="21" t="n">
        <v>8.33</v>
      </c>
      <c r="D15" s="14" t="inlineStr">
        <is>
          <t>2142 – 2391</t>
        </is>
      </c>
      <c r="E15" s="14" t="n">
        <v>249</v>
      </c>
      <c r="F15" s="14" t="n">
        <v>31.54</v>
      </c>
      <c r="G15" s="20" t="n">
        <v>0.5482</v>
      </c>
      <c r="H15" s="21" t="inlineStr">
        <is>
          <t>Por determinar</t>
        </is>
      </c>
      <c r="I15" s="14" t="inlineStr">
        <is>
          <t>s/d</t>
        </is>
      </c>
    </row>
    <row r="16">
      <c r="A16" s="11" t="inlineStr">
        <is>
          <t>► 70</t>
        </is>
      </c>
      <c r="B16" s="29" t="n">
        <v>22.39</v>
      </c>
      <c r="C16" s="30" t="n">
        <v>4.65</v>
      </c>
      <c r="D16" s="12" t="inlineStr">
        <is>
          <t>2326 – 2536</t>
        </is>
      </c>
      <c r="E16" s="12" t="n">
        <v>210</v>
      </c>
      <c r="F16" s="12" t="n">
        <v>23.2</v>
      </c>
      <c r="G16" s="31" t="n">
        <v>0.6223</v>
      </c>
      <c r="H16" s="30" t="n">
        <v>98.39</v>
      </c>
      <c r="I16" s="30" t="n">
        <v>4.87</v>
      </c>
    </row>
    <row r="17">
      <c r="A17" s="13" t="inlineStr">
        <is>
          <t>68</t>
        </is>
      </c>
      <c r="B17" s="28" t="n">
        <v>21.29</v>
      </c>
      <c r="C17" s="21" t="n">
        <v>4.42</v>
      </c>
      <c r="D17" s="14" t="inlineStr">
        <is>
          <t>2086 – 2374</t>
        </is>
      </c>
      <c r="E17" s="14" t="n">
        <v>288</v>
      </c>
      <c r="F17" s="14" t="n">
        <v>36.81</v>
      </c>
      <c r="G17" s="20" t="n">
        <v>0.483</v>
      </c>
      <c r="H17" s="21" t="inlineStr">
        <is>
          <t>Por determinar</t>
        </is>
      </c>
      <c r="I17" s="14" t="inlineStr">
        <is>
          <t>s/d</t>
        </is>
      </c>
    </row>
    <row r="18">
      <c r="A18" s="7" t="inlineStr">
        <is>
          <t>69</t>
        </is>
      </c>
      <c r="B18" s="27" t="n">
        <v>19.43</v>
      </c>
      <c r="C18" s="19" t="n">
        <v>4.04</v>
      </c>
      <c r="D18" s="15" t="inlineStr">
        <is>
          <t>1931 – 2205</t>
        </is>
      </c>
      <c r="E18" s="15" t="n">
        <v>274</v>
      </c>
      <c r="F18" s="15" t="n">
        <v>27.95</v>
      </c>
      <c r="G18" s="18" t="n">
        <v>0.4489</v>
      </c>
      <c r="H18" s="19" t="n">
        <v>22.92</v>
      </c>
      <c r="I18" s="19" t="n">
        <v>81.28</v>
      </c>
    </row>
    <row r="19">
      <c r="A19" s="13" t="inlineStr">
        <is>
          <t>53</t>
        </is>
      </c>
      <c r="B19" s="28" t="n">
        <v>13.06</v>
      </c>
      <c r="C19" s="21" t="n">
        <v>2.71</v>
      </c>
      <c r="D19" s="14" t="inlineStr">
        <is>
          <t>2235 – 2540</t>
        </is>
      </c>
      <c r="E19" s="14" t="n">
        <v>305</v>
      </c>
      <c r="F19" s="14" t="n">
        <v>26.89</v>
      </c>
      <c r="G19" s="20" t="n">
        <v>0.5963000000000001</v>
      </c>
      <c r="H19" s="21" t="n">
        <v>86.15000000000001</v>
      </c>
      <c r="I19" s="21" t="n">
        <v>12.45</v>
      </c>
    </row>
    <row r="20">
      <c r="A20" s="7" t="inlineStr">
        <is>
          <t>72</t>
        </is>
      </c>
      <c r="B20" s="27" t="n">
        <v>12.4</v>
      </c>
      <c r="C20" s="19" t="n">
        <v>2.58</v>
      </c>
      <c r="D20" s="15" t="inlineStr">
        <is>
          <t>1538 – 1742</t>
        </is>
      </c>
      <c r="E20" s="15" t="n">
        <v>204</v>
      </c>
      <c r="F20" s="15" t="n">
        <v>28.25</v>
      </c>
      <c r="G20" s="18" t="n">
        <v>0.5185</v>
      </c>
      <c r="H20" s="19" t="n">
        <v>92.44</v>
      </c>
      <c r="I20" s="19" t="n">
        <v>41.35</v>
      </c>
    </row>
    <row r="21">
      <c r="A21" s="16" t="inlineStr">
        <is>
          <t>TOTAL / PROMEDIO</t>
        </is>
      </c>
      <c r="B21" s="32">
        <f>SUM(B10:B20)</f>
        <v>481.17</v>
      </c>
      <c r="C21" s="23">
        <f>SUM(C10:C20)</f>
        <v>99.99</v>
      </c>
      <c r="D21" s="17" t="inlineStr">
        <is>
          <t>1218 – 2540</t>
        </is>
      </c>
      <c r="E21" s="17" t="inlineStr"/>
      <c r="F21" s="17">
        <f>ROUND(AVERAGE(F10:F20),2)</f>
        <v>29.39</v>
      </c>
      <c r="G21" s="22">
        <f>ROUND(AVERAGE(G10:G20),4)</f>
        <v>0.5435</v>
      </c>
      <c r="H21" s="23">
        <f>ROUND(AVERAGE(H10:H20),2)</f>
        <v>73.58</v>
      </c>
      <c r="I21" s="23">
        <f>ROUND(AVERAGE(I10:I20),2)</f>
        <v>32.8</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0" t="n"/>
      <c r="C22" s="40" t="n"/>
      <c r="D22" s="40" t="n"/>
      <c r="E22" s="40" t="n"/>
      <c r="F22" s="40" t="n"/>
      <c r="G22" s="40" t="n"/>
      <c r="H22" s="41" t="n"/>
    </row>
    <row r="23"/>
    <row r="24" ht="84" customHeight="1">
      <c r="A24" s="9" t="inlineStr">
        <is>
          <t>LECTURA INTRAMICROCUENCA. El bloque 70 ocupa el puesto 7 de 11 por superficie dentro de la microcuenca C1076-Q9592 (4.65 % de las 481.17 ha preliminares de la microcuenca). Su pendiente promedio (23.20 %, clase «15-25% (Fuert. inclinado)») es la 1.ª más baja de 11 y se sitúa por debajo del promedio de la microcuenca (29.39 %). Su MSAVI 2024 (0.6223) es el 2.º de 11 y queda por encima del promedio local (0.5435). Amplitud altitudinal del bloque: 210 m (2326–2536 msnm). El cuadro conserva todos los bloques catalogados en la microcuenca, incluidos los descartados en el tamizaje, para referencia del conjunto. Los bloques sin ficha DT figuran con sus parámetros de gabinete. BRECHA ESPECTRAL. El 4.87 % de la superficie del bloque (1.090 ha de 22.388 ha) se sitúa bajo el umbral MSAVI 0.4976, por debajo del promedio local de la microcuenca (32.80 %) calculado sobre los bloques con dato MSAVI disponible.</t>
        </is>
      </c>
      <c r="B24" s="40" t="n"/>
      <c r="C24" s="40" t="n"/>
      <c r="D24" s="40" t="n"/>
      <c r="E24" s="40" t="n"/>
      <c r="F24" s="40" t="n"/>
      <c r="G24" s="40" t="n"/>
      <c r="H24" s="41"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0" t="n"/>
      <c r="C26" s="40" t="n"/>
      <c r="D26" s="40" t="n"/>
      <c r="E26" s="40" t="n"/>
      <c r="F26" s="40" t="n"/>
      <c r="G26" s="40" t="n"/>
      <c r="H26" s="41"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«C1076-Q9592»</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21,307 m del centroide de catálogo (666781 E / 9395573 N), distancia incompatible con la superficie del bloque (22.39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(22.390 ha) coincide con la de catálogo (22.39 ha) dentro del ±2 % (+0.00 %)</t>
        </is>
      </c>
      <c r="D12" s="34" t="inlineStr">
        <is>
          <t>CONFORME</t>
        </is>
      </c>
      <c r="E12" s="33" t="inlineStr">
        <is>
          <t>Sin acción: la segmentación valida la geometría del bloque.</t>
        </is>
      </c>
    </row>
    <row r="13" ht="48" customHeight="1">
      <c r="A13" s="35" t="inlineStr">
        <is>
          <t>D-04</t>
        </is>
      </c>
      <c r="B13" s="35" t="inlineStr">
        <is>
          <t>Inventario georreferenciado de cárcavas</t>
        </is>
      </c>
      <c r="C13" s="35" t="inlineStr">
        <is>
          <t>El inventario de cárcavas no fue ejecutado o no consta en la ficha DT</t>
        </is>
      </c>
      <c r="D13" s="36" t="inlineStr">
        <is>
          <t>SUSTANTIVA</t>
        </is>
      </c>
      <c r="E13" s="35"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3" t="inlineStr">
        <is>
          <t>D-05</t>
        </is>
      </c>
      <c r="B14" s="33" t="inlineStr">
        <is>
          <t>Representatividad del levantamiento</t>
        </is>
      </c>
      <c r="C14" s="33" t="inlineStr">
        <is>
          <t>Ninguna de las estaciones fotográficas georreferenciadas se localiza dentro del polígono del bloque</t>
        </is>
      </c>
      <c r="D14" s="36" t="inlineStr">
        <is>
          <t>SUSTANTIVA</t>
        </is>
      </c>
      <c r="E14" s="33" t="inlineStr">
        <is>
          <t>La verificación documenta el perímetro y la vista panorámica del bloque, no su interior. Los parámetros que exigen recorrido interno se consignan «Por determinar».</t>
        </is>
      </c>
    </row>
    <row r="15" ht="48" customHeight="1">
      <c r="A15" s="35" t="inlineStr">
        <is>
          <t>D-06</t>
        </is>
      </c>
      <c r="B15" s="35" t="inlineStr">
        <is>
          <t>Centro poblado asociado</t>
        </is>
      </c>
      <c r="C15" s="35" t="inlineStr">
        <is>
          <t>La ficha DT declara «Zururán»; el cruce INEI-Bloques V5 identifica 1 centro(s) poblado(s) en el bloque: ZURURAN</t>
        </is>
      </c>
      <c r="D15" s="12" t="inlineStr">
        <is>
          <t>NO SUSTANTIVA</t>
        </is>
      </c>
      <c r="E15" s="35" t="inlineStr">
        <is>
          <t>Se conserva el registro de campo como referencia y se adopta el listado INEI para el diagnóstico social y el cálculo de población beneficiaria.</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Fichas F-DT-01 a F-DT-05</t>
        </is>
      </c>
      <c r="C17" s="35" t="inlineStr">
        <is>
          <t>NINGUNA ficha fue diligenciada en campo el 19-08-2026: todo el contenido es prellenado de gabinete a partir de fotografías georreferenciadas y cartografía temática</t>
        </is>
      </c>
      <c r="D17" s="36" t="inlineStr">
        <is>
          <t>SUSTANTIVA</t>
        </is>
      </c>
      <c r="E17" s="35" t="inlineStr">
        <is>
          <t>Levantamiento de campo pendiente en su totalidad</t>
        </is>
      </c>
    </row>
    <row r="18" ht="48" customHeight="1">
      <c r="A18" s="33" t="inlineStr">
        <is>
          <t>D-09</t>
        </is>
      </c>
      <c r="B18" s="33" t="inlineStr">
        <is>
          <t>Ficha DT</t>
        </is>
      </c>
      <c r="C18" s="33" t="inlineStr">
        <is>
          <t>UTM Este 645 575 corresponde al valor por defecto de la plantilla; el centroide de catálogo es 666 781 E · 9 395 570 N</t>
        </is>
      </c>
      <c r="D18" s="36" t="inlineStr">
        <is>
          <t>SUSTANTIVA</t>
        </is>
      </c>
      <c r="E18" s="33" t="inlineStr">
        <is>
          <t>Georreferencia por reponer</t>
        </is>
      </c>
    </row>
    <row r="19" ht="48" customHeight="1">
      <c r="A19" s="35" t="inlineStr">
        <is>
          <t>D-10</t>
        </is>
      </c>
      <c r="B19" s="35" t="inlineStr">
        <is>
          <t>F-DT-02</t>
        </is>
      </c>
      <c r="C19" s="35" t="inlineStr">
        <is>
          <t>Inventario de cárcavas no ejecutado</t>
        </is>
      </c>
      <c r="D19" s="36" t="inlineStr">
        <is>
          <t>SUSTANTIVA</t>
        </is>
      </c>
      <c r="E19" s="35" t="inlineStr">
        <is>
          <t>La ausencia de registros no equivale a ausencia verificada</t>
        </is>
      </c>
    </row>
    <row r="20" ht="48" customHeight="1">
      <c r="A20" s="33" t="inlineStr">
        <is>
          <t>D-11</t>
        </is>
      </c>
      <c r="B20" s="33" t="inlineStr">
        <is>
          <t>F-DT-03</t>
        </is>
      </c>
      <c r="C20" s="33" t="inlineStr">
        <is>
          <t>5 de los 15 registros florísticos carecen de género; ningún binomio confirmado taxonómicamente</t>
        </is>
      </c>
      <c r="D20" s="36" t="inlineStr">
        <is>
          <t>SUSTANTIVA</t>
        </is>
      </c>
      <c r="E20" s="33" t="inlineStr">
        <is>
          <t>Colecta y determinación botánica pendientes</t>
        </is>
      </c>
    </row>
    <row r="21" ht="48" customHeight="1">
      <c r="A21" s="35" t="inlineStr">
        <is>
          <t>D-12</t>
        </is>
      </c>
      <c r="B21" s="35" t="inlineStr">
        <is>
          <t>F-DT-03</t>
        </is>
      </c>
      <c r="C21" s="35" t="inlineStr">
        <is>
          <t>Adscripción a Matorral Andino subhúmedo preliminar</t>
        </is>
      </c>
      <c r="D21" s="12" t="inlineStr">
        <is>
          <t>NO SUSTANTIVA</t>
        </is>
      </c>
      <c r="E21" s="35" t="inlineStr">
        <is>
          <t>Verificar por intersección con la capa nacional de ecosistemas del MINAM</t>
        </is>
      </c>
    </row>
    <row r="22" ht="48" customHeight="1">
      <c r="A22" s="33" t="inlineStr">
        <is>
          <t>D-13</t>
        </is>
      </c>
      <c r="B22" s="33" t="inlineStr">
        <is>
          <t>F-DT-04</t>
        </is>
      </c>
      <c r="C22" s="33" t="inlineStr">
        <is>
          <t>Diez causas no consignadas quedan SIN VERIFICAR</t>
        </is>
      </c>
      <c r="D22" s="36" t="inlineStr">
        <is>
          <t>SUSTANTIVA</t>
        </is>
      </c>
      <c r="E22" s="33" t="inlineStr">
        <is>
          <t>No interpretar como ausencia</t>
        </is>
      </c>
    </row>
    <row r="23" ht="48" customHeight="1">
      <c r="A23" s="35" t="inlineStr">
        <is>
          <t>D-14</t>
        </is>
      </c>
      <c r="B23" s="35" t="inlineStr">
        <is>
          <t>F-DT-05</t>
        </is>
      </c>
      <c r="C23" s="35" t="inlineStr">
        <is>
          <t>Inventario de fuentes de agua vacío; JASS, captación, señal, tiempos, alojamiento y Ronda no levantados</t>
        </is>
      </c>
      <c r="D23" s="36" t="inlineStr">
        <is>
          <t>SUSTANTIVA</t>
        </is>
      </c>
      <c r="E23" s="35" t="inlineStr">
        <is>
          <t>Pendientes de la siguiente salida</t>
        </is>
      </c>
    </row>
    <row r="24" ht="48" customHeight="1">
      <c r="A24" s="35" t="inlineStr">
        <is>
          <t>D-15</t>
        </is>
      </c>
      <c r="B24" s="35" t="inlineStr">
        <is>
          <t>Distribución areal MSAVI 2024</t>
        </is>
      </c>
      <c r="C24" s="35" t="inlineStr">
        <is>
          <t>La distribución por clase de MSAVI no figuraba en los insumos del entregable y se consignaba «Por determinar»; se incorpora la estadística zonal del ráster MSAVI clasificado (68 polígonos, 22.388 ha)</t>
        </is>
      </c>
      <c r="D24" s="36" t="inlineStr">
        <is>
          <t>CORREGIDO</t>
        </is>
      </c>
      <c r="E24"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5" t="inlineStr">
        <is>
          <t>D-16</t>
        </is>
      </c>
      <c r="B25" s="35" t="inlineStr">
        <is>
          <t>Superficie MSAVI vs. catálogo</t>
        </is>
      </c>
      <c r="C25" s="35" t="inlineStr">
        <is>
          <t>La superficie total clasificada por el MSAVI 2024 (22.388 ha) frente a la de catálogo V5/V6 (22.390 ha): desviación de -0.01 %</t>
        </is>
      </c>
      <c r="D25" s="36" t="inlineStr">
        <is>
          <t>CONFORME</t>
        </is>
      </c>
      <c r="E25" s="35" t="inlineStr">
        <is>
          <t>Sin acción: la segmentación del ráster valida la geometría del bloque dentro del ±2 %.</t>
        </is>
      </c>
    </row>
    <row r="26" ht="48" customHeight="1">
      <c r="A26" s="35" t="inlineStr">
        <is>
          <t>D-17</t>
        </is>
      </c>
      <c r="B26" s="35" t="inlineStr">
        <is>
          <t>Media MSAVI vs. clase DN dominante</t>
        </is>
      </c>
      <c r="C26" s="35" t="inlineStr">
        <is>
          <t>La media del bloque (0.6223) cae en la clase «DN 5 · &gt; 0.6139 (Vigor alto)»; la clase de mayor superficie es «DN 5 · &gt; 0.6139 (Vigor alto)», con 57.47 % del bloque. Superficie bajo el umbral 0.4976: 1.090 ha (4.87 %)</t>
        </is>
      </c>
      <c r="D26" s="36" t="inlineStr">
        <is>
          <t>CONFORME</t>
        </is>
      </c>
      <c r="E26" s="35" t="inlineStr">
        <is>
          <t>Sin acción: la media del bloque y la clase de mayor superficie coinciden.</t>
        </is>
      </c>
    </row>
    <row r="27"/>
    <row r="28">
      <c r="A28" s="16" t="inlineStr">
        <is>
          <t>RESUMEN</t>
        </is>
      </c>
      <c r="B28" s="17" t="inlineStr">
        <is>
          <t>17 verificaciones</t>
        </is>
      </c>
      <c r="C28" s="17" t="inlineStr">
        <is>
          <t>CONFORME: 4 · CORREGIDO: 1 · NO SUSTANTIVA: 2 · SUSTANTIVA: 10</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0" t="n"/>
      <c r="C30" s="40" t="n"/>
      <c r="D30" s="40" t="n"/>
      <c r="E30" s="41"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70 — IN Piura</dc:title>
  <dc:subject>Diagnóstico Territorial por bloque de intervención</dc:subject>
  <dcterms:created xsi:type="dcterms:W3CDTF">2026-09-08T03:39:59Z</dcterms:created>
  <dcterms:modified xsi:type="dcterms:W3CDTF">2026-09-10T00:28:29Z</dcterms:modified>
</cp:coreProperties>
</file>