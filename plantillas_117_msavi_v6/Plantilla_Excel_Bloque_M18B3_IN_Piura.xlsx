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M18B3</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M18B3</t>
        </is>
      </c>
      <c r="C9" s="6" t="inlineStr">
        <is>
          <t>Microcuenca (catálogo)</t>
        </is>
      </c>
      <c r="D9" s="7" t="inlineStr">
        <is>
          <t>C1077-Q9579</t>
        </is>
      </c>
      <c r="E9" s="8" t="n"/>
      <c r="F9" s="8" t="n"/>
    </row>
    <row r="10">
      <c r="A10" s="6" t="inlineStr">
        <is>
          <t>Zona de planificación</t>
        </is>
      </c>
      <c r="B10" s="7" t="inlineStr">
        <is>
          <t>Z07</t>
        </is>
      </c>
      <c r="C10" s="6" t="inlineStr">
        <is>
          <t>Microcuenca declarada en ficha DT</t>
        </is>
      </c>
      <c r="D10" s="7" t="inlineStr">
        <is>
          <t>C1077-Q9579</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Salitral</t>
        </is>
      </c>
      <c r="C12" s="6" t="inlineStr">
        <is>
          <t>Capital distrital</t>
        </is>
      </c>
      <c r="D12" s="7" t="inlineStr">
        <is>
          <t>Salitral</t>
        </is>
      </c>
      <c r="E12" s="8" t="n"/>
      <c r="F12" s="8" t="n"/>
    </row>
    <row r="13">
      <c r="A13" s="6" t="inlineStr">
        <is>
          <t>Centro poblado asociado</t>
        </is>
      </c>
      <c r="B13" s="7" t="inlineStr">
        <is>
          <t>Mangomanguilla / Villa Malacasí</t>
        </is>
      </c>
      <c r="C13" s="6" t="inlineStr">
        <is>
          <t>Comunidad campesina</t>
        </is>
      </c>
      <c r="D13" s="7" t="inlineStr">
        <is>
          <t>No aplica (predios privados; COLINDA CON EL ACP MANGAMANGUILLA)</t>
        </is>
      </c>
      <c r="E13" s="8" t="n"/>
      <c r="F13" s="8" t="n"/>
    </row>
    <row r="14">
      <c r="A14" s="6" t="inlineStr">
        <is>
          <t>Superficie de catálogo (V5/V6), ha</t>
        </is>
      </c>
      <c r="B14" s="7" t="n">
        <v>373.81</v>
      </c>
      <c r="C14" s="6" t="inlineStr">
        <is>
          <t>Fuente de superficie</t>
        </is>
      </c>
      <c r="D14" s="7" t="inlineStr">
        <is>
          <t>Catálogo maestro Bloques V5/V6</t>
        </is>
      </c>
      <c r="E14" s="8" t="n"/>
      <c r="F14" s="8" t="n"/>
    </row>
    <row r="15">
      <c r="A15" s="6" t="inlineStr">
        <is>
          <t>Centroide UTM ESTE (m)</t>
        </is>
      </c>
      <c r="B15" s="7" t="n">
        <v>625311</v>
      </c>
      <c r="C15" s="6" t="inlineStr">
        <is>
          <t>Centroide UTM NORTE (m)</t>
        </is>
      </c>
      <c r="D15" s="7" t="n">
        <v>9412195</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159</v>
      </c>
      <c r="C19" s="6" t="inlineStr">
        <is>
          <t>Altitud máxima (msnm)</t>
        </is>
      </c>
      <c r="D19" s="7" t="n">
        <v>533</v>
      </c>
      <c r="E19" s="8" t="n"/>
      <c r="F19" s="8" t="n"/>
    </row>
    <row r="20">
      <c r="A20" s="6" t="inlineStr">
        <is>
          <t>Amplitud altitudinal (m)</t>
        </is>
      </c>
      <c r="B20" s="7" t="n">
        <v>374</v>
      </c>
      <c r="C20" s="6" t="inlineStr">
        <is>
          <t>Piso altitudinal dominante</t>
        </is>
      </c>
      <c r="D20" s="7" t="inlineStr">
        <is>
          <t>&lt;1000 m (Yunga)</t>
        </is>
      </c>
      <c r="E20" s="8" t="n"/>
      <c r="F20" s="8" t="n"/>
    </row>
    <row r="21">
      <c r="A21" s="6" t="inlineStr">
        <is>
          <t>Pendiente promedio (%)</t>
        </is>
      </c>
      <c r="B21" s="7" t="n">
        <v>21.52</v>
      </c>
      <c r="C21" s="6" t="inlineStr">
        <is>
          <t>Pendiente promedio (grados)</t>
        </is>
      </c>
      <c r="D21" s="7" t="n">
        <v>12.1</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0.3694</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mediana (67.32 %)</t>
        </is>
      </c>
      <c r="E29" s="8" t="n"/>
      <c r="F29" s="8" t="n"/>
    </row>
    <row r="30">
      <c r="A30" s="6" t="inlineStr">
        <is>
          <t>Superficie clasificada NDVI 2025 (ha)</t>
        </is>
      </c>
      <c r="B30" s="7" t="n">
        <v>373.96</v>
      </c>
      <c r="C30" s="6" t="inlineStr">
        <is>
          <t>Desviación frente al catálogo (%)</t>
        </is>
      </c>
      <c r="D30" s="7" t="n">
        <v>0.04</v>
      </c>
      <c r="E30" s="8" t="n"/>
      <c r="F30" s="8" t="n"/>
    </row>
    <row r="31">
      <c r="A31" s="6" t="inlineStr">
        <is>
          <t>Superficie clasificada MSAVI 2024 (ha)</t>
        </is>
      </c>
      <c r="B31" s="39" t="n">
        <v>373.807</v>
      </c>
      <c r="C31" s="6" t="inlineStr">
        <is>
          <t>Desviación MSAVI frente al catálogo (%)</t>
        </is>
      </c>
      <c r="D31" s="40" t="n">
        <v>0</v>
      </c>
      <c r="E31" s="8" t="n"/>
      <c r="F31" s="8" t="n"/>
    </row>
    <row r="32">
      <c r="A32" s="6" t="inlineStr">
        <is>
          <t>Superficie bajo umbral MSAVI 0.4976 (ha)</t>
        </is>
      </c>
      <c r="B32" s="39" t="n">
        <v>367.739</v>
      </c>
      <c r="C32" s="6" t="inlineStr">
        <is>
          <t>% del bloque bajo umbral (brecha espectral)</t>
        </is>
      </c>
      <c r="D32" s="40" t="n">
        <v>98.38</v>
      </c>
      <c r="E32" s="8" t="n"/>
      <c r="F32" s="8" t="n"/>
    </row>
    <row r="33">
      <c r="A33" s="6" t="inlineStr">
        <is>
          <t>Clase DN dominante (MSAVI 2024)</t>
        </is>
      </c>
      <c r="B33" s="7" t="inlineStr">
        <is>
          <t>DN 2 · 0.2650 - 0.3813 (Vigor muy bajo)</t>
        </is>
      </c>
      <c r="C33" s="6" t="inlineStr">
        <is>
          <t>N.° de polígonos MSAVI del bloque</t>
        </is>
      </c>
      <c r="D33" s="41" t="n">
        <v>1239</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373.81 ha (100% del bloque)</t>
        </is>
      </c>
      <c r="E36" s="8" t="n"/>
      <c r="F36" s="8" t="n"/>
    </row>
    <row r="37">
      <c r="A37" s="6" t="inlineStr">
        <is>
          <t>Estado de conservación</t>
        </is>
      </c>
      <c r="B37" s="7" t="inlineStr">
        <is>
          <t>Levemente alterado</t>
        </is>
      </c>
      <c r="C37" s="6" t="inlineStr">
        <is>
          <t>Uso actual dominante del suelo</t>
        </is>
      </c>
      <c r="D37" s="7" t="inlineStr">
        <is>
          <t>Forestal de protección</t>
        </is>
      </c>
      <c r="E37" s="8" t="n"/>
      <c r="F37" s="8" t="n"/>
    </row>
    <row r="38">
      <c r="A38" s="6" t="inlineStr">
        <is>
          <t>Tipo de cobertura dominante</t>
        </is>
      </c>
      <c r="B38" s="7" t="inlineStr">
        <is>
          <t>Bosque ralo (30-70%)</t>
        </is>
      </c>
      <c r="C38" s="6" t="inlineStr">
        <is>
          <t>Cobertura vegetal total — campo (%)</t>
        </is>
      </c>
      <c r="D38" s="7" t="n">
        <v>70</v>
      </c>
      <c r="E38" s="8" t="n"/>
      <c r="F38" s="8" t="n"/>
    </row>
    <row r="39">
      <c r="A39" s="6" t="inlineStr">
        <is>
          <t>Suelo desnudo — campo (%)</t>
        </is>
      </c>
      <c r="B39" s="7" t="n">
        <v>15</v>
      </c>
      <c r="C39" s="6" t="inlineStr">
        <is>
          <t>Regeneración natural</t>
        </is>
      </c>
      <c r="D39" s="7" t="inlineStr">
        <is>
          <t>Regular (10-50 pl./100m²)</t>
        </is>
      </c>
      <c r="E39" s="8" t="n"/>
      <c r="F39" s="8" t="n"/>
    </row>
    <row r="40">
      <c r="A40" s="6" t="inlineStr">
        <is>
          <t>Nivel general de erosión</t>
        </is>
      </c>
      <c r="B40" s="7" t="inlineStr">
        <is>
          <t>Ligera (laminar)</t>
        </is>
      </c>
      <c r="C40" s="6" t="inlineStr">
        <is>
          <t>N.° de cárcavas registradas</t>
        </is>
      </c>
      <c r="D40" s="7" t="n">
        <v>1</v>
      </c>
      <c r="E40" s="8" t="n"/>
      <c r="F40" s="8" t="n"/>
    </row>
    <row r="41">
      <c r="A41" s="6" t="inlineStr">
        <is>
          <t>Elenco florístico (n.° de taxones)</t>
        </is>
      </c>
      <c r="B41" s="7" t="n">
        <v>15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 Cahuas Miller (ANIN-DIME-SESDI) / Ing. Juan Carlos Domínguez Varas</t>
        </is>
      </c>
      <c r="C44" s="6" t="inlineStr">
        <is>
          <t>Fecha de evaluación</t>
        </is>
      </c>
      <c r="D44" s="7" t="inlineStr">
        <is>
          <t>2026-05-21</t>
        </is>
      </c>
      <c r="E44" s="8" t="n"/>
      <c r="F44" s="8" t="n"/>
    </row>
    <row r="45">
      <c r="A45" s="6" t="inlineStr">
        <is>
          <t>Hora de registro</t>
        </is>
      </c>
      <c r="B45" s="7" t="inlineStr">
        <is>
          <t>09:12 - 09:50 h</t>
        </is>
      </c>
      <c r="C45" s="6" t="inlineStr">
        <is>
          <t>Correlativo de ficha</t>
        </is>
      </c>
      <c r="D45" s="7" t="inlineStr">
        <is>
          <t>F-DT-M18B3-01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Sin registro en ficha</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Dependencia económica de las familias del uso extensivo del bosque seco (leña y pastoreo) ante la limitada disponibilidad de alternativas</t>
        </is>
      </c>
      <c r="C51" s="6" t="inlineStr">
        <is>
          <t>Velocidad de degradación</t>
        </is>
      </c>
      <c r="D51" s="7" t="inlineStr">
        <is>
          <t>Lenta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Baja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2" t="n"/>
      <c r="C57" s="42" t="n"/>
      <c r="D57" s="42" t="n"/>
      <c r="E57" s="42" t="n"/>
      <c r="F57" s="43"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M18B3</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0.1067</v>
      </c>
      <c r="C10" s="19">
        <f>ROUND(B10/$B$15*100,2)</f>
        <v>0.03</v>
      </c>
      <c r="D10" s="11" t="inlineStr">
        <is>
          <t>Vigor alto</t>
        </is>
      </c>
      <c r="E10" s="11" t="inlineStr">
        <is>
          <t>Sobre umbral</t>
        </is>
      </c>
    </row>
    <row r="11">
      <c r="A11" s="12" t="inlineStr">
        <is>
          <t>0.4976 - 0.6139 · DN 4</t>
        </is>
      </c>
      <c r="B11" s="20" t="n">
        <v>5.9616</v>
      </c>
      <c r="C11" s="21">
        <f>ROUND(B11/$B$15*100,2)</f>
        <v>1.59</v>
      </c>
      <c r="D11" s="13" t="inlineStr">
        <is>
          <t>Vigor moderado</t>
        </is>
      </c>
      <c r="E11" s="13" t="inlineStr">
        <is>
          <t>Sobre umbral</t>
        </is>
      </c>
    </row>
    <row r="12">
      <c r="A12" s="7" t="inlineStr">
        <is>
          <t>0.3813 - 0.4976 · DN 3</t>
        </is>
      </c>
      <c r="B12" s="18" t="n">
        <v>156.435</v>
      </c>
      <c r="C12" s="19">
        <f>ROUND(B12/$B$15*100,2)</f>
        <v>41.85</v>
      </c>
      <c r="D12" s="11" t="inlineStr">
        <is>
          <t>Vigor bajo</t>
        </is>
      </c>
      <c r="E12" s="11" t="inlineStr">
        <is>
          <t>BAJO umbral 0.4976</t>
        </is>
      </c>
    </row>
    <row r="13">
      <c r="A13" s="14" t="inlineStr">
        <is>
          <t>0.2650 - 0.3813 · DN 2</t>
        </is>
      </c>
      <c r="B13" s="30" t="n">
        <v>193.319</v>
      </c>
      <c r="C13" s="29">
        <f>ROUND(B13/$B$15*100,2)</f>
        <v>51.72</v>
      </c>
      <c r="D13" s="15" t="inlineStr">
        <is>
          <t>Vigor muy bajo</t>
        </is>
      </c>
      <c r="E13" s="15" t="inlineStr">
        <is>
          <t>BAJO umbral 0.4976</t>
        </is>
      </c>
    </row>
    <row r="14">
      <c r="A14" s="7" t="inlineStr">
        <is>
          <t>&lt;= 0.2650 · DN 1</t>
        </is>
      </c>
      <c r="B14" s="18" t="n">
        <v>17.985</v>
      </c>
      <c r="C14" s="19">
        <f>ROUND(B14/$B$15*100,2)</f>
        <v>4.81</v>
      </c>
      <c r="D14" s="11" t="inlineStr">
        <is>
          <t>Suelo desnudo / no vegetal</t>
        </is>
      </c>
      <c r="E14" s="11" t="inlineStr">
        <is>
          <t>BAJO umbral 0.4976</t>
        </is>
      </c>
    </row>
    <row r="15" ht="30" customHeight="1">
      <c r="A15" s="44" t="inlineStr">
        <is>
          <t>TOTAL CLASIFICADO MSAVI 2024</t>
        </is>
      </c>
      <c r="B15" s="45">
        <f>SUM(B10:B14)</f>
        <v>373.8073</v>
      </c>
      <c r="C15" s="46">
        <f>SUM(C10:C14)</f>
        <v>100.0</v>
      </c>
      <c r="D15" s="44" t="inlineStr">
        <is>
          <t>Suma de la distribución areal · 1 239 polígonos</t>
        </is>
      </c>
      <c r="E15" s="44" t="inlineStr">
        <is>
          <t>—</t>
        </is>
      </c>
    </row>
    <row r="16" ht="30" customHeight="1">
      <c r="A16" s="47" t="inlineStr">
        <is>
          <t>Superficie SOBRE umbral 0.4976 (ha)</t>
        </is>
      </c>
      <c r="B16" s="48">
        <f>SUM(B10:B11)</f>
        <v>6.0683</v>
      </c>
      <c r="C16" s="49">
        <f>ROUND(B16/B15*100,2)</f>
        <v>1.62</v>
      </c>
      <c r="D16" s="47" t="inlineStr">
        <is>
          <t>Vigor alto y moderado (DN 4 y DN 5)</t>
        </is>
      </c>
      <c r="E16" s="47" t="inlineStr">
        <is>
          <t>Sobre umbral 0.4976</t>
        </is>
      </c>
    </row>
    <row r="17" ht="30" customHeight="1">
      <c r="A17" s="47" t="inlineStr">
        <is>
          <t>Superficie BAJO umbral 0.4976 (ha) — brecha</t>
        </is>
      </c>
      <c r="B17" s="48">
        <f>SUM(B12:B14)</f>
        <v>367.739</v>
      </c>
      <c r="C17" s="49">
        <f>ROUND(B17/B15*100,2)</f>
        <v>98.38</v>
      </c>
      <c r="D17" s="47" t="inlineStr">
        <is>
          <t>Vigor bajo, muy bajo y suelo desnudo (DN 1 a DN 3)</t>
        </is>
      </c>
      <c r="E17" s="47" t="inlineStr">
        <is>
          <t>Base para el indicador de brecha (R.M. N.° 00213-2024-MINAM)</t>
        </is>
      </c>
    </row>
    <row r="18" ht="30" customHeight="1">
      <c r="A18" s="47" t="inlineStr">
        <is>
          <t>Superficie de catálogo (V5/V6) — contraste MSAVI</t>
        </is>
      </c>
      <c r="B18" s="48" t="n">
        <v>373.81</v>
      </c>
      <c r="C18" s="50" t="inlineStr">
        <is>
          <t>—</t>
        </is>
      </c>
      <c r="D18" s="47" t="inlineStr">
        <is>
          <t>Desviación planimétrica frente al catálogo</t>
        </is>
      </c>
      <c r="E18" s="47" t="inlineStr">
        <is>
          <t>+0.00 %</t>
        </is>
      </c>
    </row>
    <row r="19">
      <c r="A19" s="16" t="inlineStr">
        <is>
          <t>MSAVI 2024 — MEDIA DEL BLOQUE</t>
        </is>
      </c>
      <c r="B19" s="17" t="n">
        <v>0.369424</v>
      </c>
      <c r="C19" s="17" t="inlineStr">
        <is>
          <t>—</t>
        </is>
      </c>
      <c r="D19" s="17" t="inlineStr">
        <is>
          <t>Vigor muy bajo · clase 0.2650 - 0.3813</t>
        </is>
      </c>
      <c r="E19" s="17" t="inlineStr">
        <is>
          <t>BAJO umbral 0.4976</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1 239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(0.3694) se conserva del catálogo maestro y es dato oficial; la fila resaltada indica la clase en la que cae dicha media. Los totales y porcentajes se calculan con fórmulas sobre las filas del cuadro.</t>
        </is>
      </c>
      <c r="B21" s="42" t="n"/>
      <c r="C21" s="42" t="n"/>
      <c r="D21" s="42" t="n"/>
      <c r="E21" s="43"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33.7208</v>
      </c>
      <c r="C25" s="19" t="n">
        <v>9.02</v>
      </c>
      <c r="D25" s="11" t="inlineStr">
        <is>
          <t>Dosel continuo, matorral denso o mosaico agroforestal</t>
        </is>
      </c>
      <c r="E25" s="11" t="inlineStr"/>
    </row>
    <row r="26">
      <c r="A26" s="12" t="inlineStr">
        <is>
          <t>Vegetación mediana</t>
        </is>
      </c>
      <c r="B26" s="20" t="n">
        <v>251.7415</v>
      </c>
      <c r="C26" s="21" t="n">
        <v>67.31999999999999</v>
      </c>
      <c r="D26" s="13" t="inlineStr">
        <is>
          <t>Pastizal cultivado, matorral ralo, parcelas agrícolas</t>
        </is>
      </c>
      <c r="E26" s="13" t="inlineStr"/>
    </row>
    <row r="27">
      <c r="A27" s="7" t="inlineStr">
        <is>
          <t>Vegetación ligera</t>
        </is>
      </c>
      <c r="B27" s="18" t="n">
        <v>87.9127</v>
      </c>
      <c r="C27" s="19" t="n">
        <v>23.51</v>
      </c>
      <c r="D27" s="11" t="inlineStr">
        <is>
          <t>Cobertura discontinua, suelo parcialmente expuesto</t>
        </is>
      </c>
      <c r="E27" s="11" t="inlineStr"/>
    </row>
    <row r="28">
      <c r="A28" s="12" t="inlineStr">
        <is>
          <t>Tierra desnuda</t>
        </is>
      </c>
      <c r="B28" s="20" t="n">
        <v>0.5853</v>
      </c>
      <c r="C28" s="21" t="n">
        <v>0.16</v>
      </c>
      <c r="D28" s="13" t="inlineStr">
        <is>
          <t>Suelo desnudo, afloramientos, plataformas y taludes</t>
        </is>
      </c>
      <c r="E28" s="13" t="inlineStr"/>
    </row>
    <row r="29">
      <c r="A29" s="16" t="inlineStr">
        <is>
          <t>TOTAL CLASIFICADO</t>
        </is>
      </c>
      <c r="B29" s="22">
        <f>SUM(B25:B28)</f>
        <v>373.9603</v>
      </c>
      <c r="C29" s="23">
        <f>SUM(C25:C28)</f>
        <v>100.01</v>
      </c>
      <c r="D29" s="17" t="inlineStr"/>
      <c r="E29" s="17" t="inlineStr"/>
    </row>
    <row r="30">
      <c r="A30" s="24" t="inlineStr">
        <is>
          <t>Superficie de catálogo (V5/V6)</t>
        </is>
      </c>
      <c r="B30" s="25" t="n">
        <v>373.81</v>
      </c>
      <c r="C30" s="25" t="inlineStr">
        <is>
          <t>—</t>
        </is>
      </c>
      <c r="D30" s="25" t="inlineStr">
        <is>
          <t>Desviación planimétrica frente al catálogo</t>
        </is>
      </c>
      <c r="E30" s="25" t="inlineStr">
        <is>
          <t>+0.04 %</t>
        </is>
      </c>
    </row>
    <row r="31"/>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70 % frente a un 9.02 % del polígono clasificado como «Vegetación alta» por el NDVI 2025; la observación de campo corresponde a una parcela o recorrido puntual y no es estadísticamente representativa de las 373.810 ha del bloque.</t>
        </is>
      </c>
      <c r="B32" s="42" t="n"/>
      <c r="C32" s="42" t="n"/>
      <c r="D32" s="42" t="n"/>
      <c r="E32" s="43"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M18B3</t>
        </is>
      </c>
    </row>
    <row r="6" ht="24" customHeight="1">
      <c r="A6" s="4" t="inlineStr">
        <is>
          <t>Levantamiento del 2026-05-21 · Sistema de referencia UTM WGS 84 Zona 17S (EPSG:32717)</t>
        </is>
      </c>
    </row>
    <row r="7"/>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625826</v>
      </c>
      <c r="D10" s="26" t="n">
        <v>9411463</v>
      </c>
      <c r="E10" s="11" t="n">
        <v>895</v>
      </c>
      <c r="F10" s="11" t="inlineStr"/>
      <c r="G10" s="11" t="inlineStr">
        <is>
          <t>Coordenada consignada en F-DT-01</t>
        </is>
      </c>
    </row>
    <row r="11">
      <c r="A11" s="12" t="inlineStr">
        <is>
          <t>C-01</t>
        </is>
      </c>
      <c r="B11" s="13" t="inlineStr">
        <is>
          <t>Rasgo erosivo — Surco (&lt;30 cm) — 15 m, 0.2 m prof., 0.3 m ancho</t>
        </is>
      </c>
      <c r="C11" s="27" t="n">
        <v>625826</v>
      </c>
      <c r="D11" s="27" t="n">
        <v>9411463</v>
      </c>
      <c r="E11" s="13" t="n">
        <v>895</v>
      </c>
      <c r="F11" s="13" t="inlineStr">
        <is>
          <t>Semi-activa</t>
        </is>
      </c>
      <c r="G11" s="13" t="inlineStr">
        <is>
          <t>Sobrepastoreo</t>
        </is>
      </c>
    </row>
    <row r="12">
      <c r="A12" s="7" t="inlineStr">
        <is>
          <t>H-01</t>
        </is>
      </c>
      <c r="B12" s="11" t="inlineStr">
        <is>
          <t>Fuente de agua — Río</t>
        </is>
      </c>
      <c r="C12" s="26" t="n">
        <v>625728</v>
      </c>
      <c r="D12" s="26" t="n">
        <v>9411447</v>
      </c>
      <c r="E12" s="11" t="n">
        <v>856.4</v>
      </c>
      <c r="F12" s="11" t="inlineStr">
        <is>
          <t>Permanente</t>
        </is>
      </c>
      <c r="G12" s="11" t="inlineStr">
        <is>
          <t>Río Piura (Río Seco)</t>
        </is>
      </c>
    </row>
    <row r="13">
      <c r="A13" s="12" t="inlineStr">
        <is>
          <t>H-02</t>
        </is>
      </c>
      <c r="B13" s="13" t="inlineStr">
        <is>
          <t>Fuente de agua — Reservorio / Represa</t>
        </is>
      </c>
      <c r="C13" s="27" t="n">
        <v>625722</v>
      </c>
      <c r="D13" s="27" t="n">
        <v>9411456</v>
      </c>
      <c r="E13" s="13" t="n">
        <v>845.6</v>
      </c>
      <c r="F13" s="13" t="inlineStr">
        <is>
          <t>Estacional</t>
        </is>
      </c>
      <c r="G13" s="13" t="inlineStr">
        <is>
          <t>Reservorio rústico revestido</t>
        </is>
      </c>
    </row>
    <row r="14">
      <c r="A14" s="7" t="inlineStr">
        <is>
          <t>H-03</t>
        </is>
      </c>
      <c r="B14" s="11" t="inlineStr">
        <is>
          <t>Fuente de agua — Reservorio / Represa</t>
        </is>
      </c>
      <c r="C14" s="26" t="n">
        <v>625692</v>
      </c>
      <c r="D14" s="26" t="n">
        <v>9411343</v>
      </c>
      <c r="E14" s="11" t="n">
        <v>933.3</v>
      </c>
      <c r="F14" s="11" t="inlineStr">
        <is>
          <t>Permanente</t>
        </is>
      </c>
      <c r="G14" s="11" t="inlineStr">
        <is>
          <t>Tanque elevado + reservorio (JASS)</t>
        </is>
      </c>
    </row>
    <row r="15">
      <c r="A15" s="16" t="inlineStr">
        <is>
          <t>TOTAL: 5 puntos</t>
        </is>
      </c>
      <c r="B15" s="17" t="inlineStr"/>
      <c r="C15" s="17" t="inlineStr"/>
      <c r="D15" s="17" t="inlineStr"/>
      <c r="E15" s="17" t="inlineStr"/>
      <c r="F15" s="17" t="inlineStr"/>
      <c r="G15" s="17" t="inlineStr"/>
    </row>
    <row r="16"/>
    <row r="17">
      <c r="A17" s="6" t="inlineStr">
        <is>
          <t>Centroide del bloque — UTM ESTE (m)</t>
        </is>
      </c>
      <c r="B17" s="7" t="n">
        <v>625311</v>
      </c>
      <c r="C17" s="6" t="inlineStr">
        <is>
          <t>Centroide del bloque — UTM NORTE (m)</t>
        </is>
      </c>
      <c r="D17" s="7" t="n">
        <v>9412195</v>
      </c>
      <c r="E17" s="8" t="n"/>
      <c r="F17" s="8" t="n"/>
      <c r="G17" s="8" t="n"/>
      <c r="H17" s="8" t="n"/>
    </row>
    <row r="18">
      <c r="A18" s="6" t="inlineStr">
        <is>
          <t>N.° de estaciones fotográficas declaradas</t>
        </is>
      </c>
      <c r="B18" s="7" t="n">
        <v>0</v>
      </c>
      <c r="C18" s="6" t="inlineStr">
        <is>
          <t>Estaciones dentro del polígono</t>
        </is>
      </c>
      <c r="D18" s="7" t="n">
        <v>0</v>
      </c>
      <c r="E18" s="8" t="n"/>
      <c r="F18" s="8" t="n"/>
      <c r="G18" s="8" t="n"/>
      <c r="H18" s="8" t="n"/>
    </row>
    <row r="19"/>
    <row r="20" ht="132" customHeight="1">
      <c r="A20"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BLOQUE RELATIVAMENTE MENOS DISTURBADO respecto a otros bloques visitados en el ámbito. No se observaron procesos de remoción en masa activos ni escarpes recientes durante el recorrido (21-05-2026). La inestabilidad potencial se asocia principalmente a la PÉRDIDA DE COBERTURA EN LADERAS CON PENDIENTE &gt;25% Y A LA CONCENTRACIÓN DE ESCORRENTÍA ESTACIONAL. Punto de muestreo representativo en el frente sur del bloque (acceso desde Salitral, CRUCE DEL RÍO SECO). NOTA: el código de bloque visitado en campo y rotulado en imágenes es M18B3 (Salitral).</t>
        </is>
      </c>
      <c r="B20" s="42" t="n"/>
      <c r="C20" s="42" t="n"/>
      <c r="D20" s="42" t="n"/>
      <c r="E20" s="42" t="n"/>
      <c r="F20" s="42" t="n"/>
      <c r="G20" s="43" t="n"/>
    </row>
  </sheetData>
  <mergeCells count="8">
    <mergeCell ref="A1:G1"/>
    <mergeCell ref="A8:G8"/>
    <mergeCell ref="A3:G3"/>
    <mergeCell ref="A6:G6"/>
    <mergeCell ref="A4:G4"/>
    <mergeCell ref="A20:G20"/>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8"/>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C1077-Q9579 — BLOQUE M18B3</t>
        </is>
      </c>
    </row>
    <row r="6" ht="24" customHeight="1">
      <c r="A6" s="4" t="inlineStr">
        <is>
          <t>Distrito de Salitral · Provincia de Morropon · Comparación de los bloques preliminares de intervención de la misma microcuenca</t>
        </is>
      </c>
    </row>
    <row r="7"/>
    <row r="8" ht="18" customHeight="1">
      <c r="A8" s="5" t="inlineStr">
        <is>
          <t>BLOQUES DE LA MICROCUENCA C1077-Q9579</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14" t="inlineStr">
        <is>
          <t>► M18B3</t>
        </is>
      </c>
      <c r="B10" s="28" t="n">
        <v>373.81</v>
      </c>
      <c r="C10" s="29" t="n">
        <v>51.1</v>
      </c>
      <c r="D10" s="15" t="inlineStr">
        <is>
          <t>159 – 533</t>
        </is>
      </c>
      <c r="E10" s="15" t="n">
        <v>374</v>
      </c>
      <c r="F10" s="15" t="n">
        <v>21.52</v>
      </c>
      <c r="G10" s="30" t="n">
        <v>0.3694</v>
      </c>
      <c r="H10" s="29" t="n">
        <v>9.02</v>
      </c>
      <c r="I10" s="29" t="n">
        <v>98.38</v>
      </c>
    </row>
    <row r="11">
      <c r="A11" s="12" t="inlineStr">
        <is>
          <t>M18B5</t>
        </is>
      </c>
      <c r="B11" s="31" t="n">
        <v>197.35</v>
      </c>
      <c r="C11" s="21" t="n">
        <v>26.98</v>
      </c>
      <c r="D11" s="13" t="inlineStr">
        <is>
          <t>157 – 645</t>
        </is>
      </c>
      <c r="E11" s="13" t="n">
        <v>488</v>
      </c>
      <c r="F11" s="13" t="n">
        <v>18.19</v>
      </c>
      <c r="G11" s="20" t="n">
        <v>0.3565</v>
      </c>
      <c r="H11" s="21" t="inlineStr">
        <is>
          <t>Por determinar</t>
        </is>
      </c>
      <c r="I11" s="13" t="inlineStr">
        <is>
          <t>s/d</t>
        </is>
      </c>
    </row>
    <row r="12">
      <c r="A12" s="7" t="inlineStr">
        <is>
          <t>M18B1</t>
        </is>
      </c>
      <c r="B12" s="32" t="n">
        <v>160.36</v>
      </c>
      <c r="C12" s="19" t="n">
        <v>21.92</v>
      </c>
      <c r="D12" s="11" t="inlineStr">
        <is>
          <t>153 – 396</t>
        </is>
      </c>
      <c r="E12" s="11" t="n">
        <v>243</v>
      </c>
      <c r="F12" s="11" t="n">
        <v>20.37</v>
      </c>
      <c r="G12" s="18" t="n">
        <v>0.3343</v>
      </c>
      <c r="H12" s="19" t="n">
        <v>1.41</v>
      </c>
      <c r="I12" s="19" t="n">
        <v>99.67</v>
      </c>
    </row>
    <row r="13">
      <c r="A13" s="16" t="inlineStr">
        <is>
          <t>TOTAL / PROMEDIO</t>
        </is>
      </c>
      <c r="B13" s="33">
        <f>SUM(B10:B12)</f>
        <v>731.52</v>
      </c>
      <c r="C13" s="23">
        <f>SUM(C10:C12)</f>
        <v>100.0</v>
      </c>
      <c r="D13" s="17" t="inlineStr">
        <is>
          <t>153 – 645</t>
        </is>
      </c>
      <c r="E13" s="17" t="inlineStr"/>
      <c r="F13" s="17">
        <f>ROUND(AVERAGE(F10:F12),2)</f>
        <v>20.03</v>
      </c>
      <c r="G13" s="22">
        <f>ROUND(AVERAGE(G10:G12),4)</f>
        <v>0.3534</v>
      </c>
      <c r="H13" s="23">
        <f>ROUND(AVERAGE(H10:H12),2)</f>
        <v>5.21</v>
      </c>
      <c r="I13" s="23">
        <f>ROUND(AVERAGE(I10:I12),2)</f>
        <v>99.03</v>
      </c>
    </row>
    <row r="14" ht="48" customHeight="1">
      <c r="A14" s="9" t="inlineStr">
        <is>
          <t>ALCANCE DE LOS PROMEDIOS. La fila TOTAL / PROMEDIO omite las celdas «Por determinar»: el promedio de VEGETACIÓN ALTA (NDVI 2025) se calcula sobre 2 de los 3 bloques; el bloque restante carece de estadística zonal de NDVI. Los totales de ÁREA y % de microcuenca sí comprenden la totalidad de los 3 bloques. No se estima ningún valor ausente.</t>
        </is>
      </c>
      <c r="B14" s="42" t="n"/>
      <c r="C14" s="42" t="n"/>
      <c r="D14" s="42" t="n"/>
      <c r="E14" s="42" t="n"/>
      <c r="F14" s="42" t="n"/>
      <c r="G14" s="42" t="n"/>
      <c r="H14" s="43" t="n"/>
    </row>
    <row r="15"/>
    <row r="16" ht="84" customHeight="1">
      <c r="A16" s="9" t="inlineStr">
        <is>
          <t>LECTURA INTRAMICROCUENCA. El bloque M18B3 ocupa el puesto 1 de 3 por superficie dentro de la microcuenca C1077-Q9579 (51.10 % de las 731.52 ha preliminares de la microcuenca). Su pendiente promedio (21.52 %, clase «15-25% (Fuert. inclinado)») es la 3.ª más baja de 3 y se sitúa por encima del promedio de la microcuenca (20.03 %). Su MSAVI 2024 (0.3694) es el 1.º de 3 y queda por encima del promedio local (0.3534). Amplitud altitudinal del bloque: 374 m (159–533 msnm). El cuadro conserva todos los bloques catalogados en la microcuenca, incluidos los descartados en el tamizaje, para referencia del conjunto. Los bloques sin ficha DT figuran con sus parámetros de gabinete. BRECHA ESPECTRAL. El 98.38 % de la superficie del bloque (367.739 ha de 373.807 ha) se sitúa bajo el umbral MSAVI 0.4976, por debajo del promedio local de la microcuenca (99.02 %) calculado sobre los bloques con dato MSAVI disponible.</t>
        </is>
      </c>
      <c r="B16" s="42" t="n"/>
      <c r="C16" s="42" t="n"/>
      <c r="D16" s="42" t="n"/>
      <c r="E16" s="42" t="n"/>
      <c r="F16" s="42" t="n"/>
      <c r="G16" s="42" t="n"/>
      <c r="H16" s="43" t="n"/>
    </row>
    <row r="17"/>
    <row r="18" ht="60" customHeight="1">
      <c r="A18"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8" s="42" t="n"/>
      <c r="C18" s="42" t="n"/>
      <c r="D18" s="42" t="n"/>
      <c r="E18" s="42" t="n"/>
      <c r="F18" s="42" t="n"/>
      <c r="G18" s="42" t="n"/>
      <c r="H18" s="43" t="n"/>
    </row>
  </sheetData>
  <mergeCells count="10">
    <mergeCell ref="A18:I18"/>
    <mergeCell ref="A4:I4"/>
    <mergeCell ref="A1:I1"/>
    <mergeCell ref="A3:I3"/>
    <mergeCell ref="A2:I2"/>
    <mergeCell ref="A16:I16"/>
    <mergeCell ref="A14:I14"/>
    <mergeCell ref="A5:I5"/>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M18B3</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«C1077-Q9579»</t>
        </is>
      </c>
      <c r="D10" s="35" t="inlineStr">
        <is>
          <t>CONFORME</t>
        </is>
      </c>
      <c r="E10" s="34" t="inlineStr">
        <is>
          <t>Sin acción.</t>
        </is>
      </c>
    </row>
    <row r="11" ht="48" customHeight="1">
      <c r="A11" s="36" t="inlineStr">
        <is>
          <t>D-02</t>
        </is>
      </c>
      <c r="B11" s="36" t="inlineStr">
        <is>
          <t>UTM del punto de muestreo</t>
        </is>
      </c>
      <c r="C11" s="36" t="inlineStr">
        <is>
          <t>El punto de muestreo declarado (625826 E / 9411463 N) dista 895 m del centroide de catálogo (625311 E / 9412195 N), distancia incompatible con la superficie del bloque (373.81 ha)</t>
        </is>
      </c>
      <c r="D11" s="37" t="inlineStr">
        <is>
          <t>SUSTANTIVA</t>
        </is>
      </c>
      <c r="E11" s="36" t="inlineStr">
        <is>
          <t>Se declara la coordenada como POR VERIFICAR: puede corresponder a otro bloque o a un error de digitación. No se corrige de oficio.</t>
        </is>
      </c>
    </row>
    <row r="12" ht="48" customHeight="1">
      <c r="A12" s="34" t="inlineStr">
        <is>
          <t>D-03</t>
        </is>
      </c>
      <c r="B12" s="34" t="inlineStr">
        <is>
          <t>Superficie del polígono</t>
        </is>
      </c>
      <c r="C12" s="34" t="inlineStr">
        <is>
          <t>La superficie clasificada por el NDVI 2025 (373.960 ha) coincide con la de catálogo (373.81 ha) dentro del ±2 % (+0.04 %)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«25-50% (Mod. escarpado)»; la estadística zonal sobre el MDE arroja una pendiente promedio de 21.52 %, que corresponde a la clase «15-25% (Fuert. inclinado)»</t>
        </is>
      </c>
      <c r="D13" s="15"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Cobertura vegetal total</t>
        </is>
      </c>
      <c r="C14" s="34" t="inlineStr">
        <is>
          <t>La ficha DT estima 70 % de cobertura vegetal en campo; el NDVI mediana 2025 clasifica 99.85 % del polígono en clases de vegetación</t>
        </is>
      </c>
      <c r="D14" s="15" t="inlineStr">
        <is>
          <t>NO SUSTANTIVA</t>
        </is>
      </c>
      <c r="E14" s="34"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6" t="inlineStr">
        <is>
          <t>D-06</t>
        </is>
      </c>
      <c r="B15" s="36" t="inlineStr">
        <is>
          <t>Representatividad del levantamiento</t>
        </is>
      </c>
      <c r="C15" s="36" t="inlineStr">
        <is>
          <t>Ninguna de las estaciones fotográficas georreferenciadas se localiza dentro del polígono del bloque</t>
        </is>
      </c>
      <c r="D15" s="37" t="inlineStr">
        <is>
          <t>SUSTANTIVA</t>
        </is>
      </c>
      <c r="E15" s="36" t="inlineStr">
        <is>
          <t>La verificación documenta el perímetro y la vista panorámica del bloque, no su interior. Los parámetros que exigen recorrido interno se consignan «Por determinar».</t>
        </is>
      </c>
    </row>
    <row r="16" ht="48" customHeight="1">
      <c r="A16" s="34" t="inlineStr">
        <is>
          <t>D-07</t>
        </is>
      </c>
      <c r="B16" s="34" t="inlineStr">
        <is>
          <t>Centro poblado asociado</t>
        </is>
      </c>
      <c r="C16" s="34" t="inlineStr">
        <is>
          <t>La ficha DT declara «Mangomanguilla / Villa Malacasí»; el cruce INEI-Bloques V5 identifica 3 centro(s) poblado(s) en el bloque: HUARO QUISPAMPA, MANGOMANGUIA, SELVA ANDINA</t>
        </is>
      </c>
      <c r="D16" s="15" t="inlineStr">
        <is>
          <t>NO SUSTANTIVA</t>
        </is>
      </c>
      <c r="E16" s="34" t="inlineStr">
        <is>
          <t>Se conserva el registro de campo como referencia y se adopta el listado INEI para el diagnóstico social y el cálculo de población beneficiaria.</t>
        </is>
      </c>
    </row>
    <row r="17" ht="48" customHeight="1">
      <c r="A17" s="36" t="inlineStr">
        <is>
          <t>D-08</t>
        </is>
      </c>
      <c r="B17" s="36" t="inlineStr">
        <is>
          <t>Peligro integrado (MCA-AHP)</t>
        </is>
      </c>
      <c r="C17" s="36" t="inlineStr">
        <is>
          <t>El nivel de peligro integrado no está disponible en los insumos de este entregable</t>
        </is>
      </c>
      <c r="D17" s="37" t="inlineStr">
        <is>
          <t>SUSTANTIVA</t>
        </is>
      </c>
      <c r="E17" s="36" t="inlineStr">
        <is>
          <t>Debe tomarse del modelamiento de mesolocalización (PMM + EPH + PGI ponderados por AHP) antes de fijar la prioridad definitiva de intervención del bloque.</t>
        </is>
      </c>
    </row>
    <row r="18" ht="48" customHeight="1">
      <c r="A18" s="34" t="inlineStr">
        <is>
          <t>D-09</t>
        </is>
      </c>
      <c r="B18" s="34" t="inlineStr">
        <is>
          <t>Plan de Ingreso</t>
        </is>
      </c>
      <c r="C18" s="34" t="inlineStr">
        <is>
          <t>Altitud = 0 msnm (captura por defecto del aplicativo)</t>
        </is>
      </c>
      <c r="D18" s="38" t="inlineStr">
        <is>
          <t>CORREGIDO</t>
        </is>
      </c>
      <c r="E18" s="34" t="inlineStr">
        <is>
          <t>Se reemplaza por la altitud GPS de campo (330 msnm)</t>
        </is>
      </c>
    </row>
    <row r="19" ht="48" customHeight="1">
      <c r="A19" s="36" t="inlineStr">
        <is>
          <t>D-10</t>
        </is>
      </c>
      <c r="B19" s="36" t="inlineStr">
        <is>
          <t>F-DT-02</t>
        </is>
      </c>
      <c r="C19" s="36" t="inlineStr">
        <is>
          <t>Se declara 5% del bloque con cárcavas y densidad 0.5 N.°/ha para una sola cárcava de 15 m en 373.81 ha</t>
        </is>
      </c>
      <c r="D19" s="37" t="inlineStr">
        <is>
          <t>SUSTANTIVA</t>
        </is>
      </c>
      <c r="E19" s="36" t="inlineStr">
        <is>
          <t>Cifras incompatibles entre sí: recalcular</t>
        </is>
      </c>
    </row>
    <row r="20" ht="48" customHeight="1">
      <c r="A20" s="34" t="inlineStr">
        <is>
          <t>D-11</t>
        </is>
      </c>
      <c r="B20" s="34" t="inlineStr">
        <is>
          <t>F-DT-03</t>
        </is>
      </c>
      <c r="C20" s="34" t="inlineStr">
        <is>
          <t>Categorías: Hualtaco VU y Palo santo NT, frente a CR en la mayoría de los bloques</t>
        </is>
      </c>
      <c r="D20" s="37" t="inlineStr">
        <is>
          <t>SUSTANTIVA</t>
        </is>
      </c>
      <c r="E20" s="34" t="inlineStr">
        <is>
          <t>Homogeneizar criterio de categorización</t>
        </is>
      </c>
    </row>
    <row r="21" ht="48" customHeight="1">
      <c r="A21" s="36" t="inlineStr">
        <is>
          <t>D-12</t>
        </is>
      </c>
      <c r="B21" s="36" t="inlineStr">
        <is>
          <t>F-DT-04</t>
        </is>
      </c>
      <c r="C21" s="36" t="inlineStr">
        <is>
          <t>Cobertura vegetal total 70% calificada «Bajo» de nivel de degradación</t>
        </is>
      </c>
      <c r="D21" s="15" t="inlineStr">
        <is>
          <t>NO SUSTANTIVA</t>
        </is>
      </c>
      <c r="E21" s="36" t="inlineStr">
        <is>
          <t>Coherente con la convención de nivel de degradación</t>
        </is>
      </c>
    </row>
    <row r="22" ht="48" customHeight="1">
      <c r="A22" s="34" t="inlineStr">
        <is>
          <t>D-13</t>
        </is>
      </c>
      <c r="B22" s="34" t="inlineStr">
        <is>
          <t>F-DT-01</t>
        </is>
      </c>
      <c r="C22" s="34" t="inlineStr">
        <is>
          <t>COLINDANCIA CON EL ÁREA DE CONSERVACIÓN PRIVADA MANGAMANGUILLA</t>
        </is>
      </c>
      <c r="D22" s="37" t="inlineStr">
        <is>
          <t>SUSTANTIVA</t>
        </is>
      </c>
      <c r="E22" s="34" t="inlineStr">
        <is>
          <t>Verificar filtro de exclusión por ANP/ACP y coordinar con SERNANP; oportunidad de conectividad ecológica</t>
        </is>
      </c>
    </row>
    <row r="23" ht="48" customHeight="1">
      <c r="A23" s="36" t="inlineStr">
        <is>
          <t>D-14</t>
        </is>
      </c>
      <c r="B23" s="36" t="inlineStr">
        <is>
          <t>F-DT-05</t>
        </is>
      </c>
      <c r="C23" s="36" t="inlineStr">
        <is>
          <t>Captación poblacional de la JASS a ≈150 m del límite del bloque</t>
        </is>
      </c>
      <c r="D23" s="37" t="inlineStr">
        <is>
          <t>SUSTANTIVA</t>
        </is>
      </c>
      <c r="E23" s="36" t="inlineStr">
        <is>
          <t>Oportunidad MERESE</t>
        </is>
      </c>
    </row>
    <row r="24" ht="48" customHeight="1">
      <c r="A24" s="34" t="inlineStr">
        <is>
          <t>D-15</t>
        </is>
      </c>
      <c r="B24" s="34" t="inlineStr">
        <is>
          <t>F-DT-03 / F-DT-04</t>
        </is>
      </c>
      <c r="C24" s="34" t="inlineStr">
        <is>
          <t>Presencia de una asociación de mujeres productoras de plantas nativas y semillas forestales</t>
        </is>
      </c>
      <c r="D24" s="37" t="inlineStr">
        <is>
          <t>SUSTANTIVA</t>
        </is>
      </c>
      <c r="E24" s="34" t="inlineStr">
        <is>
          <t>Activo estratégico para el abastecimiento de plantones y la gobernanza de la restauración</t>
        </is>
      </c>
    </row>
    <row r="25" ht="48" customHeight="1">
      <c r="A25" s="34" t="inlineStr">
        <is>
          <t>D-16</t>
        </is>
      </c>
      <c r="B25" s="34" t="inlineStr">
        <is>
          <t>Distribución areal MSAVI 2024</t>
        </is>
      </c>
      <c r="C25" s="34" t="inlineStr">
        <is>
          <t>La distribución por clase de MSAVI no figuraba en los insumos del entregable y se consignaba «Por determinar»; se incorpora la estadística zonal del ráster MSAVI clasificado (1 239 polígonos, 373.807 ha)</t>
        </is>
      </c>
      <c r="D25" s="37" t="inlineStr">
        <is>
          <t>CORREGIDO</t>
        </is>
      </c>
      <c r="E25" s="34"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6" ht="48" customHeight="1">
      <c r="A26" s="34" t="inlineStr">
        <is>
          <t>D-17</t>
        </is>
      </c>
      <c r="B26" s="34" t="inlineStr">
        <is>
          <t>Superficie MSAVI vs. catálogo</t>
        </is>
      </c>
      <c r="C26" s="34" t="inlineStr">
        <is>
          <t>La superficie total clasificada por el MSAVI 2024 (373.807 ha) frente a la de catálogo V5/V6 (373.810 ha): desviación de +0.00 %</t>
        </is>
      </c>
      <c r="D26" s="37" t="inlineStr">
        <is>
          <t>CONFORME</t>
        </is>
      </c>
      <c r="E26" s="34" t="inlineStr">
        <is>
          <t>Sin acción: la segmentación del ráster valida la geometría del bloque dentro del ±2 %.</t>
        </is>
      </c>
    </row>
    <row r="27" ht="48" customHeight="1">
      <c r="A27" s="34" t="inlineStr">
        <is>
          <t>D-18</t>
        </is>
      </c>
      <c r="B27" s="34" t="inlineStr">
        <is>
          <t>Media MSAVI vs. clase DN dominante</t>
        </is>
      </c>
      <c r="C27" s="34" t="inlineStr">
        <is>
          <t>La media del bloque (0.3694) cae en la clase «DN 2 · 0.2650 - 0.3813 (Vigor muy bajo)»; la clase de mayor superficie es «DN 2 · 0.2650 - 0.3813 (Vigor muy bajo)», con 51.72 % del bloque. Superficie bajo el umbral 0.4976: 367.739 ha (98.38 %)</t>
        </is>
      </c>
      <c r="D27" s="37" t="inlineStr">
        <is>
          <t>CONFORME</t>
        </is>
      </c>
      <c r="E27" s="34" t="inlineStr">
        <is>
          <t>Sin acción: la media del bloque y la clase de mayor superficie coinciden.</t>
        </is>
      </c>
    </row>
    <row r="28"/>
    <row r="29">
      <c r="A29" s="16" t="inlineStr">
        <is>
          <t>RESUMEN</t>
        </is>
      </c>
      <c r="B29" s="17" t="inlineStr">
        <is>
          <t>18 verificaciones</t>
        </is>
      </c>
      <c r="C29" s="17" t="inlineStr">
        <is>
          <t>CONFORME: 4 · CORREGIDO: 2 · NO SUSTANTIVA: 4 · SUSTANTIVA: 8</t>
        </is>
      </c>
      <c r="D29" s="17" t="inlineStr"/>
      <c r="E29" s="17" t="inlineStr"/>
    </row>
    <row r="30"/>
    <row r="31" ht="60" customHeight="1">
      <c r="A31"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1" s="42" t="n"/>
      <c r="C31" s="42" t="n"/>
      <c r="D31" s="42" t="n"/>
      <c r="E31" s="43" t="n"/>
    </row>
  </sheetData>
  <mergeCells count="8">
    <mergeCell ref="A4:E4"/>
    <mergeCell ref="A2:E2"/>
    <mergeCell ref="A8:E8"/>
    <mergeCell ref="A5:E5"/>
    <mergeCell ref="A1:E1"/>
    <mergeCell ref="A31:E31"/>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M18B3 — IN Piura</dc:title>
  <dc:subject>Diagnóstico Territorial por bloque de intervención</dc:subject>
  <dcterms:created xsi:type="dcterms:W3CDTF">2026-09-08T03:39:57Z</dcterms:created>
  <dcterms:modified xsi:type="dcterms:W3CDTF">2026-09-10T00:28:31Z</dcterms:modified>
</cp:coreProperties>
</file>