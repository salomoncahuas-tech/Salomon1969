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M10B4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M10B4</t>
        </is>
      </c>
      <c r="C9" s="6" t="inlineStr">
        <is>
          <t>Microcuenca (catálogo)</t>
        </is>
      </c>
      <c r="D9" s="7" t="inlineStr">
        <is>
          <t>C1096-Q9547</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Río Seco Alto</t>
        </is>
      </c>
      <c r="C13" s="6" t="inlineStr">
        <is>
          <t>Comunidad campesina</t>
        </is>
      </c>
      <c r="D13" s="7" t="inlineStr">
        <is>
          <t>Comunidad Campesina reconocida con título (F-DS-01); registro contradictorio con «Caserío / Anexo» en la segunda F-DS-01</t>
        </is>
      </c>
      <c r="E13" s="8" t="n"/>
      <c r="F13" s="8" t="n"/>
    </row>
    <row r="14">
      <c r="A14" s="6" t="inlineStr">
        <is>
          <t>Superficie de catálogo (V5/V6), ha</t>
        </is>
      </c>
      <c r="B14" s="7" t="n">
        <v>68.89</v>
      </c>
      <c r="C14" s="6" t="inlineStr">
        <is>
          <t>Fuente de superficie</t>
        </is>
      </c>
      <c r="D14" s="7" t="inlineStr">
        <is>
          <t>Catálogo maestro Bloques V5/V6</t>
        </is>
      </c>
      <c r="E14" s="8" t="n"/>
      <c r="F14" s="8" t="n"/>
    </row>
    <row r="15">
      <c r="A15" s="6" t="inlineStr">
        <is>
          <t>Centroide UTM ESTE (m)</t>
        </is>
      </c>
      <c r="B15" s="7" t="n">
        <v>596773</v>
      </c>
      <c r="C15" s="6" t="inlineStr">
        <is>
          <t>Centroide UTM NORTE (m)</t>
        </is>
      </c>
      <c r="D15" s="7" t="n">
        <v>9448273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170</v>
      </c>
      <c r="C19" s="6" t="inlineStr">
        <is>
          <t>Altitud máxima (msnm)</t>
        </is>
      </c>
      <c r="D19" s="7" t="n">
        <v>313</v>
      </c>
      <c r="E19" s="8" t="n"/>
      <c r="F19" s="8" t="n"/>
    </row>
    <row r="20">
      <c r="A20" s="6" t="inlineStr">
        <is>
          <t>Amplitud altitudinal (m)</t>
        </is>
      </c>
      <c r="B20" s="7" t="n">
        <v>143</v>
      </c>
      <c r="C20" s="6" t="inlineStr">
        <is>
          <t>Piso altitudinal dominante</t>
        </is>
      </c>
      <c r="D20" s="7" t="inlineStr">
        <is>
          <t>&lt;1000 m (Yunga)</t>
        </is>
      </c>
      <c r="E20" s="8" t="n"/>
      <c r="F20" s="8" t="n"/>
    </row>
    <row r="21">
      <c r="A21" s="6" t="inlineStr">
        <is>
          <t>Pendiente promedio (%)</t>
        </is>
      </c>
      <c r="B21" s="7" t="n">
        <v>13.83</v>
      </c>
      <c r="C21" s="6" t="inlineStr">
        <is>
          <t>Pendiente promedio (grados)</t>
        </is>
      </c>
      <c r="D21" s="7" t="n">
        <v>7.9</v>
      </c>
      <c r="E21" s="8" t="n"/>
      <c r="F21" s="8" t="n"/>
    </row>
    <row r="22">
      <c r="A22" s="6" t="inlineStr">
        <is>
          <t>Clase de pendiente equivalente</t>
        </is>
      </c>
      <c r="B22" s="7" t="inlineStr">
        <is>
          <t>8-15% (Mod. inclinado)</t>
        </is>
      </c>
      <c r="C22" s="6" t="inlineStr">
        <is>
          <t>Rango de pendiente declarado en campo</t>
        </is>
      </c>
      <c r="D22" s="7" t="inlineStr">
        <is>
          <t>No consignado en el campo de lista (narrativa: &lt;60%)</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0.3133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(73.83 %)</t>
        </is>
      </c>
      <c r="E29" s="8" t="n"/>
      <c r="F29" s="8" t="n"/>
    </row>
    <row r="30">
      <c r="A30" s="6" t="inlineStr">
        <is>
          <t>Superficie clasificada NDVI 2025 (ha)</t>
        </is>
      </c>
      <c r="B30" s="7" t="n">
        <v>68.926</v>
      </c>
      <c r="C30" s="6" t="inlineStr">
        <is>
          <t>Desviación frente al catálogo (%)</t>
        </is>
      </c>
      <c r="D30" s="7" t="n">
        <v>0.05</v>
      </c>
      <c r="E30" s="8" t="n"/>
      <c r="F30" s="8" t="n"/>
    </row>
    <row r="31">
      <c r="A31" s="6" t="inlineStr">
        <is>
          <t>Superficie clasificada MSAVI 2024 (ha)</t>
        </is>
      </c>
      <c r="B31" s="38" t="n">
        <v>68.887</v>
      </c>
      <c r="C31" s="6" t="inlineStr">
        <is>
          <t>Desviación MSAVI frente al catálogo (%)</t>
        </is>
      </c>
      <c r="D31" s="39" t="n">
        <v>-0.01</v>
      </c>
      <c r="E31" s="8" t="n"/>
      <c r="F31" s="8" t="n"/>
    </row>
    <row r="32">
      <c r="A32" s="6" t="inlineStr">
        <is>
          <t>Superficie bajo umbral MSAVI 0.4976 (ha)</t>
        </is>
      </c>
      <c r="B32" s="38" t="n">
        <v>68.758</v>
      </c>
      <c r="C32" s="6" t="inlineStr">
        <is>
          <t>% del bloque bajo umbral (brecha espectral)</t>
        </is>
      </c>
      <c r="D32" s="39" t="n">
        <v>99.81</v>
      </c>
      <c r="E32" s="8" t="n"/>
      <c r="F32" s="8" t="n"/>
    </row>
    <row r="33">
      <c r="A33" s="6" t="inlineStr">
        <is>
          <t>Clase DN dominante (MSAVI 2024)</t>
        </is>
      </c>
      <c r="B33" s="7" t="inlineStr">
        <is>
          <t>DN 2 · 0.2650 - 0.3813 (Vigor muy bajo)</t>
        </is>
      </c>
      <c r="C33" s="6" t="inlineStr">
        <is>
          <t>N.° de polígonos MSAVI del bloque</t>
        </is>
      </c>
      <c r="D33" s="40" t="n">
        <v>222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62 ha (de 68.89 ha del bloque)</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FICHA F-DT-02 SIN CONTENIDO. Narrativa de F-DT-01: sin evidencia de surcos ni cárcavas</t>
        </is>
      </c>
      <c r="C40" s="6" t="inlineStr">
        <is>
          <t>N.° de cárcavas registradas</t>
        </is>
      </c>
      <c r="D40" s="7" t="inlineStr">
        <is>
          <t>No inventariadas (F-DT-02 sin contenido)</t>
        </is>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t>
        </is>
      </c>
      <c r="C44" s="6" t="inlineStr">
        <is>
          <t>Fecha de evaluación</t>
        </is>
      </c>
      <c r="D44" s="7" t="inlineStr">
        <is>
          <t>2026-07-03</t>
        </is>
      </c>
      <c r="E44" s="8" t="n"/>
      <c r="F44" s="8" t="n"/>
    </row>
    <row r="45">
      <c r="A45" s="6" t="inlineStr">
        <is>
          <t>Hora de registro</t>
        </is>
      </c>
      <c r="B45" s="7" t="inlineStr">
        <is>
          <t>12:15 h</t>
        </is>
      </c>
      <c r="C45" s="6" t="inlineStr">
        <is>
          <t>Correlativo de ficha</t>
        </is>
      </c>
      <c r="D45" s="7" t="inlineStr">
        <is>
          <t>Sin registro en ficha</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Sin registro en ficha</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M10B4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0.0</v>
      </c>
      <c r="D10" s="11" t="inlineStr">
        <is>
          <t>Vigor alto</t>
        </is>
      </c>
      <c r="E10" s="11" t="inlineStr">
        <is>
          <t>Sobre umbral</t>
        </is>
      </c>
    </row>
    <row r="11">
      <c r="A11" s="12" t="inlineStr">
        <is>
          <t>0.4976 - 0.6139 · DN 4</t>
        </is>
      </c>
      <c r="B11" s="20" t="n">
        <v>0.1287</v>
      </c>
      <c r="C11" s="21">
        <f>ROUND(B11/$B$15*100,2)</f>
        <v>0.19</v>
      </c>
      <c r="D11" s="13" t="inlineStr">
        <is>
          <t>Vigor moderado</t>
        </is>
      </c>
      <c r="E11" s="13" t="inlineStr">
        <is>
          <t>Sobre umbral</t>
        </is>
      </c>
    </row>
    <row r="12">
      <c r="A12" s="7" t="inlineStr">
        <is>
          <t>0.3813 - 0.4976 · DN 3</t>
        </is>
      </c>
      <c r="B12" s="18" t="n">
        <v>5.7469</v>
      </c>
      <c r="C12" s="19">
        <f>ROUND(B12/$B$15*100,2)</f>
        <v>8.34</v>
      </c>
      <c r="D12" s="11" t="inlineStr">
        <is>
          <t>Vigor bajo</t>
        </is>
      </c>
      <c r="E12" s="11" t="inlineStr">
        <is>
          <t>BAJO umbral 0.4976</t>
        </is>
      </c>
    </row>
    <row r="13">
      <c r="A13" s="14" t="inlineStr">
        <is>
          <t>0.2650 - 0.3813 · DN 2</t>
        </is>
      </c>
      <c r="B13" s="30" t="n">
        <v>51.4644</v>
      </c>
      <c r="C13" s="29">
        <f>ROUND(B13/$B$15*100,2)</f>
        <v>74.71</v>
      </c>
      <c r="D13" s="15" t="inlineStr">
        <is>
          <t>Vigor muy bajo</t>
        </is>
      </c>
      <c r="E13" s="15" t="inlineStr">
        <is>
          <t>BAJO umbral 0.4976</t>
        </is>
      </c>
    </row>
    <row r="14">
      <c r="A14" s="7" t="inlineStr">
        <is>
          <t>&lt;= 0.2650 · DN 1</t>
        </is>
      </c>
      <c r="B14" s="18" t="n">
        <v>11.5466</v>
      </c>
      <c r="C14" s="19">
        <f>ROUND(B14/$B$15*100,2)</f>
        <v>16.76</v>
      </c>
      <c r="D14" s="11" t="inlineStr">
        <is>
          <t>Suelo desnudo / no vegetal</t>
        </is>
      </c>
      <c r="E14" s="11" t="inlineStr">
        <is>
          <t>BAJO umbral 0.4976</t>
        </is>
      </c>
    </row>
    <row r="15" ht="30" customHeight="1">
      <c r="A15" s="43" t="inlineStr">
        <is>
          <t>TOTAL CLASIFICADO MSAVI 2024</t>
        </is>
      </c>
      <c r="B15" s="44">
        <f>SUM(B10:B14)</f>
        <v>68.8866</v>
      </c>
      <c r="C15" s="45">
        <f>SUM(C10:C14)</f>
        <v>100.0</v>
      </c>
      <c r="D15" s="43" t="inlineStr">
        <is>
          <t>Suma de la distribución areal · 222 polígonos</t>
        </is>
      </c>
      <c r="E15" s="43" t="inlineStr">
        <is>
          <t>—</t>
        </is>
      </c>
    </row>
    <row r="16" ht="30" customHeight="1">
      <c r="A16" s="46" t="inlineStr">
        <is>
          <t>Superficie SOBRE umbral 0.4976 (ha)</t>
        </is>
      </c>
      <c r="B16" s="47">
        <f>SUM(B10:B11)</f>
        <v>0.1287</v>
      </c>
      <c r="C16" s="48">
        <f>ROUND(B16/B15*100,2)</f>
        <v>0.19</v>
      </c>
      <c r="D16" s="46" t="inlineStr">
        <is>
          <t>Vigor alto y moderado (DN 4 y DN 5)</t>
        </is>
      </c>
      <c r="E16" s="46" t="inlineStr">
        <is>
          <t>Sobre umbral 0.4976</t>
        </is>
      </c>
    </row>
    <row r="17" ht="30" customHeight="1">
      <c r="A17" s="46" t="inlineStr">
        <is>
          <t>Superficie BAJO umbral 0.4976 (ha) — brecha</t>
        </is>
      </c>
      <c r="B17" s="47">
        <f>SUM(B12:B14)</f>
        <v>68.7579</v>
      </c>
      <c r="C17" s="48">
        <f>ROUND(B17/B15*100,2)</f>
        <v>99.81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68.89</v>
      </c>
      <c r="C18" s="49" t="inlineStr">
        <is>
          <t>—</t>
        </is>
      </c>
      <c r="D18" s="46" t="inlineStr">
        <is>
          <t>Desviación planimétrica frente al catálogo</t>
        </is>
      </c>
      <c r="E18" s="46" t="inlineStr">
        <is>
          <t>-0.01 %</t>
        </is>
      </c>
    </row>
    <row r="19">
      <c r="A19" s="16" t="inlineStr">
        <is>
          <t>MSAVI 2024 — MEDIA DEL BLOQUE</t>
        </is>
      </c>
      <c r="B19" s="17" t="n">
        <v>0.313301</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222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(0.3133)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1.8372</v>
      </c>
      <c r="C25" s="19" t="n">
        <v>2.67</v>
      </c>
      <c r="D25" s="11" t="inlineStr">
        <is>
          <t>Pastizal cultivado, matorral ralo, parcelas agrícolas</t>
        </is>
      </c>
      <c r="E25" s="11" t="inlineStr"/>
    </row>
    <row r="26">
      <c r="A26" s="12" t="inlineStr">
        <is>
          <t>Vegetación ligera</t>
        </is>
      </c>
      <c r="B26" s="20" t="n">
        <v>50.8887</v>
      </c>
      <c r="C26" s="21" t="n">
        <v>73.83</v>
      </c>
      <c r="D26" s="13" t="inlineStr">
        <is>
          <t>Cobertura discontinua, suelo parcialmente expuesto</t>
        </is>
      </c>
      <c r="E26" s="13" t="inlineStr"/>
    </row>
    <row r="27">
      <c r="A27" s="7" t="inlineStr">
        <is>
          <t>Tierra desnuda</t>
        </is>
      </c>
      <c r="B27" s="18" t="n">
        <v>16.1998</v>
      </c>
      <c r="C27" s="19" t="n">
        <v>23.5</v>
      </c>
      <c r="D27" s="11" t="inlineStr">
        <is>
          <t>Suelo desnudo, afloramientos, plataformas y taludes</t>
        </is>
      </c>
      <c r="E27" s="11" t="inlineStr"/>
    </row>
    <row r="28">
      <c r="A28" s="16" t="inlineStr">
        <is>
          <t>TOTAL CLASIFICADO</t>
        </is>
      </c>
      <c r="B28" s="22">
        <f>SUM(B25:B27)</f>
        <v>68.9257</v>
      </c>
      <c r="C28" s="23">
        <f>SUM(C25:C27)</f>
        <v>100.0</v>
      </c>
      <c r="D28" s="17" t="inlineStr"/>
      <c r="E28" s="17" t="inlineStr"/>
    </row>
    <row r="29">
      <c r="A29" s="24" t="inlineStr">
        <is>
          <t>Superficie de catálogo (V5/V6)</t>
        </is>
      </c>
      <c r="B29" s="25" t="n">
        <v>68.89</v>
      </c>
      <c r="C29" s="25" t="inlineStr">
        <is>
          <t>—</t>
        </is>
      </c>
      <c r="D29" s="25" t="inlineStr">
        <is>
          <t>Desviación planimétrica frente al catálogo</t>
        </is>
      </c>
      <c r="E29" s="25" t="inlineStr">
        <is>
          <t>+0.05 %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0.00 % del polígono clasificado como «Vegetación alta» por el NDVI 2025; la observación de campo corresponde a una parcela o recorrido puntual y no es estadísticamente representativa de las 68.890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M10B4</t>
        </is>
      </c>
    </row>
    <row r="6" ht="24" customHeight="1">
      <c r="A6" s="4" t="inlineStr">
        <is>
          <t>Levantamiento del 2026-07-03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73360.2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596773</v>
      </c>
      <c r="C13" s="6" t="inlineStr">
        <is>
          <t>Centroide del bloque — UTM NORTE (m)</t>
        </is>
      </c>
      <c r="D13" s="7" t="n">
        <v>9448273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Afloramientos rocosos en pendientes empinadas. Piedras de tamaño pequeño a mediano, SIN EVIDENCIA DE SURCOS NI CÁRCAVAS en proceso de formación. Se registró PASTOREO DE GANADO CAPRINO DE BAJA INTENSIDAD y EXTRACCIÓN DE LEÑA DE IMPACTO REDUCIDO. En la zona adyacente al CCPP se detectó AFECCIÓN LEVE, asociada principalmente a la reducción de la cobertura vegetal arbórea. ATENCIÓN: el UTM del punto de registro (645 575 · 9 393 500) es el valor por defecto de la plantilla; el centroide de catálogo es 596 773 · 9 448 270.</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M10B4</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t>
        </is>
      </c>
      <c r="B10" s="27" t="n">
        <v>168.41</v>
      </c>
      <c r="C10" s="19" t="n">
        <v>53.36</v>
      </c>
      <c r="D10" s="11" t="inlineStr">
        <is>
          <t>1398 – 2016</t>
        </is>
      </c>
      <c r="E10" s="11" t="n">
        <v>618</v>
      </c>
      <c r="F10" s="11" t="n">
        <v>33.74</v>
      </c>
      <c r="G10" s="18" t="n">
        <v>0.5381</v>
      </c>
      <c r="H10" s="19" t="n">
        <v>40.11</v>
      </c>
      <c r="I10" s="19" t="n">
        <v>35.41</v>
      </c>
    </row>
    <row r="11">
      <c r="A11" s="14" t="inlineStr">
        <is>
          <t>► M10B4</t>
        </is>
      </c>
      <c r="B11" s="28" t="n">
        <v>68.89</v>
      </c>
      <c r="C11" s="29" t="n">
        <v>21.83</v>
      </c>
      <c r="D11" s="15" t="inlineStr">
        <is>
          <t>170 – 313</t>
        </is>
      </c>
      <c r="E11" s="15" t="n">
        <v>143</v>
      </c>
      <c r="F11" s="15" t="n">
        <v>13.83</v>
      </c>
      <c r="G11" s="30" t="n">
        <v>0.3133</v>
      </c>
      <c r="H11" s="29" t="n">
        <v>0</v>
      </c>
      <c r="I11" s="29" t="n">
        <v>99.81</v>
      </c>
    </row>
    <row r="12">
      <c r="A12" s="7" t="inlineStr">
        <is>
          <t>25</t>
        </is>
      </c>
      <c r="B12" s="27" t="n">
        <v>53.48</v>
      </c>
      <c r="C12" s="19" t="n">
        <v>16.94</v>
      </c>
      <c r="D12" s="11" t="inlineStr">
        <is>
          <t>143 – 210</t>
        </is>
      </c>
      <c r="E12" s="11" t="n">
        <v>67</v>
      </c>
      <c r="F12" s="11" t="n">
        <v>11.68</v>
      </c>
      <c r="G12" s="18" t="n">
        <v>0.2565</v>
      </c>
      <c r="H12" s="19" t="inlineStr">
        <is>
          <t>Por determinar</t>
        </is>
      </c>
      <c r="I12" s="11" t="inlineStr">
        <is>
          <t>s/d</t>
        </is>
      </c>
    </row>
    <row r="13">
      <c r="A13" s="12" t="inlineStr">
        <is>
          <t>36</t>
        </is>
      </c>
      <c r="B13" s="31" t="n">
        <v>24.84</v>
      </c>
      <c r="C13" s="21" t="n">
        <v>7.87</v>
      </c>
      <c r="D13" s="13" t="inlineStr">
        <is>
          <t>1239 – 1476</t>
        </is>
      </c>
      <c r="E13" s="13" t="n">
        <v>237</v>
      </c>
      <c r="F13" s="13" t="n">
        <v>30.65</v>
      </c>
      <c r="G13" s="20" t="n">
        <v>0.5395</v>
      </c>
      <c r="H13" s="21" t="n">
        <v>49.11</v>
      </c>
      <c r="I13" s="21" t="n">
        <v>35.63</v>
      </c>
    </row>
    <row r="14">
      <c r="A14" s="16" t="inlineStr">
        <is>
          <t>TOTAL / PROMEDIO</t>
        </is>
      </c>
      <c r="B14" s="32">
        <f>SUM(B10:B13)</f>
        <v>315.62</v>
      </c>
      <c r="C14" s="23">
        <f>SUM(C10:C13)</f>
        <v>100.0</v>
      </c>
      <c r="D14" s="17" t="inlineStr">
        <is>
          <t>143 – 2016</t>
        </is>
      </c>
      <c r="E14" s="17" t="inlineStr"/>
      <c r="F14" s="17">
        <f>ROUND(AVERAGE(F10:F13),2)</f>
        <v>22.48</v>
      </c>
      <c r="G14" s="22">
        <f>ROUND(AVERAGE(G10:G13),4)</f>
        <v>0.4118</v>
      </c>
      <c r="H14" s="23">
        <f>ROUND(AVERAGE(H10:H13),2)</f>
        <v>29.74</v>
      </c>
      <c r="I14" s="23">
        <f>ROUND(AVERAGE(I10:I13),2)</f>
        <v>56.95</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2" t="n"/>
    </row>
    <row r="16"/>
    <row r="17" ht="84" customHeight="1">
      <c r="A17" s="9" t="inlineStr">
        <is>
          <t>LECTURA INTRAMICROCUENCA. El bloque M10B4 ocupa el puesto 2 de 4 por superficie dentro de la microcuenca C1096-Q9547 (21.83 % de las 315.62 ha preliminares de la microcuenca). Su pendiente promedio (13.83 %, clase «8-15% (Mod. inclinado)») es la 2.ª más baja de 4 y se sitúa por debajo del promedio de la microcuenca (22.48 %). Su MSAVI 2024 (0.3133) es el 3.º de 4 y queda por debajo del promedio local (0.4119). Amplitud altitudinal del bloque: 143 m (170–313 msnm). El cuadro conserva todos los bloques catalogados en la microcuenca, incluidos los descartados en el tamizaje, para referencia del conjunto. Los bloques sin ficha DT figuran con sus parámetros de gabinete. BRECHA ESPECTRAL. El 99.81 % de la superficie del bloque (68.758 ha de 68.887 ha) se sitúa bajo el umbral MSAVI 0.4976, por encima del promedio local de la microcuenca (56.95 %) calculado sobre los bloques con dato MSAVI disponible.</t>
        </is>
      </c>
      <c r="B17" s="41" t="n"/>
      <c r="C17" s="41" t="n"/>
      <c r="D17" s="41" t="n"/>
      <c r="E17" s="41" t="n"/>
      <c r="F17" s="41" t="n"/>
      <c r="G17" s="41" t="n"/>
      <c r="H17" s="42"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2" t="n"/>
    </row>
  </sheetData>
  <mergeCells count="10">
    <mergeCell ref="A1:I1"/>
    <mergeCell ref="A4:I4"/>
    <mergeCell ref="A3:I3"/>
    <mergeCell ref="A15:I15"/>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M10B4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C1096-Q9547)»; el catálogo maestro V5/V6 asigna el bloque a «C1096-Q9547»</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73,360 m del centroide de catálogo (596773 E / 9448273 N), distancia incompatible con la superficie del bloque (68.89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(68.926 ha) coincide con la de catálogo (68.89 ha) dentro del ±2 % (+0.05 %)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«No consignado en el campo de lista (narrativa: &lt;60%)»; la estadística zonal sobre el MDE arroja una pendiente promedio de 13.83 %,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(F-DT-02 sin contenido) rasgos erosivos, pero longitud, profundidad y ancho no fueron medidos instrumentalmente</t>
        </is>
      </c>
      <c r="D14" s="15"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5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«Río Seco Alto»; el cruce INEI-Bloques V5 identifica 1 centro(s) poblado(s) en el bloque: RIO SECO ALTO</t>
        </is>
      </c>
      <c r="D17" s="15" t="inlineStr">
        <is>
          <t>NO SUSTANTIVA</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M10B4 la microcuenca C1096-Q9547</t>
        </is>
      </c>
      <c r="D19" s="34" t="inlineStr">
        <is>
          <t>SUSTANTIVA</t>
        </is>
      </c>
      <c r="E19" s="35" t="inlineStr">
        <is>
          <t>Valor por defecto de la plantilla; se conserva el del catálogo</t>
        </is>
      </c>
    </row>
    <row r="20" ht="48" customHeight="1">
      <c r="A20" s="33" t="inlineStr">
        <is>
          <t>D-11</t>
        </is>
      </c>
      <c r="B20" s="33" t="inlineStr">
        <is>
          <t>Ficha DT</t>
        </is>
      </c>
      <c r="C20" s="33" t="inlineStr">
        <is>
          <t>UTM del punto de registro (645 575 · 9 393 500) = valor por defecto; el centroide de catálogo es 596 773 · 9 448 270</t>
        </is>
      </c>
      <c r="D20" s="34" t="inlineStr">
        <is>
          <t>SUSTANTIVA</t>
        </is>
      </c>
      <c r="E20" s="33" t="inlineStr">
        <is>
          <t>Georreferencia por reponer</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 campo (177 msnm)</t>
        </is>
      </c>
    </row>
    <row r="22" ht="48" customHeight="1">
      <c r="A22" s="33" t="inlineStr">
        <is>
          <t>D-13</t>
        </is>
      </c>
      <c r="B22" s="33" t="inlineStr">
        <is>
          <t>F-DT-01</t>
        </is>
      </c>
      <c r="C22" s="33" t="inlineStr">
        <is>
          <t>Rango de pendiente no consignado en el campo de lista</t>
        </is>
      </c>
      <c r="D22" s="15" t="inlineStr">
        <is>
          <t>NO SUSTANTIVA</t>
        </is>
      </c>
      <c r="E22" s="33" t="inlineStr">
        <is>
          <t>Completar</t>
        </is>
      </c>
    </row>
    <row r="23" ht="48" customHeight="1">
      <c r="A23" s="35" t="inlineStr">
        <is>
          <t>D-14</t>
        </is>
      </c>
      <c r="B23" s="35" t="inlineStr">
        <is>
          <t>F-DT-02</t>
        </is>
      </c>
      <c r="C23" s="35" t="inlineStr">
        <is>
          <t>Sección SIN CONTENIDO en el documento de origen</t>
        </is>
      </c>
      <c r="D23" s="34" t="inlineStr">
        <is>
          <t>SUSTANTIVA</t>
        </is>
      </c>
      <c r="E23" s="35" t="inlineStr">
        <is>
          <t>Levantamiento pendiente en su totalidad</t>
        </is>
      </c>
    </row>
    <row r="24" ht="48" customHeight="1">
      <c r="A24" s="33" t="inlineStr">
        <is>
          <t>D-15</t>
        </is>
      </c>
      <c r="B24" s="33" t="inlineStr">
        <is>
          <t>F-DT-03</t>
        </is>
      </c>
      <c r="C24" s="33" t="inlineStr">
        <is>
          <t>Solo 5 taxones registrados, sin nombre científico ni familia, frente al mínimo de 15</t>
        </is>
      </c>
      <c r="D24" s="34" t="inlineStr">
        <is>
          <t>SUSTANTIVA</t>
        </is>
      </c>
      <c r="E24" s="33" t="inlineStr">
        <is>
          <t>Inventario florístico incompleto</t>
        </is>
      </c>
    </row>
    <row r="25" ht="48" customHeight="1">
      <c r="A25" s="35" t="inlineStr">
        <is>
          <t>D-16</t>
        </is>
      </c>
      <c r="B25" s="35" t="inlineStr">
        <is>
          <t>F-DT-04</t>
        </is>
      </c>
      <c r="C25" s="35" t="inlineStr">
        <is>
          <t>Densidad de cárcavas 1 N.°/ha pese a declararse que no hay cárcavas y a no existir inventario</t>
        </is>
      </c>
      <c r="D25" s="34" t="inlineStr">
        <is>
          <t>SUSTANTIVA</t>
        </is>
      </c>
      <c r="E25" s="35" t="inlineStr">
        <is>
          <t>Inconsistencia interna a resolver</t>
        </is>
      </c>
    </row>
    <row r="26" ht="48" customHeight="1">
      <c r="A26" s="33" t="inlineStr">
        <is>
          <t>D-17</t>
        </is>
      </c>
      <c r="B26" s="33" t="inlineStr">
        <is>
          <t>F-DT-04</t>
        </is>
      </c>
      <c r="C26" s="33" t="inlineStr">
        <is>
          <t>RECOMENDACIÓN DE CAMPO: evaluar la pertinencia de la intervención — el área conserva su cobertura y el riesgo por movimiento en masa no es evidente</t>
        </is>
      </c>
      <c r="D26" s="34" t="inlineStr">
        <is>
          <t>SUSTANTIVA</t>
        </is>
      </c>
      <c r="E26" s="33" t="inlineStr">
        <is>
          <t>ELEVAR A LA SUBDIRECCIÓN: verificar si el bloque califica como ecosistema degradado bajo la R.M. 00213-2024-MINAM</t>
        </is>
      </c>
    </row>
    <row r="27" ht="48" customHeight="1">
      <c r="A27" s="35" t="inlineStr">
        <is>
          <t>D-18</t>
        </is>
      </c>
      <c r="B27" s="35" t="inlineStr">
        <is>
          <t>F-DT-05</t>
        </is>
      </c>
      <c r="C27" s="35" t="inlineStr">
        <is>
          <t>Ficha no diligenciada: inventario hídrico vacío y accesibilidad sin consignar</t>
        </is>
      </c>
      <c r="D27" s="34" t="inlineStr">
        <is>
          <t>SUSTANTIVA</t>
        </is>
      </c>
      <c r="E27" s="35" t="inlineStr">
        <is>
          <t>Levantamiento pendiente</t>
        </is>
      </c>
    </row>
    <row r="28" ht="48" customHeight="1">
      <c r="A28" s="33" t="inlineStr">
        <is>
          <t>D-19</t>
        </is>
      </c>
      <c r="B28" s="33" t="inlineStr">
        <is>
          <t>F-DS-01</t>
        </is>
      </c>
      <c r="C28" s="33" t="inlineStr">
        <is>
          <t>Contradicción entre las dos fichas sociales: «Comunidad Campesina reconocida con título» vs. «Caserío / Anexo»</t>
        </is>
      </c>
      <c r="D28" s="34" t="inlineStr">
        <is>
          <t>SUSTANTIVA</t>
        </is>
      </c>
      <c r="E28" s="33" t="inlineStr">
        <is>
          <t>Condiciona el tamizaje predial: resolver</t>
        </is>
      </c>
    </row>
    <row r="29" ht="48" customHeight="1">
      <c r="A29" s="33" t="inlineStr">
        <is>
          <t>D-20</t>
        </is>
      </c>
      <c r="B29" s="33" t="inlineStr">
        <is>
          <t>Distribución areal MSAVI 2024</t>
        </is>
      </c>
      <c r="C29" s="33" t="inlineStr">
        <is>
          <t>La distribución por clase de MSAVI no figuraba en los insumos del entregable y se consignaba «Por determinar»; se incorpora la estadística zonal del ráster MSAVI clasificado (222 polígonos, 68.887 ha)</t>
        </is>
      </c>
      <c r="D29" s="34" t="inlineStr">
        <is>
          <t>CORREGIDO</t>
        </is>
      </c>
      <c r="E29"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0" ht="48" customHeight="1">
      <c r="A30" s="33" t="inlineStr">
        <is>
          <t>D-21</t>
        </is>
      </c>
      <c r="B30" s="33" t="inlineStr">
        <is>
          <t>Superficie MSAVI vs. catálogo</t>
        </is>
      </c>
      <c r="C30" s="33" t="inlineStr">
        <is>
          <t>La superficie total clasificada por el MSAVI 2024 (68.887 ha) frente a la de catálogo V5/V6 (68.890 ha): desviación de -0.01 %</t>
        </is>
      </c>
      <c r="D30" s="34" t="inlineStr">
        <is>
          <t>CONFORME</t>
        </is>
      </c>
      <c r="E30" s="33" t="inlineStr">
        <is>
          <t>Sin acción: la segmentación del ráster valida la geometría del bloque dentro del ±2 %.</t>
        </is>
      </c>
    </row>
    <row r="31" ht="48" customHeight="1">
      <c r="A31" s="33" t="inlineStr">
        <is>
          <t>D-22</t>
        </is>
      </c>
      <c r="B31" s="33" t="inlineStr">
        <is>
          <t>Media MSAVI vs. clase DN dominante</t>
        </is>
      </c>
      <c r="C31" s="33" t="inlineStr">
        <is>
          <t>La media del bloque (0.3133) cae en la clase «DN 2 · 0.2650 - 0.3813 (Vigor muy bajo)»; la clase de mayor superficie es «DN 2 · 0.2650 - 0.3813 (Vigor muy bajo)», con 74.71 % del bloque. Superficie bajo el umbral 0.4976: 68.758 ha (99.81 %)</t>
        </is>
      </c>
      <c r="D31" s="34" t="inlineStr">
        <is>
          <t>CONFORME</t>
        </is>
      </c>
      <c r="E31" s="33" t="inlineStr">
        <is>
          <t>Sin acción: la media del bloque y la clase de mayor superficie coinciden.</t>
        </is>
      </c>
    </row>
    <row r="32"/>
    <row r="33">
      <c r="A33" s="16" t="inlineStr">
        <is>
          <t>RESUMEN</t>
        </is>
      </c>
      <c r="B33" s="17" t="inlineStr">
        <is>
          <t>22 verificaciones</t>
        </is>
      </c>
      <c r="C33" s="17" t="inlineStr">
        <is>
          <t>CONFORME: 3 · CORREGIDO: 2 · NO SUSTANTIVA: 4 · SUSTANTIVA: 13</t>
        </is>
      </c>
      <c r="D33" s="17" t="inlineStr"/>
      <c r="E33" s="17" t="inlineStr"/>
    </row>
    <row r="34"/>
    <row r="35" ht="60" customHeight="1">
      <c r="A3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5" s="41" t="n"/>
      <c r="C35" s="41" t="n"/>
      <c r="D35" s="41" t="n"/>
      <c r="E35" s="42" t="n"/>
    </row>
  </sheetData>
  <mergeCells count="8">
    <mergeCell ref="A35:E35"/>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M10B4 — IN Piura</dc:title>
  <dc:subject>Diagnóstico Territorial por bloque de intervención</dc:subject>
  <dcterms:created xsi:type="dcterms:W3CDTF">2026-09-08T03:39:57Z</dcterms:created>
  <dcterms:modified xsi:type="dcterms:W3CDTF">2026-09-10T00:28:30Z</dcterms:modified>
</cp:coreProperties>
</file>