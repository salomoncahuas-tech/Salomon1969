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M17B5</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M17B5</t>
        </is>
      </c>
      <c r="C9" s="6" t="inlineStr">
        <is>
          <t>Microcuenca (catálogo)</t>
        </is>
      </c>
      <c r="D9" s="7" t="inlineStr">
        <is>
          <t>C1096-Q9556</t>
        </is>
      </c>
      <c r="E9" s="8" t="n"/>
      <c r="F9" s="8" t="n"/>
    </row>
    <row r="10">
      <c r="A10" s="6" t="inlineStr">
        <is>
          <t>Zona de planificación</t>
        </is>
      </c>
      <c r="B10" s="7" t="inlineStr">
        <is>
          <t>Z02</t>
        </is>
      </c>
      <c r="C10" s="6" t="inlineStr">
        <is>
          <t>Microcuenca declarada en ficha DT</t>
        </is>
      </c>
      <c r="D10" s="7" t="inlineStr">
        <is>
          <t>C1096-Q9556</t>
        </is>
      </c>
      <c r="E10" s="8" t="n"/>
      <c r="F10" s="8" t="n"/>
    </row>
    <row r="11">
      <c r="A11" s="6" t="inlineStr">
        <is>
          <t>Departamento</t>
        </is>
      </c>
      <c r="B11" s="7" t="inlineStr">
        <is>
          <t>Piura</t>
        </is>
      </c>
      <c r="C11" s="6" t="inlineStr">
        <is>
          <t>Provincia</t>
        </is>
      </c>
      <c r="D11" s="7" t="inlineStr">
        <is>
          <t>Ayabaca</t>
        </is>
      </c>
      <c r="E11" s="8" t="n"/>
      <c r="F11" s="8" t="n"/>
    </row>
    <row r="12">
      <c r="A12" s="6" t="inlineStr">
        <is>
          <t>Distrito</t>
        </is>
      </c>
      <c r="B12" s="7" t="inlineStr">
        <is>
          <t>Frias</t>
        </is>
      </c>
      <c r="C12" s="6" t="inlineStr">
        <is>
          <t>Capital distrital</t>
        </is>
      </c>
      <c r="D12" s="7" t="inlineStr">
        <is>
          <t>Frias</t>
        </is>
      </c>
      <c r="E12" s="8" t="n"/>
      <c r="F12" s="8" t="n"/>
    </row>
    <row r="13">
      <c r="A13" s="6" t="inlineStr">
        <is>
          <t>Centro poblado asociado</t>
        </is>
      </c>
      <c r="B13" s="7" t="inlineStr">
        <is>
          <t>El Guabo (enclave EXCLUIDO del polígono)</t>
        </is>
      </c>
      <c r="C13" s="6" t="inlineStr">
        <is>
          <t>Comunidad campesina</t>
        </is>
      </c>
      <c r="D13" s="7" t="inlineStr">
        <is>
          <t>Por verificar — no declarada por la brigada en campo</t>
        </is>
      </c>
      <c r="E13" s="8" t="n"/>
      <c r="F13" s="8" t="n"/>
    </row>
    <row r="14">
      <c r="A14" s="6" t="inlineStr">
        <is>
          <t>Superficie de catálogo (V5/V6), ha</t>
        </is>
      </c>
      <c r="B14" s="7" t="n">
        <v>74.03</v>
      </c>
      <c r="C14" s="6" t="inlineStr">
        <is>
          <t>Fuente de superficie</t>
        </is>
      </c>
      <c r="D14" s="7" t="inlineStr">
        <is>
          <t>Catálogo maestro Bloques V5/V6</t>
        </is>
      </c>
      <c r="E14" s="8" t="n"/>
      <c r="F14" s="8" t="n"/>
    </row>
    <row r="15">
      <c r="A15" s="6" t="inlineStr">
        <is>
          <t>Centroide UTM ESTE (m)</t>
        </is>
      </c>
      <c r="B15" s="7" t="n">
        <v>608800</v>
      </c>
      <c r="C15" s="6" t="inlineStr">
        <is>
          <t>Centroide UTM NORTE (m)</t>
        </is>
      </c>
      <c r="D15" s="7" t="n">
        <v>9445585</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794</v>
      </c>
      <c r="C19" s="6" t="inlineStr">
        <is>
          <t>Altitud máxima (msnm)</t>
        </is>
      </c>
      <c r="D19" s="7" t="n">
        <v>1317</v>
      </c>
      <c r="E19" s="8" t="n"/>
      <c r="F19" s="8" t="n"/>
    </row>
    <row r="20">
      <c r="A20" s="6" t="inlineStr">
        <is>
          <t>Amplitud altitudinal (m)</t>
        </is>
      </c>
      <c r="B20" s="7" t="n">
        <v>523</v>
      </c>
      <c r="C20" s="6" t="inlineStr">
        <is>
          <t>Piso altitudinal dominante</t>
        </is>
      </c>
      <c r="D20" s="7" t="inlineStr">
        <is>
          <t>1000-1500 m (Quechua baja)</t>
        </is>
      </c>
      <c r="E20" s="8" t="n"/>
      <c r="F20" s="8" t="n"/>
    </row>
    <row r="21">
      <c r="A21" s="6" t="inlineStr">
        <is>
          <t>Pendiente promedio (%)</t>
        </is>
      </c>
      <c r="B21" s="7" t="n">
        <v>27.42</v>
      </c>
      <c r="C21" s="6" t="inlineStr">
        <is>
          <t>Pendiente promedio (grados)</t>
        </is>
      </c>
      <c r="D21" s="7" t="n">
        <v>15.3</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Oeste</t>
        </is>
      </c>
      <c r="C24" s="6" t="inlineStr">
        <is>
          <t>Afloramientos rocosos</t>
        </is>
      </c>
      <c r="D24" s="7" t="inlineStr">
        <is>
          <t>Sí</t>
        </is>
      </c>
      <c r="E24" s="8" t="n"/>
      <c r="F24" s="8" t="n"/>
    </row>
    <row r="25">
      <c r="A25" s="6" t="inlineStr">
        <is>
          <t>Escarpes activos</t>
        </is>
      </c>
      <c r="B25" s="7" t="inlineStr">
        <is>
          <t>No (no observado)</t>
        </is>
      </c>
      <c r="C25" s="6" t="inlineStr">
        <is>
          <t>Remociones en masa activas</t>
        </is>
      </c>
      <c r="D25" s="7" t="inlineStr">
        <is>
          <t>No (no observado)</t>
        </is>
      </c>
      <c r="E25" s="8" t="n"/>
      <c r="F25" s="8" t="n"/>
    </row>
    <row r="26"/>
    <row r="27" ht="18" customHeight="1">
      <c r="A27" s="5" t="inlineStr">
        <is>
          <t>3. ÍNDICES DE VEGETACIÓN (SENTINEL-2)</t>
        </is>
      </c>
    </row>
    <row r="28">
      <c r="A28" s="6" t="inlineStr">
        <is>
          <t>MSAVI 2024 — media del bloque</t>
        </is>
      </c>
      <c r="B28" s="7" t="n">
        <v>0.5482</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(61.34 %)</t>
        </is>
      </c>
      <c r="E29" s="8" t="n"/>
      <c r="F29" s="8" t="n"/>
    </row>
    <row r="30">
      <c r="A30" s="6" t="inlineStr">
        <is>
          <t>Superficie clasificada NDVI 2025 (ha)</t>
        </is>
      </c>
      <c r="B30" s="7" t="n">
        <v>74.065</v>
      </c>
      <c r="C30" s="6" t="inlineStr">
        <is>
          <t>Desviación frente al catálogo (%)</t>
        </is>
      </c>
      <c r="D30" s="7" t="n">
        <v>0.05</v>
      </c>
      <c r="E30" s="8" t="n"/>
      <c r="F30" s="8" t="n"/>
    </row>
    <row r="31">
      <c r="A31" s="6" t="inlineStr">
        <is>
          <t>Superficie clasificada MSAVI 2024 (ha)</t>
        </is>
      </c>
      <c r="B31" s="38" t="n">
        <v>74.02800000000001</v>
      </c>
      <c r="C31" s="6" t="inlineStr">
        <is>
          <t>Desviación MSAVI frente al catálogo (%)</t>
        </is>
      </c>
      <c r="D31" s="39" t="n">
        <v>0</v>
      </c>
      <c r="E31" s="8" t="n"/>
      <c r="F31" s="8" t="n"/>
    </row>
    <row r="32">
      <c r="A32" s="6" t="inlineStr">
        <is>
          <t>Superficie bajo umbral MSAVI 0.4976 (ha)</t>
        </is>
      </c>
      <c r="B32" s="38" t="n">
        <v>21.426</v>
      </c>
      <c r="C32" s="6" t="inlineStr">
        <is>
          <t>% del bloque bajo umbral (brecha espectral)</t>
        </is>
      </c>
      <c r="D32" s="39" t="n">
        <v>28.94</v>
      </c>
      <c r="E32" s="8" t="n"/>
      <c r="F32" s="8" t="n"/>
    </row>
    <row r="33">
      <c r="A33" s="6" t="inlineStr">
        <is>
          <t>Clase DN dominante (MSAVI 2024)</t>
        </is>
      </c>
      <c r="B33" s="7" t="inlineStr">
        <is>
          <t>DN 4 · 0.4976 - 0.6139 (Vigor moderado)</t>
        </is>
      </c>
      <c r="C33" s="6" t="inlineStr">
        <is>
          <t>N.° de polígonos MSAVI del bloque</t>
        </is>
      </c>
      <c r="D33" s="40" t="n">
        <v>318</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 — posible mosaico con BMVO sobre ~1100 msnm</t>
        </is>
      </c>
      <c r="C36" s="6" t="inlineStr">
        <is>
          <t>Superficie de ecosistema (ha)</t>
        </is>
      </c>
      <c r="D36" s="7" t="inlineStr">
        <is>
          <t>74.03 ha (100% del bloque)</t>
        </is>
      </c>
      <c r="E36" s="8" t="n"/>
      <c r="F36" s="8" t="n"/>
    </row>
    <row r="37">
      <c r="A37" s="6" t="inlineStr">
        <is>
          <t>Estado de conservación</t>
        </is>
      </c>
      <c r="B37" s="7" t="inlineStr">
        <is>
          <t>Levemente alterado</t>
        </is>
      </c>
      <c r="C37" s="6" t="inlineStr">
        <is>
          <t>Uso actual dominante del suelo</t>
        </is>
      </c>
      <c r="D37" s="7" t="inlineStr">
        <is>
          <t>Uso mixto / Pastoreo extensivo</t>
        </is>
      </c>
      <c r="E37" s="8" t="n"/>
      <c r="F37" s="8" t="n"/>
    </row>
    <row r="38">
      <c r="A38" s="6" t="inlineStr">
        <is>
          <t>Tipo de cobertura dominante</t>
        </is>
      </c>
      <c r="B38" s="7" t="inlineStr">
        <is>
          <t>Bosque denso (&gt;70%)</t>
        </is>
      </c>
      <c r="C38" s="6" t="inlineStr">
        <is>
          <t>Cobertura vegetal total — campo (%)</t>
        </is>
      </c>
      <c r="D38" s="7" t="inlineStr">
        <is>
          <t>75 - 80 (gabinete NDVI/MSAVI)</t>
        </is>
      </c>
      <c r="E38" s="8" t="n"/>
      <c r="F38" s="8" t="n"/>
    </row>
    <row r="39">
      <c r="A39" s="6" t="inlineStr">
        <is>
          <t>Suelo desnudo — campo (%)</t>
        </is>
      </c>
      <c r="B39" s="7" t="inlineStr">
        <is>
          <t>2 - 5</t>
        </is>
      </c>
      <c r="C39" s="6" t="inlineStr">
        <is>
          <t>Regeneración natural</t>
        </is>
      </c>
      <c r="D39" s="7" t="inlineStr">
        <is>
          <t>Regular (10-50 pl./100m²)</t>
        </is>
      </c>
      <c r="E39" s="8" t="n"/>
      <c r="F39" s="8" t="n"/>
    </row>
    <row r="40">
      <c r="A40" s="6" t="inlineStr">
        <is>
          <t>Nivel general de erosión</t>
        </is>
      </c>
      <c r="B40" s="7" t="inlineStr">
        <is>
          <t>Moderada (surcos)</t>
        </is>
      </c>
      <c r="C40" s="6" t="inlineStr">
        <is>
          <t>N.° de cárcavas registradas</t>
        </is>
      </c>
      <c r="D40" s="7" t="inlineStr">
        <is>
          <t>2 (juego 1) / 1 (juego 2) — DISCREPANCIA ENTRE JUEGOS</t>
        </is>
      </c>
      <c r="E40" s="8" t="n"/>
      <c r="F40" s="8" t="n"/>
    </row>
    <row r="41">
      <c r="A41" s="6" t="inlineStr">
        <is>
          <t>Elenco florístico (n.° de taxones)</t>
        </is>
      </c>
      <c r="B41" s="7" t="n">
        <v>15</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Pedro Talledo Hernández (juego 1) / Ing. Juan Carlos Domínguez Varas y Ped. Talledo (juego 2)</t>
        </is>
      </c>
      <c r="C44" s="6" t="inlineStr">
        <is>
          <t>Fecha de evaluación</t>
        </is>
      </c>
      <c r="D44" s="7" t="inlineStr">
        <is>
          <t>2026-08-26 (juego 1) / 2026-07-14 (juego 2) — reconocimiento de campo 14-07-2026</t>
        </is>
      </c>
      <c r="E44" s="8" t="n"/>
      <c r="F44" s="8" t="n"/>
    </row>
    <row r="45">
      <c r="A45" s="6" t="inlineStr">
        <is>
          <t>Hora de registro</t>
        </is>
      </c>
      <c r="B45" s="7" t="inlineStr">
        <is>
          <t>11:58 - 12:18 h</t>
        </is>
      </c>
      <c r="C45" s="6" t="inlineStr">
        <is>
          <t>Correlativo de ficha</t>
        </is>
      </c>
      <c r="D45" s="7" t="inlineStr">
        <is>
          <t>DT-M17B5-01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No se instaló parcela — registro por observación directa en recorrido de borde</t>
        </is>
      </c>
      <c r="E47" s="8" t="n"/>
      <c r="F47" s="8" t="n"/>
    </row>
    <row r="48">
      <c r="A48" s="6" t="inlineStr">
        <is>
          <t>Estaciones fotográficas georreferenciadas</t>
        </is>
      </c>
      <c r="B48" s="7" t="n">
        <v>4</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Dependencia de la economía familiar de subsistencia del caserío El Guabo respecto del pastoreo caprino libre, sin ordenamiento predial</t>
        </is>
      </c>
      <c r="C51" s="6" t="inlineStr">
        <is>
          <t>Velocidad de degradación</t>
        </is>
      </c>
      <c r="D51" s="7" t="inlineStr">
        <is>
          <t>Lenta</t>
        </is>
      </c>
      <c r="E51" s="8" t="n"/>
      <c r="F51" s="8" t="n"/>
    </row>
    <row r="52">
      <c r="A52" s="6" t="inlineStr">
        <is>
          <t>Reversibilidad técnica</t>
        </is>
      </c>
      <c r="B52" s="7" t="inlineStr">
        <is>
          <t>Totalmente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Sí (calificación PRELIMINAR; requiere confirmación hidrogeológica)</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M17B5</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15.8188</v>
      </c>
      <c r="C10" s="19">
        <f>ROUND(B10/$B$15*100,2)</f>
        <v>21.37</v>
      </c>
      <c r="D10" s="11" t="inlineStr">
        <is>
          <t>Vigor alto</t>
        </is>
      </c>
      <c r="E10" s="11" t="inlineStr">
        <is>
          <t>Sobre umbral</t>
        </is>
      </c>
    </row>
    <row r="11">
      <c r="A11" s="12" t="inlineStr">
        <is>
          <t>0.4976 - 0.6139 · DN 4</t>
        </is>
      </c>
      <c r="B11" s="32" t="n">
        <v>36.7832</v>
      </c>
      <c r="C11" s="31">
        <f>ROUND(B11/$B$15*100,2)</f>
        <v>49.69</v>
      </c>
      <c r="D11" s="13" t="inlineStr">
        <is>
          <t>Vigor moderado</t>
        </is>
      </c>
      <c r="E11" s="13" t="inlineStr">
        <is>
          <t>Sobre umbral</t>
        </is>
      </c>
    </row>
    <row r="12">
      <c r="A12" s="7" t="inlineStr">
        <is>
          <t>0.3813 - 0.4976 · DN 3</t>
        </is>
      </c>
      <c r="B12" s="18" t="n">
        <v>20.9904</v>
      </c>
      <c r="C12" s="19">
        <f>ROUND(B12/$B$15*100,2)</f>
        <v>28.35</v>
      </c>
      <c r="D12" s="11" t="inlineStr">
        <is>
          <t>Vigor bajo</t>
        </is>
      </c>
      <c r="E12" s="11" t="inlineStr">
        <is>
          <t>BAJO umbral 0.4976</t>
        </is>
      </c>
    </row>
    <row r="13">
      <c r="A13" s="14" t="inlineStr">
        <is>
          <t>0.2650 - 0.3813 · DN 2</t>
        </is>
      </c>
      <c r="B13" s="20" t="n">
        <v>0.4355</v>
      </c>
      <c r="C13" s="21">
        <f>ROUND(B13/$B$15*100,2)</f>
        <v>0.59</v>
      </c>
      <c r="D13" s="15" t="inlineStr">
        <is>
          <t>Vigor muy bajo</t>
        </is>
      </c>
      <c r="E13" s="15" t="inlineStr">
        <is>
          <t>BAJO umbral 0.4976</t>
        </is>
      </c>
    </row>
    <row r="14">
      <c r="A14" s="7" t="inlineStr">
        <is>
          <t>&lt;= 0.2650 · DN 1</t>
        </is>
      </c>
      <c r="B14" s="18" t="n">
        <v>0</v>
      </c>
      <c r="C14" s="19">
        <f>ROUND(B14/$B$15*100,2)</f>
        <v>0.0</v>
      </c>
      <c r="D14" s="11" t="inlineStr">
        <is>
          <t>Suelo desnudo / no vegetal</t>
        </is>
      </c>
      <c r="E14" s="11" t="inlineStr">
        <is>
          <t>BAJO umbral 0.4976</t>
        </is>
      </c>
    </row>
    <row r="15" ht="30" customHeight="1">
      <c r="A15" s="43" t="inlineStr">
        <is>
          <t>TOTAL CLASIFICADO MSAVI 2024</t>
        </is>
      </c>
      <c r="B15" s="44">
        <f>SUM(B10:B14)</f>
        <v>74.0279</v>
      </c>
      <c r="C15" s="45">
        <f>SUM(C10:C14)</f>
        <v>100.0</v>
      </c>
      <c r="D15" s="43" t="inlineStr">
        <is>
          <t>Suma de la distribución areal · 318 polígonos</t>
        </is>
      </c>
      <c r="E15" s="43" t="inlineStr">
        <is>
          <t>—</t>
        </is>
      </c>
    </row>
    <row r="16" ht="30" customHeight="1">
      <c r="A16" s="46" t="inlineStr">
        <is>
          <t>Superficie SOBRE umbral 0.4976 (ha)</t>
        </is>
      </c>
      <c r="B16" s="47">
        <f>SUM(B10:B11)</f>
        <v>52.602</v>
      </c>
      <c r="C16" s="48">
        <f>ROUND(B16/B15*100,2)</f>
        <v>71.06</v>
      </c>
      <c r="D16" s="46" t="inlineStr">
        <is>
          <t>Vigor alto y moderado (DN 4 y DN 5)</t>
        </is>
      </c>
      <c r="E16" s="46" t="inlineStr">
        <is>
          <t>Sobre umbral 0.4976</t>
        </is>
      </c>
    </row>
    <row r="17" ht="30" customHeight="1">
      <c r="A17" s="46" t="inlineStr">
        <is>
          <t>Superficie BAJO umbral 0.4976 (ha) — brecha</t>
        </is>
      </c>
      <c r="B17" s="47">
        <f>SUM(B12:B14)</f>
        <v>21.4259</v>
      </c>
      <c r="C17" s="48">
        <f>ROUND(B17/B15*100,2)</f>
        <v>28.94</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74.03</v>
      </c>
      <c r="C18" s="49" t="inlineStr">
        <is>
          <t>—</t>
        </is>
      </c>
      <c r="D18" s="46" t="inlineStr">
        <is>
          <t>Desviación planimétrica frente al catálogo</t>
        </is>
      </c>
      <c r="E18" s="46" t="inlineStr">
        <is>
          <t>+0.00 %</t>
        </is>
      </c>
    </row>
    <row r="19">
      <c r="A19" s="16" t="inlineStr">
        <is>
          <t>MSAVI 2024 — MEDIA DEL BLOQUE</t>
        </is>
      </c>
      <c r="B19" s="17" t="n">
        <v>0.54817</v>
      </c>
      <c r="C19" s="17" t="inlineStr">
        <is>
          <t>—</t>
        </is>
      </c>
      <c r="D19" s="17" t="inlineStr">
        <is>
          <t>Vigor moderado · clase 0.4976 - 0.6139</t>
        </is>
      </c>
      <c r="E19" s="17" t="inlineStr">
        <is>
          <t>Sobre umbral</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318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(0.5482) se conserva del catálogo maestro y es dato oficial; la fila resaltada indica la clase en la que cae dicha media. Los totales y porcentajes se calculan con fórmulas sobre las filas del cuadro.</t>
        </is>
      </c>
      <c r="B21" s="41" t="n"/>
      <c r="C21" s="41" t="n"/>
      <c r="D21" s="41" t="n"/>
      <c r="E21" s="42"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45.4315</v>
      </c>
      <c r="C25" s="19" t="n">
        <v>61.34</v>
      </c>
      <c r="D25" s="11" t="inlineStr">
        <is>
          <t>Dosel continuo, matorral denso o mosaico agroforestal</t>
        </is>
      </c>
      <c r="E25" s="11" t="inlineStr"/>
    </row>
    <row r="26">
      <c r="A26" s="14" t="inlineStr">
        <is>
          <t>Vegetación mediana</t>
        </is>
      </c>
      <c r="B26" s="20" t="n">
        <v>28.5547</v>
      </c>
      <c r="C26" s="21" t="n">
        <v>38.55</v>
      </c>
      <c r="D26" s="15" t="inlineStr">
        <is>
          <t>Pastizal cultivado, matorral ralo, parcelas agrícolas</t>
        </is>
      </c>
      <c r="E26" s="15" t="inlineStr"/>
    </row>
    <row r="27">
      <c r="A27" s="7" t="inlineStr">
        <is>
          <t>Vegetación ligera</t>
        </is>
      </c>
      <c r="B27" s="18" t="n">
        <v>0.07920000000000001</v>
      </c>
      <c r="C27" s="19" t="n">
        <v>0.11</v>
      </c>
      <c r="D27" s="11" t="inlineStr">
        <is>
          <t>Cobertura discontinua, suelo parcialmente expuesto</t>
        </is>
      </c>
      <c r="E27" s="11" t="inlineStr"/>
    </row>
    <row r="28">
      <c r="A28" s="16" t="inlineStr">
        <is>
          <t>TOTAL CLASIFICADO</t>
        </is>
      </c>
      <c r="B28" s="22">
        <f>SUM(B25:B27)</f>
        <v>74.0654</v>
      </c>
      <c r="C28" s="23">
        <f>SUM(C25:C27)</f>
        <v>100.0</v>
      </c>
      <c r="D28" s="17" t="inlineStr"/>
      <c r="E28" s="17" t="inlineStr"/>
    </row>
    <row r="29">
      <c r="A29" s="24" t="inlineStr">
        <is>
          <t>Superficie de catálogo (V5/V6)</t>
        </is>
      </c>
      <c r="B29" s="25" t="n">
        <v>74.03</v>
      </c>
      <c r="C29" s="25" t="inlineStr">
        <is>
          <t>—</t>
        </is>
      </c>
      <c r="D29" s="25" t="inlineStr">
        <is>
          <t>Desviación planimétrica frente al catálogo</t>
        </is>
      </c>
      <c r="E29" s="25" t="inlineStr">
        <is>
          <t>+0.05 %</t>
        </is>
      </c>
    </row>
    <row r="30"/>
    <row r="31" ht="72" customHeight="1">
      <c r="A31"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c r="B31" s="41" t="n"/>
      <c r="C31" s="41" t="n"/>
      <c r="D31" s="41" t="n"/>
      <c r="E31" s="42" t="n"/>
    </row>
  </sheetData>
  <mergeCells count="10">
    <mergeCell ref="A21:E21"/>
    <mergeCell ref="A4:E4"/>
    <mergeCell ref="A2:E2"/>
    <mergeCell ref="A1:E1"/>
    <mergeCell ref="A5:E5"/>
    <mergeCell ref="A23:E23"/>
    <mergeCell ref="A8:E8"/>
    <mergeCell ref="A6:E6"/>
    <mergeCell ref="A31:E31"/>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3"/>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M17B5</t>
        </is>
      </c>
    </row>
    <row r="6" ht="24" customHeight="1">
      <c r="A6" s="4" t="inlineStr">
        <is>
          <t>Levantamiento del 2026-08-26 (juego 1) / 2026-07-14 (juego 2) — reconocimiento de campo 14-07-2026 · Sistema de referencia UTM WGS 84 Zona 17S (EPSG:32717)</t>
        </is>
      </c>
    </row>
    <row r="7"/>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608549</v>
      </c>
      <c r="D10" s="26" t="n">
        <v>9445684</v>
      </c>
      <c r="E10" s="11" t="n">
        <v>269.8</v>
      </c>
      <c r="F10" s="11" t="inlineStr"/>
      <c r="G10" s="11" t="inlineStr">
        <is>
          <t>Coordenada consignada en F-DT-01</t>
        </is>
      </c>
    </row>
    <row r="11">
      <c r="A11" s="14" t="inlineStr">
        <is>
          <t>P-01</t>
        </is>
      </c>
      <c r="B11" s="15" t="inlineStr">
        <is>
          <t>Estación fotográfica</t>
        </is>
      </c>
      <c r="C11" s="27" t="n">
        <v>608558</v>
      </c>
      <c r="D11" s="27" t="n">
        <v>9445670</v>
      </c>
      <c r="E11" s="15" t="n">
        <v>256.5</v>
      </c>
      <c r="F11" s="15" t="inlineStr"/>
      <c r="G11" s="15" t="inlineStr">
        <is>
          <t>Registro fotográfico georreferenciado</t>
        </is>
      </c>
    </row>
    <row r="12">
      <c r="A12" s="7" t="inlineStr">
        <is>
          <t>P-02</t>
        </is>
      </c>
      <c r="B12" s="11" t="inlineStr">
        <is>
          <t>Estación fotográfica</t>
        </is>
      </c>
      <c r="C12" s="26" t="n">
        <v>608549</v>
      </c>
      <c r="D12" s="26" t="n">
        <v>9445684</v>
      </c>
      <c r="E12" s="11" t="n">
        <v>269.8</v>
      </c>
      <c r="F12" s="11" t="inlineStr"/>
      <c r="G12" s="11" t="inlineStr">
        <is>
          <t>Registro fotográfico georreferenciado</t>
        </is>
      </c>
    </row>
    <row r="13">
      <c r="A13" s="14" t="inlineStr">
        <is>
          <t>P-03</t>
        </is>
      </c>
      <c r="B13" s="15" t="inlineStr">
        <is>
          <t>Estación fotográfica</t>
        </is>
      </c>
      <c r="C13" s="27" t="n">
        <v>608513</v>
      </c>
      <c r="D13" s="27" t="n">
        <v>9445816</v>
      </c>
      <c r="E13" s="15" t="n">
        <v>368.4</v>
      </c>
      <c r="F13" s="15" t="inlineStr"/>
      <c r="G13" s="15" t="inlineStr">
        <is>
          <t>Registro fotográfico georreferenciado</t>
        </is>
      </c>
    </row>
    <row r="14">
      <c r="A14" s="7" t="inlineStr">
        <is>
          <t>P-04</t>
        </is>
      </c>
      <c r="B14" s="11" t="inlineStr">
        <is>
          <t>Estación fotográfica</t>
        </is>
      </c>
      <c r="C14" s="26" t="n">
        <v>608425</v>
      </c>
      <c r="D14" s="26" t="n">
        <v>9445881</v>
      </c>
      <c r="E14" s="11" t="n">
        <v>477.7</v>
      </c>
      <c r="F14" s="11" t="inlineStr"/>
      <c r="G14" s="11" t="inlineStr">
        <is>
          <t>Registro fotográfico georreferenciado</t>
        </is>
      </c>
    </row>
    <row r="15">
      <c r="A15" s="14" t="inlineStr">
        <is>
          <t>C-01 / S-01</t>
        </is>
      </c>
      <c r="B15" s="15" t="inlineStr">
        <is>
          <t>Rasgo erosivo — Surco (&lt;30 cm) — 17 m (juego 2)</t>
        </is>
      </c>
      <c r="C15" s="27" t="n">
        <v>608558</v>
      </c>
      <c r="D15" s="27" t="n">
        <v>9445670</v>
      </c>
      <c r="E15" s="15" t="n">
        <v>256.5</v>
      </c>
      <c r="F15" s="15" t="inlineStr">
        <is>
          <t>Activa</t>
        </is>
      </c>
      <c r="G15" s="15" t="inlineStr">
        <is>
          <t>Caminos / huellas de ganado</t>
        </is>
      </c>
    </row>
    <row r="16">
      <c r="A16" s="7" t="inlineStr">
        <is>
          <t>C-02</t>
        </is>
      </c>
      <c r="B16" s="11" t="inlineStr">
        <is>
          <t>Rasgo erosivo — Cárcava incipiente (solo juego 1)</t>
        </is>
      </c>
      <c r="C16" s="26" t="n">
        <v>608549</v>
      </c>
      <c r="D16" s="26" t="n">
        <v>9445684</v>
      </c>
      <c r="E16" s="11" t="n">
        <v>269.8</v>
      </c>
      <c r="F16" s="11" t="inlineStr">
        <is>
          <t>Activa</t>
        </is>
      </c>
      <c r="G16" s="11" t="inlineStr">
        <is>
          <t>Caminos / huellas de ganado</t>
        </is>
      </c>
    </row>
    <row r="17">
      <c r="A17" s="14" t="inlineStr">
        <is>
          <t>H-01</t>
        </is>
      </c>
      <c r="B17" s="15" t="inlineStr">
        <is>
          <t>Fuente de agua — Otro (línea de conducción)</t>
        </is>
      </c>
      <c r="C17" s="27" t="n">
        <v>608513</v>
      </c>
      <c r="D17" s="27" t="n">
        <v>9445816</v>
      </c>
      <c r="E17" s="15" t="n">
        <v>368.4</v>
      </c>
      <c r="F17" s="15" t="inlineStr">
        <is>
          <t>Por determinar</t>
        </is>
      </c>
      <c r="G17" s="15" t="inlineStr">
        <is>
          <t>Manguera de polietileno tendida en el caserío El Guabo: acredita una captación de ladera aguas arriba</t>
        </is>
      </c>
    </row>
    <row r="18">
      <c r="A18" s="16" t="inlineStr">
        <is>
          <t>TOTAL: 8 puntos</t>
        </is>
      </c>
      <c r="B18" s="17" t="inlineStr"/>
      <c r="C18" s="17" t="inlineStr"/>
      <c r="D18" s="17" t="inlineStr"/>
      <c r="E18" s="17" t="inlineStr"/>
      <c r="F18" s="17" t="inlineStr"/>
      <c r="G18" s="17" t="inlineStr"/>
    </row>
    <row r="19"/>
    <row r="20">
      <c r="A20" s="6" t="inlineStr">
        <is>
          <t>Centroide del bloque — UTM ESTE (m)</t>
        </is>
      </c>
      <c r="B20" s="7" t="n">
        <v>608800</v>
      </c>
      <c r="C20" s="6" t="inlineStr">
        <is>
          <t>Centroide del bloque — UTM NORTE (m)</t>
        </is>
      </c>
      <c r="D20" s="7" t="n">
        <v>9445585</v>
      </c>
      <c r="E20" s="8" t="n"/>
      <c r="F20" s="8" t="n"/>
      <c r="G20" s="8" t="n"/>
      <c r="H20" s="8" t="n"/>
    </row>
    <row r="21">
      <c r="A21" s="6" t="inlineStr">
        <is>
          <t>N.° de estaciones fotográficas declaradas</t>
        </is>
      </c>
      <c r="B21" s="7" t="n">
        <v>4</v>
      </c>
      <c r="C21" s="6" t="inlineStr">
        <is>
          <t>Estaciones dentro del polígono</t>
        </is>
      </c>
      <c r="D21" s="7" t="n">
        <v>2</v>
      </c>
      <c r="E21" s="8" t="n"/>
      <c r="F21" s="8" t="n"/>
      <c r="G21" s="8" t="n"/>
      <c r="H21" s="8" t="n"/>
    </row>
    <row r="22"/>
    <row r="23" ht="180" customHeight="1">
      <c r="A23"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ALCANCE: reconocimiento del 14-07-2026 sobre el sector OCCIDENTAL, en 4 estaciones (P-01 608 558/9 445 670; P-02 608 549/9 445 684; P-03 608 513/9 445 816; P-04 608 425/9 445 881). Extensión del recorrido 249 m; estaciones entre 293 y 514 m del centroide. P-03 y P-04 corresponden al ENCLAVE DEL CASERÍO EL GUABO, EXCLUIDO DEL POLÍGONO. LA COBERTURA FÍSICA EFECTIVA SE ESTIMA INFERIOR AL 10% DE LAS 74.03 ha. LOS SECTORES CENTRAL, NORTE Y SURESTE NO FUERON RECORRIDOS. ALTITUD GPS NO REGISTRADA (el valor 900 msnm es interpolado de curvas, ±25 m). RANGO ALTITUDINAL: 794-1 317 msnm (amplitud 523 m) — EL BLOQUE CABALGA DOS PISOS ALTITUDINALES; ≈40-45% se sitúa bajo 1 000 msnm. PENDIENTE promedio 27.42% (MDE); perfil W-E de 1 451 m: 753/957/1 197 msnm, pendiente media 29.9% y máxima 54.0%. AFLORAMIENTOS: bloques graníticos redondeados de 1-3 m, desconfinados y parcialmente enterrados. LOS «NO» DE ESCARPES, REPTACIÓN Y REMOCIONES SIGNIFICAN AUSENCIA DE EVIDENCIA EN EL SECTOR RECORRIDO, NO DESCARTE PARA EL CONJUNTO. ATENCIÓN: el juego 1 consigna UTM Este 645 575 (valor por defecto de plantilla).</t>
        </is>
      </c>
      <c r="B23" s="41" t="n"/>
      <c r="C23" s="41" t="n"/>
      <c r="D23" s="41" t="n"/>
      <c r="E23" s="41" t="n"/>
      <c r="F23" s="41" t="n"/>
      <c r="G23" s="42" t="n"/>
    </row>
  </sheetData>
  <mergeCells count="8">
    <mergeCell ref="A1:G1"/>
    <mergeCell ref="A8:G8"/>
    <mergeCell ref="A3:G3"/>
    <mergeCell ref="A6:G6"/>
    <mergeCell ref="A4:G4"/>
    <mergeCell ref="A2:G2"/>
    <mergeCell ref="A5:G5"/>
    <mergeCell ref="A23:G2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4"/>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C1096-Q9556 — BLOQUE M17B5</t>
        </is>
      </c>
    </row>
    <row r="6" ht="24" customHeight="1">
      <c r="A6" s="4" t="inlineStr">
        <is>
          <t>Distrito de Frias · Provincia de Ayabaca · Comparación de los bloques preliminares de intervención de la misma microcuenca</t>
        </is>
      </c>
    </row>
    <row r="7"/>
    <row r="8" ht="18" customHeight="1">
      <c r="A8" s="5" t="inlineStr">
        <is>
          <t>BLOQUES DE LA MICROCUENCA C1096-Q9556</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M17B7</t>
        </is>
      </c>
      <c r="B10" s="28" t="n">
        <v>258.84</v>
      </c>
      <c r="C10" s="19" t="n">
        <v>29.57</v>
      </c>
      <c r="D10" s="11" t="inlineStr">
        <is>
          <t>553 – 1517</t>
        </is>
      </c>
      <c r="E10" s="11" t="n">
        <v>964</v>
      </c>
      <c r="F10" s="11" t="n">
        <v>29.82</v>
      </c>
      <c r="G10" s="18" t="n">
        <v>0.5087</v>
      </c>
      <c r="H10" s="19" t="n">
        <v>58.63</v>
      </c>
      <c r="I10" s="19" t="n">
        <v>48.4</v>
      </c>
    </row>
    <row r="11">
      <c r="A11" s="14" t="inlineStr">
        <is>
          <t>M17B4</t>
        </is>
      </c>
      <c r="B11" s="29" t="n">
        <v>124.71</v>
      </c>
      <c r="C11" s="21" t="n">
        <v>14.25</v>
      </c>
      <c r="D11" s="15" t="inlineStr">
        <is>
          <t>294 – 629</t>
        </is>
      </c>
      <c r="E11" s="15" t="n">
        <v>335</v>
      </c>
      <c r="F11" s="15" t="n">
        <v>18.69</v>
      </c>
      <c r="G11" s="20" t="n">
        <v>0.4235</v>
      </c>
      <c r="H11" s="21" t="n">
        <v>3.97</v>
      </c>
      <c r="I11" s="21" t="n">
        <v>91.94</v>
      </c>
    </row>
    <row r="12">
      <c r="A12" s="7" t="inlineStr">
        <is>
          <t>M17B6</t>
        </is>
      </c>
      <c r="B12" s="28" t="n">
        <v>106.54</v>
      </c>
      <c r="C12" s="19" t="n">
        <v>12.17</v>
      </c>
      <c r="D12" s="11" t="inlineStr">
        <is>
          <t>403 – 1049</t>
        </is>
      </c>
      <c r="E12" s="11" t="n">
        <v>646</v>
      </c>
      <c r="F12" s="11" t="n">
        <v>23.42</v>
      </c>
      <c r="G12" s="18" t="n">
        <v>0.4464</v>
      </c>
      <c r="H12" s="19" t="n">
        <v>18.53</v>
      </c>
      <c r="I12" s="19" t="n">
        <v>81.81999999999999</v>
      </c>
    </row>
    <row r="13">
      <c r="A13" s="14" t="inlineStr">
        <is>
          <t>22</t>
        </is>
      </c>
      <c r="B13" s="29" t="n">
        <v>79.33</v>
      </c>
      <c r="C13" s="21" t="n">
        <v>9.06</v>
      </c>
      <c r="D13" s="15" t="inlineStr">
        <is>
          <t>235 – 596</t>
        </is>
      </c>
      <c r="E13" s="15" t="n">
        <v>361</v>
      </c>
      <c r="F13" s="15" t="n">
        <v>22.51</v>
      </c>
      <c r="G13" s="20" t="n">
        <v>0.4232</v>
      </c>
      <c r="H13" s="21" t="n">
        <v>0.32</v>
      </c>
      <c r="I13" s="21" t="n">
        <v>93.29000000000001</v>
      </c>
    </row>
    <row r="14">
      <c r="A14" s="7" t="inlineStr">
        <is>
          <t>27</t>
        </is>
      </c>
      <c r="B14" s="28" t="n">
        <v>78.15000000000001</v>
      </c>
      <c r="C14" s="19" t="n">
        <v>8.93</v>
      </c>
      <c r="D14" s="11" t="inlineStr">
        <is>
          <t>1518 – 1895</t>
        </is>
      </c>
      <c r="E14" s="11" t="n">
        <v>377</v>
      </c>
      <c r="F14" s="11" t="n">
        <v>30.25</v>
      </c>
      <c r="G14" s="18" t="n">
        <v>0.5323</v>
      </c>
      <c r="H14" s="19" t="n">
        <v>64.75</v>
      </c>
      <c r="I14" s="19" t="n">
        <v>37.5</v>
      </c>
    </row>
    <row r="15">
      <c r="A15" s="14" t="inlineStr">
        <is>
          <t>M17B10</t>
        </is>
      </c>
      <c r="B15" s="29" t="n">
        <v>75.36</v>
      </c>
      <c r="C15" s="21" t="n">
        <v>8.609999999999999</v>
      </c>
      <c r="D15" s="15" t="inlineStr">
        <is>
          <t>466 – 902</t>
        </is>
      </c>
      <c r="E15" s="15" t="n">
        <v>436</v>
      </c>
      <c r="F15" s="15" t="n">
        <v>25.94</v>
      </c>
      <c r="G15" s="20" t="n">
        <v>0.4725</v>
      </c>
      <c r="H15" s="21" t="n">
        <v>29.2</v>
      </c>
      <c r="I15" s="21" t="n">
        <v>73.33</v>
      </c>
    </row>
    <row r="16">
      <c r="A16" s="12" t="inlineStr">
        <is>
          <t>► M17B5</t>
        </is>
      </c>
      <c r="B16" s="30" t="n">
        <v>74.03</v>
      </c>
      <c r="C16" s="31" t="n">
        <v>8.460000000000001</v>
      </c>
      <c r="D16" s="13" t="inlineStr">
        <is>
          <t>794 – 1317</t>
        </is>
      </c>
      <c r="E16" s="13" t="n">
        <v>523</v>
      </c>
      <c r="F16" s="13" t="n">
        <v>27.42</v>
      </c>
      <c r="G16" s="32" t="n">
        <v>0.5482</v>
      </c>
      <c r="H16" s="31" t="n">
        <v>61.34</v>
      </c>
      <c r="I16" s="31" t="n">
        <v>28.94</v>
      </c>
    </row>
    <row r="17">
      <c r="A17" s="14" t="inlineStr">
        <is>
          <t>M17B1</t>
        </is>
      </c>
      <c r="B17" s="29" t="n">
        <v>42.45</v>
      </c>
      <c r="C17" s="21" t="n">
        <v>4.85</v>
      </c>
      <c r="D17" s="15" t="inlineStr">
        <is>
          <t>177 – 313</t>
        </is>
      </c>
      <c r="E17" s="15" t="n">
        <v>136</v>
      </c>
      <c r="F17" s="15" t="n">
        <v>14.73</v>
      </c>
      <c r="G17" s="20" t="n">
        <v>0.3323</v>
      </c>
      <c r="H17" s="21" t="n">
        <v>0</v>
      </c>
      <c r="I17" s="21" t="n">
        <v>99.84</v>
      </c>
    </row>
    <row r="18">
      <c r="A18" s="7" t="inlineStr">
        <is>
          <t>32</t>
        </is>
      </c>
      <c r="B18" s="28" t="n">
        <v>35.83</v>
      </c>
      <c r="C18" s="19" t="n">
        <v>4.09</v>
      </c>
      <c r="D18" s="11" t="inlineStr">
        <is>
          <t>197 – 269</t>
        </is>
      </c>
      <c r="E18" s="11" t="n">
        <v>72</v>
      </c>
      <c r="F18" s="11" t="n">
        <v>12.87</v>
      </c>
      <c r="G18" s="18" t="n">
        <v>0.3716</v>
      </c>
      <c r="H18" s="19" t="inlineStr">
        <is>
          <t>Por determinar</t>
        </is>
      </c>
      <c r="I18" s="11" t="inlineStr">
        <is>
          <t>s/d</t>
        </is>
      </c>
    </row>
    <row r="19">
      <c r="A19" s="16" t="inlineStr">
        <is>
          <t>TOTAL / PROMEDIO</t>
        </is>
      </c>
      <c r="B19" s="33">
        <f>SUM(B10:B18)</f>
        <v>875.24</v>
      </c>
      <c r="C19" s="23">
        <f>SUM(C10:C18)</f>
        <v>99.99</v>
      </c>
      <c r="D19" s="17" t="inlineStr">
        <is>
          <t>177 – 1895</t>
        </is>
      </c>
      <c r="E19" s="17" t="inlineStr"/>
      <c r="F19" s="17">
        <f>ROUND(AVERAGE(F10:F18),2)</f>
        <v>22.85</v>
      </c>
      <c r="G19" s="22">
        <f>ROUND(AVERAGE(G10:G18),4)</f>
        <v>0.451</v>
      </c>
      <c r="H19" s="23">
        <f>ROUND(AVERAGE(H10:H18),2)</f>
        <v>29.59</v>
      </c>
      <c r="I19" s="23">
        <f>ROUND(AVERAGE(I10:I18),2)</f>
        <v>69.38</v>
      </c>
    </row>
    <row r="20" ht="48" customHeight="1">
      <c r="A20" s="9" t="inlineStr">
        <is>
          <t>ALCANCE DE LOS PROMEDIOS. La fila TOTAL / PROMEDIO omite las celdas «Por determinar»: el promedio de VEGETACIÓN ALTA (NDVI 2025) se calcula sobre 8 de los 9 bloques; el bloque restante carece de estadística zonal de NDVI. Los totales de ÁREA y % de microcuenca sí comprenden la totalidad de los 9 bloques. No se estima ningún valor ausente.</t>
        </is>
      </c>
      <c r="B20" s="41" t="n"/>
      <c r="C20" s="41" t="n"/>
      <c r="D20" s="41" t="n"/>
      <c r="E20" s="41" t="n"/>
      <c r="F20" s="41" t="n"/>
      <c r="G20" s="41" t="n"/>
      <c r="H20" s="42" t="n"/>
    </row>
    <row r="21"/>
    <row r="22" ht="84" customHeight="1">
      <c r="A22" s="9" t="inlineStr">
        <is>
          <t>LECTURA INTRAMICROCUENCA. El bloque M17B5 ocupa el puesto 7 de 9 por superficie dentro de la microcuenca C1096-Q9556 (8.46 % de las 875.24 ha preliminares de la microcuenca). Su pendiente promedio (27.42 %, clase «25-50% (Mod. escarpado)») es la 7.ª más baja de 9 y se sitúa por encima del promedio de la microcuenca (22.85 %). Su MSAVI 2024 (0.5482) es el 1.º de 9 y queda por encima del promedio local (0.4510). Amplitud altitudinal del bloque: 523 m (794–1317 msnm). El cuadro conserva todos los bloques catalogados en la microcuenca, incluidos los descartados en el tamizaje, para referencia del conjunto. Los bloques sin ficha DT figuran con sus parámetros de gabinete. BRECHA ESPECTRAL. El 28.94 % de la superficie del bloque (21.426 ha de 74.028 ha) se sitúa bajo el umbral MSAVI 0.4976, por debajo del promedio local de la microcuenca (69.38 %) calculado sobre los bloques con dato MSAVI disponible.</t>
        </is>
      </c>
      <c r="B22" s="41" t="n"/>
      <c r="C22" s="41" t="n"/>
      <c r="D22" s="41" t="n"/>
      <c r="E22" s="41" t="n"/>
      <c r="F22" s="41" t="n"/>
      <c r="G22" s="41" t="n"/>
      <c r="H22" s="42" t="n"/>
    </row>
    <row r="23"/>
    <row r="24" ht="60" customHeight="1">
      <c r="A24"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4" s="41" t="n"/>
      <c r="C24" s="41" t="n"/>
      <c r="D24" s="41" t="n"/>
      <c r="E24" s="41" t="n"/>
      <c r="F24" s="41" t="n"/>
      <c r="G24" s="41" t="n"/>
      <c r="H24" s="42" t="n"/>
    </row>
  </sheetData>
  <mergeCells count="10">
    <mergeCell ref="A1:I1"/>
    <mergeCell ref="A4:I4"/>
    <mergeCell ref="A3:I3"/>
    <mergeCell ref="A20:I20"/>
    <mergeCell ref="A24:I24"/>
    <mergeCell ref="A2:I2"/>
    <mergeCell ref="A5:I5"/>
    <mergeCell ref="A8:I8"/>
    <mergeCell ref="A6:I6"/>
    <mergeCell ref="A22:I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3"/>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M17B5</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«C1096-Q9556»</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270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(74.065 ha) coincide con la de catálogo (74.03 ha) dentro del ±2 % (+0.05 %)</t>
        </is>
      </c>
      <c r="D12" s="35" t="inlineStr">
        <is>
          <t>CONFORME</t>
        </is>
      </c>
      <c r="E12" s="34" t="inlineStr">
        <is>
          <t>Sin acción: la segmentación valida la geometría del bloque.</t>
        </is>
      </c>
    </row>
    <row r="13" ht="48" customHeight="1">
      <c r="A13" s="36" t="inlineStr">
        <is>
          <t>D-04</t>
        </is>
      </c>
      <c r="B13" s="36" t="inlineStr">
        <is>
          <t>Rango altitudinal / piso ecológico</t>
        </is>
      </c>
      <c r="C13" s="36" t="inlineStr">
        <is>
          <t>La ficha DT declara «1000-1500 m (Quechua baja) — TRANSICIONAL: 40-45% del polígono bajo 1000 msnm (Yunga)»; el MDE sitúa el bloque entre 794 y 1317 msnm, cuyo punto medio corresponde a «1000-1500 m (Quechua baja)»</t>
        </is>
      </c>
      <c r="D13" s="13" t="inlineStr">
        <is>
          <t>NO SUSTANTIVA</t>
        </is>
      </c>
      <c r="E13" s="36" t="inlineStr">
        <is>
          <t>Se declara la divergencia. El bloque abarca más de un piso altitudinal cuando la amplitud supera el ancho de la clase; el registro de campo corresponde al sector recorrido.</t>
        </is>
      </c>
    </row>
    <row r="14" ht="48" customHeight="1">
      <c r="A14" s="34" t="inlineStr">
        <is>
          <t>D-05</t>
        </is>
      </c>
      <c r="B14" s="34" t="inlineStr">
        <is>
          <t>Peligro integrado (MCA-AHP)</t>
        </is>
      </c>
      <c r="C14" s="34" t="inlineStr">
        <is>
          <t>El nivel de peligro integrado no está disponible en los insumos de este entregable</t>
        </is>
      </c>
      <c r="D14" s="37" t="inlineStr">
        <is>
          <t>SUSTANTIVA</t>
        </is>
      </c>
      <c r="E14" s="34" t="inlineStr">
        <is>
          <t>Debe tomarse del modelamiento de mesolocalización (PMM + EPH + PGI ponderados por AHP) antes de fijar la prioridad definitiva de intervención del bloque.</t>
        </is>
      </c>
    </row>
    <row r="15" ht="48" customHeight="1">
      <c r="A15" s="36" t="inlineStr">
        <is>
          <t>D-06</t>
        </is>
      </c>
      <c r="B15" s="36" t="inlineStr">
        <is>
          <t>Ficha DT</t>
        </is>
      </c>
      <c r="C15" s="36" t="inlineStr">
        <is>
          <t>EL PDF CONTIENE DOS JUEGOS DE FICHAS F-DT PARA EL MISMO BLOQUE (26-08-2026 y 14-07-2026) con valores divergentes</t>
        </is>
      </c>
      <c r="D15" s="37" t="inlineStr">
        <is>
          <t>SUSTANTIVA</t>
        </is>
      </c>
      <c r="E15" s="36" t="inlineStr">
        <is>
          <t>Consolidar en una sola versión oficial antes del entregable</t>
        </is>
      </c>
    </row>
    <row r="16" ht="48" customHeight="1">
      <c r="A16" s="34" t="inlineStr">
        <is>
          <t>D-07</t>
        </is>
      </c>
      <c r="B16" s="34" t="inlineStr">
        <is>
          <t>F-DT-02</t>
        </is>
      </c>
      <c r="C16" s="34" t="inlineStr">
        <is>
          <t>Sellamiento: «Sí» en el juego 1 y «No» en el juego 2; N.° de cárcavas: 2 vs. 1</t>
        </is>
      </c>
      <c r="D16" s="37" t="inlineStr">
        <is>
          <t>SUSTANTIVA</t>
        </is>
      </c>
      <c r="E16" s="34" t="inlineStr">
        <is>
          <t>Discrepancia entre juegos a resolver</t>
        </is>
      </c>
    </row>
    <row r="17" ht="48" customHeight="1">
      <c r="A17" s="36" t="inlineStr">
        <is>
          <t>D-08</t>
        </is>
      </c>
      <c r="B17" s="36" t="inlineStr">
        <is>
          <t>F-DT-01</t>
        </is>
      </c>
      <c r="C17" s="36" t="inlineStr">
        <is>
          <t>Cobertura física del levantamiento &lt;10% de las 74.03 ha; sectores central, norte y sureste no recorridos</t>
        </is>
      </c>
      <c r="D17" s="37" t="inlineStr">
        <is>
          <t>SUSTANTIVA</t>
        </is>
      </c>
      <c r="E17" s="36" t="inlineStr">
        <is>
          <t>Toda calificación aplica solo al sector occidental</t>
        </is>
      </c>
    </row>
    <row r="18" ht="48" customHeight="1">
      <c r="A18" s="34" t="inlineStr">
        <is>
          <t>D-09</t>
        </is>
      </c>
      <c r="B18" s="34" t="inlineStr">
        <is>
          <t>F-DT-01</t>
        </is>
      </c>
      <c r="C18" s="34" t="inlineStr">
        <is>
          <t>Altitud GPS no registrada; el valor 900 msnm es interpolado de curvas de nivel (±25 m)</t>
        </is>
      </c>
      <c r="D18" s="37" t="inlineStr">
        <is>
          <t>SUSTANTIVA</t>
        </is>
      </c>
      <c r="E18" s="34" t="inlineStr">
        <is>
          <t>No es lectura GPS</t>
        </is>
      </c>
    </row>
    <row r="19" ht="48" customHeight="1">
      <c r="A19" s="36" t="inlineStr">
        <is>
          <t>D-10</t>
        </is>
      </c>
      <c r="B19" s="36" t="inlineStr">
        <is>
          <t>F-DT-01</t>
        </is>
      </c>
      <c r="C19" s="36" t="inlineStr">
        <is>
          <t>El bloque cabalga dos pisos altitudinales (794-1 317 msnm); ≈40-45% bajo 1 000 msnm</t>
        </is>
      </c>
      <c r="D19" s="13" t="inlineStr">
        <is>
          <t>NO SUSTANTIVA</t>
        </is>
      </c>
      <c r="E19" s="36" t="inlineStr">
        <is>
          <t>Se consigna la clase de mayor superficie</t>
        </is>
      </c>
    </row>
    <row r="20" ht="48" customHeight="1">
      <c r="A20" s="34" t="inlineStr">
        <is>
          <t>D-11</t>
        </is>
      </c>
      <c r="B20" s="34" t="inlineStr">
        <is>
          <t>Ficha DT (juego 1)</t>
        </is>
      </c>
      <c r="C20" s="34" t="inlineStr">
        <is>
          <t>UTM Este 645 575 = valor por defecto de la plantilla</t>
        </is>
      </c>
      <c r="D20" s="37" t="inlineStr">
        <is>
          <t>SUSTANTIVA</t>
        </is>
      </c>
      <c r="E20" s="34" t="inlineStr">
        <is>
          <t>Georreferencia por reponer</t>
        </is>
      </c>
    </row>
    <row r="21" ht="48" customHeight="1">
      <c r="A21" s="36" t="inlineStr">
        <is>
          <t>D-12</t>
        </is>
      </c>
      <c r="B21" s="36" t="inlineStr">
        <is>
          <t>F-DT-02</t>
        </is>
      </c>
      <c r="C21" s="36" t="inlineStr">
        <is>
          <t>Dimensiones de las incisiones no medidas por falta de instrumental</t>
        </is>
      </c>
      <c r="D21" s="37" t="inlineStr">
        <is>
          <t>SUSTANTIVA</t>
        </is>
      </c>
      <c r="E21" s="36" t="inlineStr">
        <is>
          <t>Levantamiento pendiente</t>
        </is>
      </c>
    </row>
    <row r="22" ht="48" customHeight="1">
      <c r="A22" s="34" t="inlineStr">
        <is>
          <t>D-13</t>
        </is>
      </c>
      <c r="B22" s="34" t="inlineStr">
        <is>
          <t>F-DT-03</t>
        </is>
      </c>
      <c r="C22" s="34" t="inlineStr">
        <is>
          <t>LISTADO FLORÍSTICO TRANSFERIDO DEL BLOQUE M17B6; no procede de inventario en M17B5</t>
        </is>
      </c>
      <c r="D22" s="37" t="inlineStr">
        <is>
          <t>SUSTANTIVA</t>
        </is>
      </c>
      <c r="E22" s="34" t="inlineStr">
        <is>
          <t>Hipótesis de trabajo sujeta a ratificación; previsibles elementos de transición a bosque montano no representados</t>
        </is>
      </c>
    </row>
    <row r="23" ht="48" customHeight="1">
      <c r="A23" s="36" t="inlineStr">
        <is>
          <t>D-14</t>
        </is>
      </c>
      <c r="B23" s="36" t="inlineStr">
        <is>
          <t>F-DT-03</t>
        </is>
      </c>
      <c r="C23" s="36" t="inlineStr">
        <is>
          <t>Epífitas «Sí» consignado por analogía con M17B6, no por observación directa</t>
        </is>
      </c>
      <c r="D23" s="13" t="inlineStr">
        <is>
          <t>NO SUSTANTIVA</t>
        </is>
      </c>
      <c r="E23" s="36" t="inlineStr">
        <is>
          <t>Por verificar</t>
        </is>
      </c>
    </row>
    <row r="24" ht="48" customHeight="1">
      <c r="A24" s="34" t="inlineStr">
        <is>
          <t>D-15</t>
        </is>
      </c>
      <c r="B24" s="34" t="inlineStr">
        <is>
          <t>F-DT-04</t>
        </is>
      </c>
      <c r="C24" s="34" t="inlineStr">
        <is>
          <t>Indicadores 3 a 7 sin consignar; extensiones estimadas visualmente y antigüedad en blanco</t>
        </is>
      </c>
      <c r="D24" s="37" t="inlineStr">
        <is>
          <t>SUSTANTIVA</t>
        </is>
      </c>
      <c r="E24" s="34" t="inlineStr">
        <is>
          <t>Cuantificación pendiente</t>
        </is>
      </c>
    </row>
    <row r="25" ht="48" customHeight="1">
      <c r="A25" s="36" t="inlineStr">
        <is>
          <t>D-16</t>
        </is>
      </c>
      <c r="B25" s="36" t="inlineStr">
        <is>
          <t>F-DT-04</t>
        </is>
      </c>
      <c r="C25" s="36" t="inlineStr">
        <is>
          <t>D-05: MSAVI 0.5482 (el más alto de la microcuenca), NDVI sin tierra desnuda y estado «levemente alterado»</t>
        </is>
      </c>
      <c r="D25" s="37" t="inlineStr">
        <is>
          <t>SUSTANTIVA</t>
        </is>
      </c>
      <c r="E25" s="36" t="inlineStr">
        <is>
          <t>ELEVADO A LA SUBDIRECCIÓN: verificar si califica como ecosistema degradado bajo la R.M. 00213-2024-MINAM</t>
        </is>
      </c>
    </row>
    <row r="26" ht="48" customHeight="1">
      <c r="A26" s="34" t="inlineStr">
        <is>
          <t>D-17</t>
        </is>
      </c>
      <c r="B26" s="34" t="inlineStr">
        <is>
          <t>F-DT-04</t>
        </is>
      </c>
      <c r="C26" s="34" t="inlineStr">
        <is>
          <t>Heterogeneidad interna: degradación perimetral occidental frente a cuerpo central y oriental conservado</t>
        </is>
      </c>
      <c r="D26" s="37" t="inlineStr">
        <is>
          <t>SUSTANTIVA</t>
        </is>
      </c>
      <c r="E26" s="34" t="inlineStr">
        <is>
          <t>Obliga a ZONIFICACIÓN DIFERENCIADA de las MRR-CCC, no a tratamiento uniforme</t>
        </is>
      </c>
    </row>
    <row r="27" ht="48" customHeight="1">
      <c r="A27" s="34" t="inlineStr">
        <is>
          <t>D-18</t>
        </is>
      </c>
      <c r="B27" s="34" t="inlineStr">
        <is>
          <t>Distribución areal MSAVI 2024</t>
        </is>
      </c>
      <c r="C27" s="34" t="inlineStr">
        <is>
          <t>La distribución por clase de MSAVI no figuraba en los insumos del entregable y se consignaba «Por determinar»; se incorpora la estadística zonal del ráster MSAVI clasificado (318 polígonos, 74.028 ha)</t>
        </is>
      </c>
      <c r="D27" s="37" t="inlineStr">
        <is>
          <t>CORREGIDO</t>
        </is>
      </c>
      <c r="E27" s="34"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28" ht="48" customHeight="1">
      <c r="A28" s="34" t="inlineStr">
        <is>
          <t>D-19</t>
        </is>
      </c>
      <c r="B28" s="34" t="inlineStr">
        <is>
          <t>Superficie MSAVI vs. catálogo</t>
        </is>
      </c>
      <c r="C28" s="34" t="inlineStr">
        <is>
          <t>La superficie total clasificada por el MSAVI 2024 (74.028 ha) frente a la de catálogo V5/V6 (74.030 ha): desviación de +0.00 %</t>
        </is>
      </c>
      <c r="D28" s="37" t="inlineStr">
        <is>
          <t>CONFORME</t>
        </is>
      </c>
      <c r="E28" s="34" t="inlineStr">
        <is>
          <t>Sin acción: la segmentación del ráster valida la geometría del bloque dentro del ±2 %.</t>
        </is>
      </c>
    </row>
    <row r="29" ht="48" customHeight="1">
      <c r="A29" s="34" t="inlineStr">
        <is>
          <t>D-20</t>
        </is>
      </c>
      <c r="B29" s="34" t="inlineStr">
        <is>
          <t>Media MSAVI vs. clase DN dominante</t>
        </is>
      </c>
      <c r="C29" s="34" t="inlineStr">
        <is>
          <t>La media del bloque (0.5482) cae en la clase «DN 4 · 0.4976 - 0.6139 (Vigor moderado)»; la clase de mayor superficie es «DN 4 · 0.4976 - 0.6139 (Vigor moderado)», con 49.69 % del bloque. Superficie bajo el umbral 0.4976: 21.426 ha (28.94 %)</t>
        </is>
      </c>
      <c r="D29" s="37" t="inlineStr">
        <is>
          <t>CONFORME</t>
        </is>
      </c>
      <c r="E29" s="34" t="inlineStr">
        <is>
          <t>Sin acción: la media del bloque y la clase de mayor superficie coinciden.</t>
        </is>
      </c>
    </row>
    <row r="30"/>
    <row r="31">
      <c r="A31" s="16" t="inlineStr">
        <is>
          <t>RESUMEN</t>
        </is>
      </c>
      <c r="B31" s="17" t="inlineStr">
        <is>
          <t>20 verificaciones</t>
        </is>
      </c>
      <c r="C31" s="17" t="inlineStr">
        <is>
          <t>CONFORME: 5 · CORREGIDO: 1 · NO SUSTANTIVA: 3 · SUSTANTIVA: 11</t>
        </is>
      </c>
      <c r="D31" s="17" t="inlineStr"/>
      <c r="E31" s="17" t="inlineStr"/>
    </row>
    <row r="32"/>
    <row r="33" ht="60" customHeight="1">
      <c r="A33"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33" s="41" t="n"/>
      <c r="C33" s="41" t="n"/>
      <c r="D33" s="41" t="n"/>
      <c r="E33" s="42" t="n"/>
    </row>
  </sheetData>
  <mergeCells count="8">
    <mergeCell ref="A4:E4"/>
    <mergeCell ref="A2:E2"/>
    <mergeCell ref="A33:E33"/>
    <mergeCell ref="A5:E5"/>
    <mergeCell ref="A1:E1"/>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M17B5 — IN Piura</dc:title>
  <dc:subject>Diagnóstico Territorial por bloque de intervención</dc:subject>
  <dcterms:created xsi:type="dcterms:W3CDTF">2026-09-08T03:39:53Z</dcterms:created>
  <dcterms:modified xsi:type="dcterms:W3CDTF">2026-09-10T00:28:31Z</dcterms:modified>
</cp:coreProperties>
</file>