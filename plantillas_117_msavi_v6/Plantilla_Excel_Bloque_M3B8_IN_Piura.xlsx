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M3B8</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M3B8</t>
        </is>
      </c>
      <c r="C9" s="6" t="inlineStr">
        <is>
          <t>Microcuenca (catálogo)</t>
        </is>
      </c>
      <c r="D9" s="7" t="inlineStr">
        <is>
          <t>C1081-Q9582</t>
        </is>
      </c>
      <c r="E9" s="8" t="n"/>
      <c r="F9" s="8" t="n"/>
    </row>
    <row r="10">
      <c r="A10" s="6" t="inlineStr">
        <is>
          <t>Zona de planificación</t>
        </is>
      </c>
      <c r="B10" s="7" t="inlineStr">
        <is>
          <t>Z08</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Santa Rosa</t>
        </is>
      </c>
      <c r="C13" s="6" t="inlineStr">
        <is>
          <t>Comunidad campesina</t>
        </is>
      </c>
      <c r="D13" s="7" t="inlineStr">
        <is>
          <t>Caserío Santa Rosa / Anexo Hacienda Bigote (sin C.C. titulada verificada)</t>
        </is>
      </c>
      <c r="E13" s="8" t="n"/>
      <c r="F13" s="8" t="n"/>
    </row>
    <row r="14">
      <c r="A14" s="6" t="inlineStr">
        <is>
          <t>Superficie de catálogo (V5/V6), ha</t>
        </is>
      </c>
      <c r="B14" s="7" t="n">
        <v>565.58</v>
      </c>
      <c r="C14" s="6" t="inlineStr">
        <is>
          <t>Fuente de superficie</t>
        </is>
      </c>
      <c r="D14" s="7" t="inlineStr">
        <is>
          <t>Catálogo maestro Bloques V5/V6</t>
        </is>
      </c>
      <c r="E14" s="8" t="n"/>
      <c r="F14" s="8" t="n"/>
    </row>
    <row r="15">
      <c r="A15" s="6" t="inlineStr">
        <is>
          <t>Centroide UTM ESTE (m)</t>
        </is>
      </c>
      <c r="B15" s="7" t="n">
        <v>632119</v>
      </c>
      <c r="C15" s="6" t="inlineStr">
        <is>
          <t>Centroide UTM NORTE (m)</t>
        </is>
      </c>
      <c r="D15" s="7" t="n">
        <v>9415141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195</v>
      </c>
      <c r="C19" s="6" t="inlineStr">
        <is>
          <t>Altitud máxima (msnm)</t>
        </is>
      </c>
      <c r="D19" s="7" t="n">
        <v>562</v>
      </c>
      <c r="E19" s="8" t="n"/>
      <c r="F19" s="8" t="n"/>
    </row>
    <row r="20">
      <c r="A20" s="6" t="inlineStr">
        <is>
          <t>Amplitud altitudinal (m)</t>
        </is>
      </c>
      <c r="B20" s="7" t="n">
        <v>367</v>
      </c>
      <c r="C20" s="6" t="inlineStr">
        <is>
          <t>Piso altitudinal dominante</t>
        </is>
      </c>
      <c r="D20" s="7" t="inlineStr">
        <is>
          <t>&lt;1000 m (Yunga)</t>
        </is>
      </c>
      <c r="E20" s="8" t="n"/>
      <c r="F20" s="8" t="n"/>
    </row>
    <row r="21">
      <c r="A21" s="6" t="inlineStr">
        <is>
          <t>Pendiente promedio (%)</t>
        </is>
      </c>
      <c r="B21" s="7" t="n">
        <v>13.65</v>
      </c>
      <c r="C21" s="6" t="inlineStr">
        <is>
          <t>Pendiente promedio (grados)</t>
        </is>
      </c>
      <c r="D21" s="7" t="n">
        <v>7.8</v>
      </c>
      <c r="E21" s="8" t="n"/>
      <c r="F21" s="8" t="n"/>
    </row>
    <row r="22">
      <c r="A22" s="6" t="inlineStr">
        <is>
          <t>Clase de pendiente equivalente</t>
        </is>
      </c>
      <c r="B22" s="7" t="inlineStr">
        <is>
          <t>8-15% (Mod.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0.2934</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(57.40 %)</t>
        </is>
      </c>
      <c r="E29" s="8" t="n"/>
      <c r="F29" s="8" t="n"/>
    </row>
    <row r="30">
      <c r="A30" s="6" t="inlineStr">
        <is>
          <t>Superficie clasificada NDVI 2025 (ha)</t>
        </is>
      </c>
      <c r="B30" s="7" t="n">
        <v>565.792</v>
      </c>
      <c r="C30" s="6" t="inlineStr">
        <is>
          <t>Desviación frente al catálogo (%)</t>
        </is>
      </c>
      <c r="D30" s="7" t="n">
        <v>0.04</v>
      </c>
      <c r="E30" s="8" t="n"/>
      <c r="F30" s="8" t="n"/>
    </row>
    <row r="31">
      <c r="A31" s="6" t="inlineStr">
        <is>
          <t>Superficie clasificada MSAVI 2024 (ha)</t>
        </is>
      </c>
      <c r="B31" s="39" t="n">
        <v>565.5839999999999</v>
      </c>
      <c r="C31" s="6" t="inlineStr">
        <is>
          <t>Desviación MSAVI frente al catálogo (%)</t>
        </is>
      </c>
      <c r="D31" s="40" t="n">
        <v>0</v>
      </c>
      <c r="E31" s="8" t="n"/>
      <c r="F31" s="8" t="n"/>
    </row>
    <row r="32">
      <c r="A32" s="6" t="inlineStr">
        <is>
          <t>Superficie bajo umbral MSAVI 0.4976 (ha)</t>
        </is>
      </c>
      <c r="B32" s="39" t="n">
        <v>562.186</v>
      </c>
      <c r="C32" s="6" t="inlineStr">
        <is>
          <t>% del bloque bajo umbral (brecha espectral)</t>
        </is>
      </c>
      <c r="D32" s="40" t="n">
        <v>99.40000000000001</v>
      </c>
      <c r="E32" s="8" t="n"/>
      <c r="F32" s="8" t="n"/>
    </row>
    <row r="33">
      <c r="A33" s="6" t="inlineStr">
        <is>
          <t>Clase DN dominante (MSAVI 2024)</t>
        </is>
      </c>
      <c r="B33" s="7" t="inlineStr">
        <is>
          <t>DN 2 · 0.2650 - 0.3813 (Vigor muy bajo)</t>
        </is>
      </c>
      <c r="C33" s="6" t="inlineStr">
        <is>
          <t>N.° de polígonos MSAVI del bloque</t>
        </is>
      </c>
      <c r="D33" s="41" t="n">
        <v>2000</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565.58 ha (100% del bloque)</t>
        </is>
      </c>
      <c r="E36" s="8" t="n"/>
      <c r="F36" s="8" t="n"/>
    </row>
    <row r="37">
      <c r="A37" s="6" t="inlineStr">
        <is>
          <t>Estado de conservación</t>
        </is>
      </c>
      <c r="B37" s="7" t="inlineStr">
        <is>
          <t>Muy alterado / Degradado</t>
        </is>
      </c>
      <c r="C37" s="6" t="inlineStr">
        <is>
          <t>Uso actual dominante del suelo</t>
        </is>
      </c>
      <c r="D37" s="7" t="inlineStr">
        <is>
          <t>Pastoreo extensivo</t>
        </is>
      </c>
      <c r="E37" s="8" t="n"/>
      <c r="F37" s="8" t="n"/>
    </row>
    <row r="38">
      <c r="A38" s="6" t="inlineStr">
        <is>
          <t>Tipo de cobertura dominante</t>
        </is>
      </c>
      <c r="B38" s="7" t="inlineStr">
        <is>
          <t>Pastizal natural</t>
        </is>
      </c>
      <c r="C38" s="6" t="inlineStr">
        <is>
          <t>Cobertura vegetal total — campo (%)</t>
        </is>
      </c>
      <c r="D38" s="7" t="n">
        <v>45</v>
      </c>
      <c r="E38" s="8" t="n"/>
      <c r="F38" s="8" t="n"/>
    </row>
    <row r="39">
      <c r="A39" s="6" t="inlineStr">
        <is>
          <t>Suelo desnudo — campo (%)</t>
        </is>
      </c>
      <c r="B39" s="7" t="n">
        <v>25</v>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n">
        <v>3</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Ing. Juan Carlos Domínguez Varas</t>
        </is>
      </c>
      <c r="C44" s="6" t="inlineStr">
        <is>
          <t>Fecha de evaluación</t>
        </is>
      </c>
      <c r="D44" s="7" t="inlineStr">
        <is>
          <t>2026-05-19</t>
        </is>
      </c>
      <c r="E44" s="8" t="n"/>
      <c r="F44" s="8" t="n"/>
    </row>
    <row r="45">
      <c r="A45" s="6" t="inlineStr">
        <is>
          <t>Hora de registro</t>
        </is>
      </c>
      <c r="B45" s="7" t="inlineStr">
        <is>
          <t>13:20 h</t>
        </is>
      </c>
      <c r="C45" s="6" t="inlineStr">
        <is>
          <t>Correlativo de ficha</t>
        </is>
      </c>
      <c r="D45" s="7" t="inlineStr">
        <is>
          <t>F-DT-01-M3B8</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Ganadería extensiva no regulada y presión de subsistencia, con débil gobernanza territorial sobre el ecosistema</t>
        </is>
      </c>
      <c r="C51" s="6" t="inlineStr">
        <is>
          <t>Velocidad de degradación</t>
        </is>
      </c>
      <c r="D51" s="7" t="inlineStr">
        <is>
          <t>Rápida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M3B8</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3.3984</v>
      </c>
      <c r="C11" s="21">
        <f>ROUND(B11/$B$15*100,2)</f>
        <v/>
      </c>
      <c r="D11" s="13" t="inlineStr">
        <is>
          <t>Vigor moderado</t>
        </is>
      </c>
      <c r="E11" s="13" t="inlineStr">
        <is>
          <t>Sobre umbral</t>
        </is>
      </c>
    </row>
    <row r="12">
      <c r="A12" s="7" t="inlineStr">
        <is>
          <t>0.3813 - 0.4976 · DN 3</t>
        </is>
      </c>
      <c r="B12" s="18" t="n">
        <v>56.1326</v>
      </c>
      <c r="C12" s="19">
        <f>ROUND(B12/$B$15*100,2)</f>
        <v/>
      </c>
      <c r="D12" s="11" t="inlineStr">
        <is>
          <t>Vigor bajo</t>
        </is>
      </c>
      <c r="E12" s="11" t="inlineStr">
        <is>
          <t>BAJO umbral 0.4976</t>
        </is>
      </c>
    </row>
    <row r="13">
      <c r="A13" s="14" t="inlineStr">
        <is>
          <t>0.2650 - 0.3813 · DN 2</t>
        </is>
      </c>
      <c r="B13" s="30" t="n">
        <v>307.7686</v>
      </c>
      <c r="C13" s="29">
        <f>ROUND(B13/$B$15*100,2)</f>
        <v/>
      </c>
      <c r="D13" s="15" t="inlineStr">
        <is>
          <t>Vigor muy bajo</t>
        </is>
      </c>
      <c r="E13" s="15" t="inlineStr">
        <is>
          <t>BAJO umbral 0.4976</t>
        </is>
      </c>
    </row>
    <row r="14">
      <c r="A14" s="7" t="inlineStr">
        <is>
          <t>&lt;= 0.2650 · DN 1</t>
        </is>
      </c>
      <c r="B14" s="18" t="n">
        <v>198.2846</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2 000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565.58</v>
      </c>
      <c r="C18" s="50" t="inlineStr">
        <is>
          <t>—</t>
        </is>
      </c>
      <c r="D18" s="47" t="inlineStr">
        <is>
          <t>Desviación planimétrica frente al catálogo</t>
        </is>
      </c>
      <c r="E18" s="47" t="inlineStr">
        <is>
          <t>+0.00 %</t>
        </is>
      </c>
    </row>
    <row r="19">
      <c r="A19" s="16" t="inlineStr">
        <is>
          <t>MSAVI 2024 — MEDIA DEL BLOQUE</t>
        </is>
      </c>
      <c r="B19" s="17" t="n">
        <v>0.293351</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2 000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(0.2934)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18.0404</v>
      </c>
      <c r="C25" s="19" t="n">
        <v>3.19</v>
      </c>
      <c r="D25" s="11" t="inlineStr">
        <is>
          <t>Dosel continuo, matorral denso o mosaico agroforestal</t>
        </is>
      </c>
      <c r="E25" s="11" t="inlineStr"/>
    </row>
    <row r="26">
      <c r="A26" s="12" t="inlineStr">
        <is>
          <t>Vegetación mediana</t>
        </is>
      </c>
      <c r="B26" s="20" t="n">
        <v>150.5279</v>
      </c>
      <c r="C26" s="21" t="n">
        <v>26.6</v>
      </c>
      <c r="D26" s="13" t="inlineStr">
        <is>
          <t>Pastizal cultivado, matorral ralo, parcelas agrícolas</t>
        </is>
      </c>
      <c r="E26" s="13" t="inlineStr"/>
    </row>
    <row r="27">
      <c r="A27" s="7" t="inlineStr">
        <is>
          <t>Vegetación ligera</t>
        </is>
      </c>
      <c r="B27" s="18" t="n">
        <v>324.7497</v>
      </c>
      <c r="C27" s="19" t="n">
        <v>57.4</v>
      </c>
      <c r="D27" s="11" t="inlineStr">
        <is>
          <t>Cobertura discontinua, suelo parcialmente expuesto</t>
        </is>
      </c>
      <c r="E27" s="11" t="inlineStr"/>
    </row>
    <row r="28">
      <c r="A28" s="12" t="inlineStr">
        <is>
          <t>Tierra desnuda</t>
        </is>
      </c>
      <c r="B28" s="20" t="n">
        <v>72.474</v>
      </c>
      <c r="C28" s="21" t="n">
        <v>12.81</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565.58</v>
      </c>
      <c r="C30" s="25" t="inlineStr">
        <is>
          <t>—</t>
        </is>
      </c>
      <c r="D30" s="25" t="inlineStr">
        <is>
          <t>Desviación planimétrica frente al catálogo</t>
        </is>
      </c>
      <c r="E30" s="25" t="inlineStr">
        <is>
          <t>+0.04 %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45 % frente a un 3.19 % del polígono clasificado como «Vegetación alta» por el NDVI 2025; la observación de campo corresponde a una parcela o recorrido puntual y no es estadísticamente representativa de las 565.580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M3B8</t>
        </is>
      </c>
    </row>
    <row r="6" ht="24" customHeight="1">
      <c r="A6" s="4" t="inlineStr">
        <is>
          <t>Levantamiento del 2026-05-19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632159</v>
      </c>
      <c r="D10" s="26" t="n">
        <v>9414407</v>
      </c>
      <c r="E10" s="11" t="n">
        <v>735.1</v>
      </c>
      <c r="F10" s="11" t="inlineStr"/>
      <c r="G10" s="11" t="inlineStr">
        <is>
          <t>Coordenada consignada en F-DT-01</t>
        </is>
      </c>
    </row>
    <row r="11">
      <c r="A11" s="12" t="inlineStr">
        <is>
          <t>C-01</t>
        </is>
      </c>
      <c r="B11" s="13" t="inlineStr">
        <is>
          <t>Rasgo erosivo — Cárcava incipiente — 25 m, 0.4 m prof., 0.6 m ancho</t>
        </is>
      </c>
      <c r="C11" s="27" t="n">
        <v>632159</v>
      </c>
      <c r="D11" s="27" t="n">
        <v>9414407</v>
      </c>
      <c r="E11" s="13" t="n">
        <v>735.1</v>
      </c>
      <c r="F11" s="13" t="inlineStr">
        <is>
          <t>Activa</t>
        </is>
      </c>
      <c r="G11" s="13" t="inlineStr">
        <is>
          <t>Concentración natural de escorrentía</t>
        </is>
      </c>
    </row>
    <row r="12">
      <c r="A12" s="7" t="inlineStr">
        <is>
          <t>C-02</t>
        </is>
      </c>
      <c r="B12" s="11" t="inlineStr">
        <is>
          <t>Rasgo erosivo — Cárcava somera — 22 m, 0.6 m prof., 0.9 m ancho</t>
        </is>
      </c>
      <c r="C12" s="26" t="n">
        <v>632167</v>
      </c>
      <c r="D12" s="26" t="n">
        <v>9414417</v>
      </c>
      <c r="E12" s="11" t="n">
        <v>725.6</v>
      </c>
      <c r="F12" s="11" t="inlineStr">
        <is>
          <t>Activa</t>
        </is>
      </c>
      <c r="G12" s="11" t="inlineStr">
        <is>
          <t>Tala / pérdida de cobertura</t>
        </is>
      </c>
    </row>
    <row r="13">
      <c r="A13" s="12" t="inlineStr">
        <is>
          <t>C-03</t>
        </is>
      </c>
      <c r="B13" s="13" t="inlineStr">
        <is>
          <t>Rasgo erosivo — Surco (&lt;30 cm) — 15 m, 0.25 m prof., 0.35 m ancho</t>
        </is>
      </c>
      <c r="C13" s="27" t="n">
        <v>632141</v>
      </c>
      <c r="D13" s="27" t="n">
        <v>9414451</v>
      </c>
      <c r="E13" s="13" t="n">
        <v>690.4</v>
      </c>
      <c r="F13" s="13" t="inlineStr">
        <is>
          <t>Semi-activa</t>
        </is>
      </c>
      <c r="G13" s="13" t="inlineStr">
        <is>
          <t>Caminos / huellas de ganado</t>
        </is>
      </c>
    </row>
    <row r="14">
      <c r="A14" s="7" t="inlineStr">
        <is>
          <t>H-01</t>
        </is>
      </c>
      <c r="B14" s="11" t="inlineStr">
        <is>
          <t>Fuente de agua — Quebrada estacional</t>
        </is>
      </c>
      <c r="C14" s="26" t="n">
        <v>631900</v>
      </c>
      <c r="D14" s="26" t="n">
        <v>9414250</v>
      </c>
      <c r="E14" s="11" t="n">
        <v>917.5</v>
      </c>
      <c r="F14" s="11" t="inlineStr">
        <is>
          <t>Intermitente</t>
        </is>
      </c>
      <c r="G14" s="11" t="inlineStr">
        <is>
          <t>Cauce de Río Seco; seco en la evaluación</t>
        </is>
      </c>
    </row>
    <row r="15">
      <c r="A15" s="12" t="inlineStr">
        <is>
          <t>H-02</t>
        </is>
      </c>
      <c r="B15" s="13" t="inlineStr">
        <is>
          <t>Fuente de agua — Quebrada estacional</t>
        </is>
      </c>
      <c r="C15" s="27" t="n">
        <v>632160</v>
      </c>
      <c r="D15" s="27" t="n">
        <v>9414410</v>
      </c>
      <c r="E15" s="13" t="n">
        <v>732.1</v>
      </c>
      <c r="F15" s="13" t="inlineStr">
        <is>
          <t>Intermitente</t>
        </is>
      </c>
      <c r="G15" s="13" t="inlineStr">
        <is>
          <t>Drenaje natural interno</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632119</v>
      </c>
      <c r="C18" s="6" t="inlineStr">
        <is>
          <t>Centroide del bloque — UTM NORTE (m)</t>
        </is>
      </c>
      <c r="D18" s="7" t="n">
        <v>9415141</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1" ht="120"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Ingreso al bloque desde la capital distrital de Salitral (Morropón), CON CRUCE (VADO) DEL CAUCE DE RÍO SECO. Inspección del 19/05/2026. EL PROCESO MORFODINÁMICO DOMINANTE ES LA EROSIÓN HÍDRICA (cárcavas incipientes, surcos y erosión laminar) SOBRE SUELOS ROJIZOS DELGADOS, MÁS QUE LA REMOCIÓN EN MASA; se observa reptación de suelo asociada a sobrepastoreo. RELICTOS DEL BOSQUE SECO DE COLINA/MONTAÑA SE CONSERVAN EN LA PARTE ALTA INACCESIBLE. BLOQUE DE MAYOR SUPERFICIE DEL PORTAFOLIO: 565.58 ha.</t>
        </is>
      </c>
      <c r="B21" s="42" t="n"/>
      <c r="C21" s="42" t="n"/>
      <c r="D21" s="42" t="n"/>
      <c r="E21" s="42" t="n"/>
      <c r="F21" s="42" t="n"/>
      <c r="G21" s="43"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M3B8</t>
        </is>
      </c>
    </row>
    <row r="6" ht="24" customHeight="1">
      <c r="A6" s="4" t="inlineStr">
        <is>
          <t>Distrito de San Juan de Bigote · Provincia de Morropon · Comparación de los bloques preliminares de intervención de la misma microcuenca</t>
        </is>
      </c>
    </row>
    <row r="7"/>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M3B8</t>
        </is>
      </c>
      <c r="B10" s="28" t="n">
        <v>565.58</v>
      </c>
      <c r="C10" s="29" t="n">
        <v>44.83</v>
      </c>
      <c r="D10" s="15" t="inlineStr">
        <is>
          <t>195 – 562</t>
        </is>
      </c>
      <c r="E10" s="15" t="n">
        <v>367</v>
      </c>
      <c r="F10" s="15" t="n">
        <v>13.65</v>
      </c>
      <c r="G10" s="30" t="n">
        <v>0.2934</v>
      </c>
      <c r="H10" s="29" t="n">
        <v>3.19</v>
      </c>
      <c r="I10" s="29" t="n">
        <v>99.40000000000001</v>
      </c>
    </row>
    <row r="11">
      <c r="A11" s="12" t="inlineStr">
        <is>
          <t>M3B9</t>
        </is>
      </c>
      <c r="B11" s="31" t="n">
        <v>294.2</v>
      </c>
      <c r="C11" s="21" t="n">
        <v>23.32</v>
      </c>
      <c r="D11" s="13" t="inlineStr">
        <is>
          <t>189 – 497</t>
        </is>
      </c>
      <c r="E11" s="13" t="n">
        <v>308</v>
      </c>
      <c r="F11" s="13" t="n">
        <v>17.69</v>
      </c>
      <c r="G11" s="20" t="n">
        <v>0.3214</v>
      </c>
      <c r="H11" s="21" t="n">
        <v>3.14</v>
      </c>
      <c r="I11" s="21" t="n">
        <v>99.40000000000001</v>
      </c>
    </row>
    <row r="12">
      <c r="A12" s="7" t="inlineStr">
        <is>
          <t>M3B7</t>
        </is>
      </c>
      <c r="B12" s="32" t="n">
        <v>122.95</v>
      </c>
      <c r="C12" s="19" t="n">
        <v>9.75</v>
      </c>
      <c r="D12" s="11" t="inlineStr">
        <is>
          <t>238 – 447</t>
        </is>
      </c>
      <c r="E12" s="11" t="n">
        <v>209</v>
      </c>
      <c r="F12" s="11" t="n">
        <v>18.21</v>
      </c>
      <c r="G12" s="18" t="n">
        <v>0.3707</v>
      </c>
      <c r="H12" s="19" t="n">
        <v>8</v>
      </c>
      <c r="I12" s="19" t="n">
        <v>95.93000000000001</v>
      </c>
    </row>
    <row r="13">
      <c r="A13" s="12" t="inlineStr">
        <is>
          <t>M3B3</t>
        </is>
      </c>
      <c r="B13" s="31" t="n">
        <v>84.81999999999999</v>
      </c>
      <c r="C13" s="21" t="n">
        <v>6.72</v>
      </c>
      <c r="D13" s="13" t="inlineStr">
        <is>
          <t>194 – 375</t>
        </is>
      </c>
      <c r="E13" s="13" t="n">
        <v>181</v>
      </c>
      <c r="F13" s="13" t="n">
        <v>18.87</v>
      </c>
      <c r="G13" s="20" t="n">
        <v>0.2985</v>
      </c>
      <c r="H13" s="21" t="n">
        <v>0.59</v>
      </c>
      <c r="I13" s="21" t="n">
        <v>99.89</v>
      </c>
    </row>
    <row r="14">
      <c r="A14" s="7" t="inlineStr">
        <is>
          <t>M3B1</t>
        </is>
      </c>
      <c r="B14" s="32" t="n">
        <v>80.98</v>
      </c>
      <c r="C14" s="19" t="n">
        <v>6.42</v>
      </c>
      <c r="D14" s="11" t="inlineStr">
        <is>
          <t>184 – 395</t>
        </is>
      </c>
      <c r="E14" s="11" t="n">
        <v>211</v>
      </c>
      <c r="F14" s="11" t="n">
        <v>19.4</v>
      </c>
      <c r="G14" s="18" t="n">
        <v>0.3239</v>
      </c>
      <c r="H14" s="19" t="n">
        <v>1.37</v>
      </c>
      <c r="I14" s="19" t="n">
        <v>99.83</v>
      </c>
    </row>
    <row r="15">
      <c r="A15" s="12" t="inlineStr">
        <is>
          <t>M3B6</t>
        </is>
      </c>
      <c r="B15" s="31" t="n">
        <v>60.35</v>
      </c>
      <c r="C15" s="21" t="n">
        <v>4.78</v>
      </c>
      <c r="D15" s="13" t="inlineStr">
        <is>
          <t>235 – 499</t>
        </is>
      </c>
      <c r="E15" s="13" t="n">
        <v>264</v>
      </c>
      <c r="F15" s="13" t="n">
        <v>23.39</v>
      </c>
      <c r="G15" s="20" t="n">
        <v>0.3425</v>
      </c>
      <c r="H15" s="21" t="n">
        <v>1.08</v>
      </c>
      <c r="I15" s="21" t="n">
        <v>99.73999999999999</v>
      </c>
    </row>
    <row r="16">
      <c r="A16" s="7" t="inlineStr">
        <is>
          <t>M3B5</t>
        </is>
      </c>
      <c r="B16" s="32" t="n">
        <v>52.74</v>
      </c>
      <c r="C16" s="19" t="n">
        <v>4.18</v>
      </c>
      <c r="D16" s="11" t="inlineStr">
        <is>
          <t>221 – 401</t>
        </is>
      </c>
      <c r="E16" s="11" t="n">
        <v>180</v>
      </c>
      <c r="F16" s="11" t="n">
        <v>18.94</v>
      </c>
      <c r="G16" s="18" t="n">
        <v>0.283</v>
      </c>
      <c r="H16" s="19" t="n">
        <v>0.13</v>
      </c>
      <c r="I16" s="19" t="n">
        <v>99.89</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c r="I17" s="23">
        <f>ROUND(AVERAGE(I10:I16),2)</f>
        <v/>
      </c>
    </row>
    <row r="18"/>
    <row r="19" ht="84" customHeight="1">
      <c r="A19" s="9" t="inlineStr">
        <is>
          <t>LECTURA INTRAMICROCUENCA. El bloque M3B8 ocupa el puesto 1 de 7 por superficie dentro de la microcuenca C1081-Q9582 (44.83 % de las 1261.62 ha preliminares de la microcuenca). Su pendiente promedio (13.65 %, clase «8-15% (Mod. inclinado)») es la 1.ª más baja de 7 y se sitúa por debajo del promedio de la microcuenca (18.59 %). Su MSAVI 2024 (0.2934) es el 6.º de 7 y queda por debajo del promedio local (0.3190). Amplitud altitudinal del bloque: 367 m (195–562 msnm). El cuadro conserva todos los bloques catalogados en la microcuenca, incluidos los descartados en el tamizaje, para referencia del conjunto. Los bloques sin ficha DT figuran con sus parámetros de gabinete. BRECHA ESPECTRAL. El 99.40 % de la superficie del bloque (562.186 ha de 565.584 ha) se sitúa bajo el umbral MSAVI 0.4976, por encima del promedio local de la microcuenca (99.15 %) calculado sobre los bloques con dato MSAVI disponible.</t>
        </is>
      </c>
      <c r="B19" s="42" t="n"/>
      <c r="C19" s="42" t="n"/>
      <c r="D19" s="42" t="n"/>
      <c r="E19" s="42" t="n"/>
      <c r="F19" s="42" t="n"/>
      <c r="G19" s="42" t="n"/>
      <c r="H19" s="43" t="n"/>
    </row>
    <row r="20"/>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2" t="n"/>
      <c r="C21" s="42" t="n"/>
      <c r="D21" s="42" t="n"/>
      <c r="E21" s="42" t="n"/>
      <c r="F21" s="42" t="n"/>
      <c r="G21" s="42" t="n"/>
      <c r="H21" s="43" t="n"/>
    </row>
  </sheetData>
  <mergeCells count="9">
    <mergeCell ref="A1:I1"/>
    <mergeCell ref="A4:I4"/>
    <mergeCell ref="A3:I3"/>
    <mergeCell ref="A21:I21"/>
    <mergeCell ref="A2:I2"/>
    <mergeCell ref="A19:I19"/>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M3B8</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«C1081-Q9582»</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735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(565.792 ha) coincide con la de catálogo (565.58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13.65 %, que corresponde a la clase «8-15% (Mod.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45 % de cobertura vegetal en campo; el NDVI mediana 2025 clasifica 87.19 %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«Santa Rosa»; el cruce INEI-Bloques V5 identifica 2 centro(s) poblado(s) en el bloque: SAN PEDRO, SANTA ROSA</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(285 msnm)</t>
        </is>
      </c>
    </row>
    <row r="19" ht="48" customHeight="1">
      <c r="A19" s="36" t="inlineStr">
        <is>
          <t>D-10</t>
        </is>
      </c>
      <c r="B19" s="36" t="inlineStr">
        <is>
          <t>F-DT-02</t>
        </is>
      </c>
      <c r="C19" s="36" t="inlineStr">
        <is>
          <t>Solo 3 rasgos erosivos inventariados en un bloque de 565.58 ha</t>
        </is>
      </c>
      <c r="D19" s="37" t="inlineStr">
        <is>
          <t>SUSTANTIVA</t>
        </is>
      </c>
      <c r="E19" s="36" t="inlineStr">
        <is>
          <t>El inventario NO es representativo de la superficie total; ampliar el levantamiento</t>
        </is>
      </c>
    </row>
    <row r="20" ht="48" customHeight="1">
      <c r="A20" s="34" t="inlineStr">
        <is>
          <t>D-11</t>
        </is>
      </c>
      <c r="B20" s="34" t="inlineStr">
        <is>
          <t>F-DT-04</t>
        </is>
      </c>
      <c r="C20" s="34" t="inlineStr">
        <is>
          <t>Densidad de cárcavas declarada 1 N.°/ha frente a 3 cárcavas en 565.58 ha (0.005 N.°/ha)</t>
        </is>
      </c>
      <c r="D20" s="37" t="inlineStr">
        <is>
          <t>SUSTANTIVA</t>
        </is>
      </c>
      <c r="E20" s="34" t="inlineStr">
        <is>
          <t>Inconsistencia aritmética a resolver</t>
        </is>
      </c>
    </row>
    <row r="21" ht="48" customHeight="1">
      <c r="A21" s="36" t="inlineStr">
        <is>
          <t>D-12</t>
        </is>
      </c>
      <c r="B21" s="36" t="inlineStr">
        <is>
          <t>F-DT-03</t>
        </is>
      </c>
      <c r="C21" s="36" t="inlineStr">
        <is>
          <t>La especie de flor amarilla se presume invasora (probable Senna sp.); requiere confirmación taxonómica</t>
        </is>
      </c>
      <c r="D21" s="37" t="inlineStr">
        <is>
          <t>SUSTANTIVA</t>
        </is>
      </c>
      <c r="E21" s="36" t="inlineStr">
        <is>
          <t>Determinación botánica prioritaria: condiciona el diseño del control de invasoras (18-20% del área)</t>
        </is>
      </c>
    </row>
    <row r="22" ht="48" customHeight="1">
      <c r="A22" s="34" t="inlineStr">
        <is>
          <t>D-13</t>
        </is>
      </c>
      <c r="B22" s="34" t="inlineStr">
        <is>
          <t>F-DT-05</t>
        </is>
      </c>
      <c r="C22" s="34" t="inlineStr">
        <is>
          <t>El cruce (vado) del cauce de Río Seco limita la transitabilidad en época lluviosa</t>
        </is>
      </c>
      <c r="D22" s="37" t="inlineStr">
        <is>
          <t>SUSTANTIVA</t>
        </is>
      </c>
      <c r="E22" s="34" t="inlineStr">
        <is>
          <t>Factor logístico crítico para la ejecución en 565.58 ha: dimensionar en el cronograma y el presupuesto</t>
        </is>
      </c>
    </row>
    <row r="23" ht="48" customHeight="1">
      <c r="A23" s="36" t="inlineStr">
        <is>
          <t>D-14</t>
        </is>
      </c>
      <c r="B23" s="36" t="inlineStr">
        <is>
          <t>F-DT-01</t>
        </is>
      </c>
      <c r="C23" s="36" t="inlineStr">
        <is>
          <t>Los relictos del bosque seco se conservan en la parte alta INACCESIBLE, no verificada en campo</t>
        </is>
      </c>
      <c r="D23" s="15" t="inlineStr">
        <is>
          <t>NO SUSTANTIVA</t>
        </is>
      </c>
      <c r="E23" s="36" t="inlineStr">
        <is>
          <t>Caracterización del sector alto pendiente</t>
        </is>
      </c>
    </row>
    <row r="24" ht="48" customHeight="1">
      <c r="A24" s="36" t="inlineStr">
        <is>
          <t>D-15</t>
        </is>
      </c>
      <c r="B24" s="36" t="inlineStr">
        <is>
          <t>Distribución areal MSAVI 2024</t>
        </is>
      </c>
      <c r="C24" s="36" t="inlineStr">
        <is>
          <t>La distribución por clase de MSAVI no figuraba en los insumos del entregable y se consignaba «Por determinar»; se incorpora la estadística zonal del ráster MSAVI clasificado (2 000 polígonos, 565.584 ha)</t>
        </is>
      </c>
      <c r="D24" s="15" t="inlineStr">
        <is>
          <t>CORREGIDO</t>
        </is>
      </c>
      <c r="E24"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5" ht="48" customHeight="1">
      <c r="A25" s="36" t="inlineStr">
        <is>
          <t>D-16</t>
        </is>
      </c>
      <c r="B25" s="36" t="inlineStr">
        <is>
          <t>Superficie MSAVI vs. catálogo</t>
        </is>
      </c>
      <c r="C25" s="36" t="inlineStr">
        <is>
          <t>La superficie total clasificada por el MSAVI 2024 (565.584 ha) frente a la de catálogo V5/V6 (565.580 ha): desviación de +0.00 %</t>
        </is>
      </c>
      <c r="D25" s="15" t="inlineStr">
        <is>
          <t>CONFORME</t>
        </is>
      </c>
      <c r="E25" s="36" t="inlineStr">
        <is>
          <t>Sin acción: la segmentación del ráster valida la geometría del bloque dentro del ±2 %.</t>
        </is>
      </c>
    </row>
    <row r="26" ht="48" customHeight="1">
      <c r="A26" s="36" t="inlineStr">
        <is>
          <t>D-17</t>
        </is>
      </c>
      <c r="B26" s="36" t="inlineStr">
        <is>
          <t>Media MSAVI vs. clase DN dominante</t>
        </is>
      </c>
      <c r="C26" s="36" t="inlineStr">
        <is>
          <t>La media del bloque (0.2934) cae en la clase «DN 2 · 0.2650 - 0.3813 (Vigor muy bajo)»; la clase de mayor superficie es «DN 2 · 0.2650 - 0.3813 (Vigor muy bajo)», con 54.42 % del bloque. Superficie bajo el umbral 0.4976: 562.186 ha (99.40 %)</t>
        </is>
      </c>
      <c r="D26" s="15" t="inlineStr">
        <is>
          <t>CONFORME</t>
        </is>
      </c>
      <c r="E26" s="36" t="inlineStr">
        <is>
          <t>Sin acción: la media del bloque y la clase de mayor superficie coinciden.</t>
        </is>
      </c>
    </row>
    <row r="27"/>
    <row r="28">
      <c r="A28" s="16" t="inlineStr">
        <is>
          <t>RESUMEN</t>
        </is>
      </c>
      <c r="B28" s="17" t="inlineStr">
        <is>
          <t>17 verificaciones</t>
        </is>
      </c>
      <c r="C28" s="17" t="inlineStr">
        <is>
          <t>CONFORME: 6 · CORREGIDO: 2 · NO SUSTANTIVA: 3 · SUSTANTIVA: 6</t>
        </is>
      </c>
      <c r="D28" s="17" t="inlineStr"/>
      <c r="E28" s="17" t="inlineStr"/>
    </row>
    <row r="29"/>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0" s="42" t="n"/>
      <c r="C30" s="42" t="n"/>
      <c r="D30" s="42" t="n"/>
      <c r="E30" s="43" t="n"/>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M3B8 — IN Piura</dc:title>
  <dc:subject>Diagnóstico Territorial por bloque de intervención</dc:subject>
  <dcterms:created xsi:type="dcterms:W3CDTF">2026-09-08T03:39:58Z</dcterms:created>
  <dcterms:modified xsi:type="dcterms:W3CDTF">2026-09-09T23:30:56Z</dcterms:modified>
</cp:coreProperties>
</file>