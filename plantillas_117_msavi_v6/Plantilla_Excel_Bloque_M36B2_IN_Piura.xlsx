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M36B2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M36B2</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Por verificar (predominio de predios privados; tierras comunales y del Estado)</t>
        </is>
      </c>
      <c r="E13" s="8" t="n"/>
      <c r="F13" s="8" t="n"/>
    </row>
    <row r="14">
      <c r="A14" s="6" t="inlineStr">
        <is>
          <t>Superficie de catálogo (V5/V6), ha</t>
        </is>
      </c>
      <c r="B14" s="7" t="n">
        <v>28.19</v>
      </c>
      <c r="C14" s="6" t="inlineStr">
        <is>
          <t>Fuente de superficie</t>
        </is>
      </c>
      <c r="D14" s="7" t="inlineStr">
        <is>
          <t>Catálogo maestro Bloques V5/V6</t>
        </is>
      </c>
      <c r="E14" s="8" t="n"/>
      <c r="F14" s="8" t="n"/>
    </row>
    <row r="15">
      <c r="A15" s="6" t="inlineStr">
        <is>
          <t>Centroide UTM ESTE (m)</t>
        </is>
      </c>
      <c r="B15" s="7" t="n">
        <v>626438</v>
      </c>
      <c r="C15" s="6" t="inlineStr">
        <is>
          <t>Centroide UTM NORTE (m)</t>
        </is>
      </c>
      <c r="D15" s="7" t="n">
        <v>9435060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1331</v>
      </c>
      <c r="C19" s="6" t="inlineStr">
        <is>
          <t>Altitud máxima (msnm)</t>
        </is>
      </c>
      <c r="D19" s="7" t="n">
        <v>1533</v>
      </c>
      <c r="E19" s="8" t="n"/>
      <c r="F19" s="8" t="n"/>
    </row>
    <row r="20">
      <c r="A20" s="6" t="inlineStr">
        <is>
          <t>Amplitud altitudinal (m)</t>
        </is>
      </c>
      <c r="B20" s="7" t="n">
        <v>202</v>
      </c>
      <c r="C20" s="6" t="inlineStr">
        <is>
          <t>Piso altitudinal dominante</t>
        </is>
      </c>
      <c r="D20" s="7" t="inlineStr">
        <is>
          <t>1000-1500 m (Quechua baja)</t>
        </is>
      </c>
      <c r="E20" s="8" t="n"/>
      <c r="F20" s="8" t="n"/>
    </row>
    <row r="21">
      <c r="A21" s="6" t="inlineStr">
        <is>
          <t>Pendiente promedio (%)</t>
        </is>
      </c>
      <c r="B21" s="7" t="n">
        <v>29.67</v>
      </c>
      <c r="C21" s="6" t="inlineStr">
        <is>
          <t>Pendiente promedio (grados)</t>
        </is>
      </c>
      <c r="D21" s="7" t="n">
        <v>16.5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0.5974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(82.35 %)</t>
        </is>
      </c>
      <c r="E29" s="8" t="n"/>
      <c r="F29" s="8" t="n"/>
    </row>
    <row r="30">
      <c r="A30" s="6" t="inlineStr">
        <is>
          <t>Superficie clasificada NDVI 2025 (ha)</t>
        </is>
      </c>
      <c r="B30" s="7" t="n">
        <v>28.202</v>
      </c>
      <c r="C30" s="6" t="inlineStr">
        <is>
          <t>Desviación frente al catálogo (%)</t>
        </is>
      </c>
      <c r="D30" s="7" t="n">
        <v>0.04</v>
      </c>
      <c r="E30" s="8" t="n"/>
      <c r="F30" s="8" t="n"/>
    </row>
    <row r="31">
      <c r="A31" s="6" t="inlineStr">
        <is>
          <t>Superficie clasificada MSAVI 2024 (ha)</t>
        </is>
      </c>
      <c r="B31" s="37" t="n">
        <v>28.19</v>
      </c>
      <c r="C31" s="6" t="inlineStr">
        <is>
          <t>Desviación MSAVI frente al catálogo (%)</t>
        </is>
      </c>
      <c r="D31" s="38" t="n">
        <v>0</v>
      </c>
      <c r="E31" s="8" t="n"/>
      <c r="F31" s="8" t="n"/>
    </row>
    <row r="32">
      <c r="A32" s="6" t="inlineStr">
        <is>
          <t>Superficie bajo umbral MSAVI 0.4976 (ha)</t>
        </is>
      </c>
      <c r="B32" s="37" t="n">
        <v>1.401</v>
      </c>
      <c r="C32" s="6" t="inlineStr">
        <is>
          <t>% del bloque bajo umbral (brecha espectral)</t>
        </is>
      </c>
      <c r="D32" s="38" t="n">
        <v>4.97</v>
      </c>
      <c r="E32" s="8" t="n"/>
      <c r="F32" s="8" t="n"/>
    </row>
    <row r="33">
      <c r="A33" s="6" t="inlineStr">
        <is>
          <t>Clase DN dominante (MSAVI 2024)</t>
        </is>
      </c>
      <c r="B33" s="7" t="inlineStr">
        <is>
          <t>DN 4 · 0.4976 - 0.6139 (Vigor moderado)</t>
        </is>
      </c>
      <c r="C33" s="6" t="inlineStr">
        <is>
          <t>N.° de polígonos MSAVI del bloque</t>
        </is>
      </c>
      <c r="D33" s="39" t="n">
        <v>94</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28.19 ha (100% del bloque, catalogado por el MINAM como Zona agrícola)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75</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t>
        </is>
      </c>
      <c r="C44" s="6" t="inlineStr">
        <is>
          <t>Fecha de evaluación</t>
        </is>
      </c>
      <c r="D44" s="7" t="inlineStr">
        <is>
          <t>2026-06-03</t>
        </is>
      </c>
      <c r="E44" s="8" t="n"/>
      <c r="F44" s="8" t="n"/>
    </row>
    <row r="45">
      <c r="A45" s="6" t="inlineStr">
        <is>
          <t>Hora de registro</t>
        </is>
      </c>
      <c r="B45" s="7" t="inlineStr">
        <is>
          <t>14:39 - 15:33 h</t>
        </is>
      </c>
      <c r="C45" s="6" t="inlineStr">
        <is>
          <t>Correlativo de ficha</t>
        </is>
      </c>
      <c r="D45" s="7" t="inlineStr">
        <is>
          <t>F-DT-M36B2-01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bloque (transecto a pie; sin parcela fija)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agropecuaria sin prácticas de conservación de suelos, sobre un ecosistema de ladera con fuerte pendiente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M36B2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10.8453</v>
      </c>
      <c r="C10" s="19">
        <f>ROUND(B10/$B$15*100,2)</f>
        <v/>
      </c>
      <c r="D10" s="11" t="inlineStr">
        <is>
          <t>Vigor alto</t>
        </is>
      </c>
      <c r="E10" s="11" t="inlineStr">
        <is>
          <t>Sobre umbral</t>
        </is>
      </c>
    </row>
    <row r="11">
      <c r="A11" s="12" t="inlineStr">
        <is>
          <t>0.4976 - 0.6139 · DN 4</t>
        </is>
      </c>
      <c r="B11" s="30" t="n">
        <v>15.9436</v>
      </c>
      <c r="C11" s="29">
        <f>ROUND(B11/$B$15*100,2)</f>
        <v/>
      </c>
      <c r="D11" s="13" t="inlineStr">
        <is>
          <t>Vigor moderado</t>
        </is>
      </c>
      <c r="E11" s="13" t="inlineStr">
        <is>
          <t>Sobre umbral</t>
        </is>
      </c>
    </row>
    <row r="12">
      <c r="A12" s="7" t="inlineStr">
        <is>
          <t>0.3813 - 0.4976 · DN 3</t>
        </is>
      </c>
      <c r="B12" s="18" t="n">
        <v>1.2133</v>
      </c>
      <c r="C12" s="19">
        <f>ROUND(B12/$B$15*100,2)</f>
        <v/>
      </c>
      <c r="D12" s="11" t="inlineStr">
        <is>
          <t>Vigor bajo</t>
        </is>
      </c>
      <c r="E12" s="11" t="inlineStr">
        <is>
          <t>BAJO umbral 0.4976</t>
        </is>
      </c>
    </row>
    <row r="13">
      <c r="A13" s="14" t="inlineStr">
        <is>
          <t>0.2650 - 0.3813 · DN 2</t>
        </is>
      </c>
      <c r="B13" s="20" t="n">
        <v>0.1881</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94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28.19</v>
      </c>
      <c r="C18" s="48" t="inlineStr">
        <is>
          <t>—</t>
        </is>
      </c>
      <c r="D18" s="45" t="inlineStr">
        <is>
          <t>Desviación planimétrica frente al catálogo</t>
        </is>
      </c>
      <c r="E18" s="45" t="inlineStr">
        <is>
          <t>+0.00 %</t>
        </is>
      </c>
    </row>
    <row r="19">
      <c r="A19" s="16" t="inlineStr">
        <is>
          <t>MSAVI 2024 — MEDIA DEL BLOQUE</t>
        </is>
      </c>
      <c r="B19" s="17" t="n">
        <v>0.597433</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(0.5974)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23.2233</v>
      </c>
      <c r="C25" s="19" t="n">
        <v>82.34999999999999</v>
      </c>
      <c r="D25" s="11" t="inlineStr">
        <is>
          <t>Dosel continuo, matorral denso o mosaico agroforestal</t>
        </is>
      </c>
      <c r="E25" s="11" t="inlineStr"/>
    </row>
    <row r="26">
      <c r="A26" s="14" t="inlineStr">
        <is>
          <t>Vegetación mediana</t>
        </is>
      </c>
      <c r="B26" s="20" t="n">
        <v>4.3372</v>
      </c>
      <c r="C26" s="21" t="n">
        <v>15.38</v>
      </c>
      <c r="D26" s="15" t="inlineStr">
        <is>
          <t>Pastizal cultivado, matorral ralo, parcelas agrícolas</t>
        </is>
      </c>
      <c r="E26" s="15" t="inlineStr"/>
    </row>
    <row r="27">
      <c r="A27" s="7" t="inlineStr">
        <is>
          <t>Vegetación ligera</t>
        </is>
      </c>
      <c r="B27" s="18" t="n">
        <v>0.6016</v>
      </c>
      <c r="C27" s="19" t="n">
        <v>2.13</v>
      </c>
      <c r="D27" s="11" t="inlineStr">
        <is>
          <t>Cobertura discontinua, suelo parcialmente expuesto</t>
        </is>
      </c>
      <c r="E27" s="11" t="inlineStr"/>
    </row>
    <row r="28">
      <c r="A28" s="14" t="inlineStr">
        <is>
          <t>Tierra desnuda</t>
        </is>
      </c>
      <c r="B28" s="20" t="n">
        <v>0.0396</v>
      </c>
      <c r="C28" s="21" t="n">
        <v>0.14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28.19</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82.35 % del polígono clasificado como «Vegetación alta» por el NDVI 2025; la observación de campo corresponde a una parcela o recorrido puntual y no es estadísticamente representativa de las 28.190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M36B2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626400</v>
      </c>
      <c r="D10" s="26" t="n">
        <v>9434998</v>
      </c>
      <c r="E10" s="11" t="n">
        <v>72.7</v>
      </c>
      <c r="F10" s="11" t="inlineStr"/>
      <c r="G10" s="11" t="inlineStr">
        <is>
          <t>Coordenada consignada en F-DT-01</t>
        </is>
      </c>
    </row>
    <row r="11">
      <c r="A11" s="14" t="inlineStr">
        <is>
          <t>C-01</t>
        </is>
      </c>
      <c r="B11" s="15" t="inlineStr">
        <is>
          <t>Rasgo erosivo — Cárcava somera</t>
        </is>
      </c>
      <c r="C11" s="27" t="n">
        <v>626102</v>
      </c>
      <c r="D11" s="27" t="n">
        <v>9434928</v>
      </c>
      <c r="E11" s="15" t="n">
        <v>361</v>
      </c>
      <c r="F11" s="15" t="inlineStr">
        <is>
          <t>Por determinar</t>
        </is>
      </c>
      <c r="G11" s="15" t="inlineStr">
        <is>
          <t>Por determinar</t>
        </is>
      </c>
    </row>
    <row r="12">
      <c r="A12" s="7" t="inlineStr">
        <is>
          <t>C-02</t>
        </is>
      </c>
      <c r="B12" s="11" t="inlineStr">
        <is>
          <t>Rasgo erosivo — Cárcava incipiente</t>
        </is>
      </c>
      <c r="C12" s="26" t="n">
        <v>626547</v>
      </c>
      <c r="D12" s="26" t="n">
        <v>9435257</v>
      </c>
      <c r="E12" s="11" t="n">
        <v>225.1</v>
      </c>
      <c r="F12" s="11" t="inlineStr">
        <is>
          <t>Por determinar</t>
        </is>
      </c>
      <c r="G12" s="11" t="inlineStr">
        <is>
          <t>Por determinar</t>
        </is>
      </c>
    </row>
    <row r="13">
      <c r="A13" s="14" t="inlineStr">
        <is>
          <t>C-03</t>
        </is>
      </c>
      <c r="B13" s="15" t="inlineStr">
        <is>
          <t>Rasgo erosivo — Surco (&lt;30 cm)</t>
        </is>
      </c>
      <c r="C13" s="27" t="n">
        <v>626118</v>
      </c>
      <c r="D13" s="27" t="n">
        <v>9434932</v>
      </c>
      <c r="E13" s="15" t="n">
        <v>344.7</v>
      </c>
      <c r="F13" s="15" t="inlineStr">
        <is>
          <t>Por determinar</t>
        </is>
      </c>
      <c r="G13" s="15" t="inlineStr">
        <is>
          <t>Por determinar</t>
        </is>
      </c>
    </row>
    <row r="14">
      <c r="A14" s="7" t="inlineStr">
        <is>
          <t>C-04</t>
        </is>
      </c>
      <c r="B14" s="11" t="inlineStr">
        <is>
          <t>Rasgo erosivo — Cárcava somera</t>
        </is>
      </c>
      <c r="C14" s="26" t="n">
        <v>626314</v>
      </c>
      <c r="D14" s="26" t="n">
        <v>9434983</v>
      </c>
      <c r="E14" s="11" t="n">
        <v>146</v>
      </c>
      <c r="F14" s="11" t="inlineStr">
        <is>
          <t>Por determinar</t>
        </is>
      </c>
      <c r="G14" s="11" t="inlineStr">
        <is>
          <t>Por determinar</t>
        </is>
      </c>
    </row>
    <row r="15">
      <c r="A15" s="14" t="inlineStr">
        <is>
          <t>H-01</t>
        </is>
      </c>
      <c r="B15" s="15" t="inlineStr">
        <is>
          <t>Fuente de agua — 1</t>
        </is>
      </c>
      <c r="C15" s="27" t="inlineStr">
        <is>
          <t>Manantial / Puquio</t>
        </is>
      </c>
      <c r="D15" s="27" t="n">
        <v>626580</v>
      </c>
      <c r="E15" s="15" t="inlineStr"/>
      <c r="F15" s="15" t="n">
        <v>9435291</v>
      </c>
      <c r="G15" s="15" t="inlineStr"/>
    </row>
    <row r="16">
      <c r="A16" s="7" t="inlineStr">
        <is>
          <t>H-02</t>
        </is>
      </c>
      <c r="B16" s="11" t="inlineStr">
        <is>
          <t>Fuente de agua — 2</t>
        </is>
      </c>
      <c r="C16" s="26" t="inlineStr">
        <is>
          <t>Quebrada estacional</t>
        </is>
      </c>
      <c r="D16" s="26" t="n">
        <v>626100</v>
      </c>
      <c r="E16" s="11" t="inlineStr"/>
      <c r="F16" s="11" t="n">
        <v>9434850</v>
      </c>
      <c r="G16" s="11" t="inlineStr"/>
    </row>
    <row r="17">
      <c r="A17" s="14" t="inlineStr">
        <is>
          <t>B-03</t>
        </is>
      </c>
      <c r="B17" s="15" t="inlineStr">
        <is>
          <t>Especie clave — Angolo (Pithecellobium sp.)</t>
        </is>
      </c>
      <c r="C17" s="27" t="inlineStr">
        <is>
          <t>626339</t>
        </is>
      </c>
      <c r="D17" s="27" t="inlineStr">
        <is>
          <t>9434975</t>
        </is>
      </c>
      <c r="E17" s="15" t="n">
        <v>130.5</v>
      </c>
      <c r="F17" s="15" t="inlineStr">
        <is>
          <t>Indicadora de buen estado</t>
        </is>
      </c>
      <c r="G17" s="15" t="inlineStr">
        <is>
          <t>No aplica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626438</v>
      </c>
      <c r="C20" s="6" t="inlineStr">
        <is>
          <t>Centroide del bloque — UTM NORTE (m)</t>
        </is>
      </c>
      <c r="D20" s="7" t="n">
        <v>9435060</v>
      </c>
      <c r="E20" s="8" t="n"/>
      <c r="F20" s="8" t="n"/>
      <c r="G20" s="8" t="n"/>
      <c r="H20" s="8" t="n"/>
    </row>
    <row r="21">
      <c r="A21" s="6" t="inlineStr">
        <is>
          <t>N.° de estaciones fotográficas declaradas</t>
        </is>
      </c>
      <c r="B21" s="7" t="n">
        <v>0</v>
      </c>
      <c r="C21" s="6" t="inlineStr">
        <is>
          <t>Estaciones dentro del polígono</t>
        </is>
      </c>
      <c r="D21" s="7" t="n">
        <v>0</v>
      </c>
      <c r="E21" s="8" t="n"/>
      <c r="F21" s="8" t="n"/>
      <c r="G21" s="8" t="n"/>
      <c r="H21" s="8" t="n"/>
    </row>
    <row r="23" ht="132"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Inspección del 03-06-2026. El punto de muestreo se refiere al hito del bloque (626 400 E / 9 434 998 N, 1 453 msnm de GPS de gabinete); el recorrido de campo (track Garmin 66sr) abarcó de 626 580 E / 9 435 291 N a 625 974 E / 9 434 966 N. Los afloramientos, el saprolito y los escarpes activos se concentran en los TALUDES DE CORTE de la trocha y los caminos de herradura (periferia del bloque), no en remociones en masa de superficie. ADVERTENCIA: algunas coordenadas de fotografías pueden presentar error por señal GPS de celular subóptima (cielo nublado y ligera lluvia).</t>
        </is>
      </c>
      <c r="B23" s="40" t="n"/>
      <c r="C23" s="40" t="n"/>
      <c r="D23" s="40" t="n"/>
      <c r="E23" s="40" t="n"/>
      <c r="F23" s="40" t="n"/>
      <c r="G23" s="41"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M36B2</t>
        </is>
      </c>
    </row>
    <row r="6" ht="24" customHeight="1">
      <c r="A6" s="4" t="inlineStr">
        <is>
          <t>Distrito de Santa Catalina de Mossa · Provincia de Morropon · Comparación de los bloques preliminares de intervención de la misma microcuenca</t>
        </is>
      </c>
    </row>
    <row r="7"/>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M36B2</t>
        </is>
      </c>
      <c r="B10" s="28" t="n">
        <v>28.19</v>
      </c>
      <c r="C10" s="29" t="n">
        <v>52.34</v>
      </c>
      <c r="D10" s="13" t="inlineStr">
        <is>
          <t>1331 – 1533</t>
        </is>
      </c>
      <c r="E10" s="13" t="n">
        <v>202</v>
      </c>
      <c r="F10" s="13" t="n">
        <v>29.67</v>
      </c>
      <c r="G10" s="30" t="n">
        <v>0.5974</v>
      </c>
      <c r="H10" s="29" t="n">
        <v>82.34999999999999</v>
      </c>
      <c r="I10" s="29" t="n">
        <v>4.97</v>
      </c>
    </row>
    <row r="11">
      <c r="A11" s="14" t="inlineStr">
        <is>
          <t>57</t>
        </is>
      </c>
      <c r="B11" s="31" t="n">
        <v>25.67</v>
      </c>
      <c r="C11" s="21" t="n">
        <v>47.66</v>
      </c>
      <c r="D11" s="15" t="inlineStr">
        <is>
          <t>2306 – 2624</t>
        </is>
      </c>
      <c r="E11" s="15" t="n">
        <v>318</v>
      </c>
      <c r="F11" s="15" t="n">
        <v>30.44</v>
      </c>
      <c r="G11" s="20" t="n">
        <v>0.6031</v>
      </c>
      <c r="H11" s="21" t="n">
        <v>82.90000000000001</v>
      </c>
      <c r="I11" s="21" t="n">
        <v>4.58</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c r="I12" s="23">
        <f>ROUND(AVERAGE(I10:I11),2)</f>
        <v/>
      </c>
    </row>
    <row r="13"/>
    <row r="14" ht="84" customHeight="1">
      <c r="A14" s="9" t="inlineStr">
        <is>
          <t>LECTURA INTRAMICROCUENCA. El bloque M36B2 ocupa el puesto 1 de 2 por superficie dentro de la microcuenca C1086-Q9576 (52.34 % de las 53.86 ha preliminares de la microcuenca). Su pendiente promedio (29.67 %, clase «25-50% (Mod. escarpado)») es la 1.ª más baja de 2 y se sitúa por debajo del promedio de la microcuenca (30.05 %). Su MSAVI 2024 (0.5974) es el 2.º de 2 y queda por debajo del promedio local (0.6002). Amplitud altitudinal del bloque: 202 m (1331–1533 msnm). El cuadro conserva todos los bloques catalogados en la microcuenca, incluidos los descartados en el tamizaje, para referencia del conjunto. Los bloques sin ficha DT figuran con sus parámetros de gabinete. BRECHA ESPECTRAL. El 4.97 % de la superficie del bloque (1.401 ha de 28.190 ha) se sitúa bajo el umbral MSAVI 0.4976, por encima del promedio local de la microcuenca (4.78 %)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M36B2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«C1086-Q9576»</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73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(28.202 ha) coincide con la de catálogo (28.19 ha) dentro del ±2 % (+0.04 %)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75 % de cobertura vegetal en campo; el NDVI mediana 2025 clasifica 99.86 % del polígono en clases de vegetación</t>
        </is>
      </c>
      <c r="D13" s="13"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«Santa Rosa de Chirimoyos»; el cruce INEI-Bloques V5 identifica 1 centro(s) poblado(s) en el bloque: SANTA ROSA DE CHIRIMOYOS</t>
        </is>
      </c>
      <c r="D15" s="34" t="inlineStr">
        <is>
          <t>CONFORME</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F-DT-01</t>
        </is>
      </c>
      <c r="C17" s="35" t="inlineStr">
        <is>
          <t>Altitud GPS declarada 1 400 m frente a los 1 453 msnm del hito del bloque (GPS de gabinete)</t>
        </is>
      </c>
      <c r="D17" s="13" t="inlineStr">
        <is>
          <t>NO SUSTANTIVA</t>
        </is>
      </c>
      <c r="E17" s="35" t="inlineStr">
        <is>
          <t>Se conservan ambos registros con indicación de su fuente</t>
        </is>
      </c>
    </row>
    <row r="18" ht="48" customHeight="1">
      <c r="A18" s="33" t="inlineStr">
        <is>
          <t>D-09</t>
        </is>
      </c>
      <c r="B18" s="33" t="inlineStr">
        <is>
          <t>F-DT-01 / F-DT-02</t>
        </is>
      </c>
      <c r="C18" s="33" t="inlineStr">
        <is>
          <t>Algunas coordenadas fotográficas pueden presentar error por señal GPS de celular subóptima (cielo nublado y ligera lluvia)</t>
        </is>
      </c>
      <c r="D18" s="36" t="inlineStr">
        <is>
          <t>SUSTANTIVA</t>
        </is>
      </c>
      <c r="E18" s="33" t="inlineStr">
        <is>
          <t>Se declara la advertencia del propio evaluador; requiere ratificación con GPS diferencial</t>
        </is>
      </c>
    </row>
    <row r="19" ht="48" customHeight="1">
      <c r="A19" s="35" t="inlineStr">
        <is>
          <t>D-10</t>
        </is>
      </c>
      <c r="B19" s="35" t="inlineStr">
        <is>
          <t>F-DT-02</t>
        </is>
      </c>
      <c r="C19" s="35" t="inlineStr">
        <is>
          <t>Inventario de cárcavas como registro rápido de 4 rasgos, sin longitud, profundidad ni ancho; el rasgo C-04 tampoco consigna estado</t>
        </is>
      </c>
      <c r="D19" s="36" t="inlineStr">
        <is>
          <t>SUSTANTIVA</t>
        </is>
      </c>
      <c r="E19" s="35" t="inlineStr">
        <is>
          <t>Pendiente de levantamiento instrumental; no se estiman dimensiones</t>
        </is>
      </c>
    </row>
    <row r="20" ht="48" customHeight="1">
      <c r="A20" s="33" t="inlineStr">
        <is>
          <t>D-11</t>
        </is>
      </c>
      <c r="B20" s="33" t="inlineStr">
        <is>
          <t>F-DT-03</t>
        </is>
      </c>
      <c r="C20" s="33" t="inlineStr">
        <is>
          <t>DAP y alturas no medidos por instrumento</t>
        </is>
      </c>
      <c r="D20" s="36" t="inlineStr">
        <is>
          <t>SUSTANTIVA</t>
        </is>
      </c>
      <c r="E20" s="33" t="inlineStr">
        <is>
          <t>POR DETERMINAR; requiere parcela de muestreo forestal</t>
        </is>
      </c>
    </row>
    <row r="21" ht="48" customHeight="1">
      <c r="A21" s="35" t="inlineStr">
        <is>
          <t>D-12</t>
        </is>
      </c>
      <c r="B21" s="35" t="inlineStr">
        <is>
          <t>F-DT-03</t>
        </is>
      </c>
      <c r="C21" s="35" t="inlineStr">
        <is>
          <t>El MINAM cataloga el bloque como Zona agrícola en su totalidad, pero en campo se verifican relictos de bosque seco y árboles nativos dispersos en las partes altas</t>
        </is>
      </c>
      <c r="D21" s="36" t="inlineStr">
        <is>
          <t>SUSTANTIVA</t>
        </is>
      </c>
      <c r="E21" s="35" t="inlineStr">
        <is>
          <t>Se conserva la clasificación cartográfica y se declara la observación de campo; corresponde precisar la unidad en gabinete</t>
        </is>
      </c>
    </row>
    <row r="22" ht="48" customHeight="1">
      <c r="A22" s="33" t="inlineStr">
        <is>
          <t>D-13</t>
        </is>
      </c>
      <c r="B22" s="33" t="inlineStr">
        <is>
          <t>F-DT-04</t>
        </is>
      </c>
      <c r="C22" s="33" t="inlineStr">
        <is>
          <t>Indicadores 3, 4, 5 y 6 sin valor consignado</t>
        </is>
      </c>
      <c r="D22" s="13" t="inlineStr">
        <is>
          <t>NO SUSTANTIVA</t>
        </is>
      </c>
      <c r="E22" s="33" t="inlineStr">
        <is>
          <t>Pendientes de levantamiento y encuesta predial</t>
        </is>
      </c>
    </row>
    <row r="23" ht="48" customHeight="1">
      <c r="A23" s="35" t="inlineStr">
        <is>
          <t>D-14</t>
        </is>
      </c>
      <c r="B23" s="35" t="inlineStr">
        <is>
          <t>F-DT-05</t>
        </is>
      </c>
      <c r="C23" s="35" t="inlineStr">
        <is>
          <t>La captación de la JASS Santa Rosa de Chirimoyos se ubica dentro o al borde del bloque</t>
        </is>
      </c>
      <c r="D23" s="36" t="inlineStr">
        <is>
          <t>SUSTANTIVA</t>
        </is>
      </c>
      <c r="E23" s="35" t="inlineStr">
        <is>
          <t>Se eleva como criterio de diseño: la protección de la fuente de consumo humano condiciona la intervención</t>
        </is>
      </c>
    </row>
    <row r="24" ht="48" customHeight="1">
      <c r="A24" s="35" t="inlineStr">
        <is>
          <t>D-15</t>
        </is>
      </c>
      <c r="B24" s="35" t="inlineStr">
        <is>
          <t>Distribución areal MSAVI 2024</t>
        </is>
      </c>
      <c r="C24" s="35" t="inlineStr">
        <is>
          <t>La distribución por clase de MSAVI no figuraba en los insumos del entregable y se consignaba «Por determinar»; se incorpora la estadística zonal del ráster MSAVI clasificado (94 polígonos, 28.190 ha)</t>
        </is>
      </c>
      <c r="D24" s="36" t="inlineStr">
        <is>
          <t>CORREGIDO</t>
        </is>
      </c>
      <c r="E24"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5" t="inlineStr">
        <is>
          <t>D-16</t>
        </is>
      </c>
      <c r="B25" s="35" t="inlineStr">
        <is>
          <t>Superficie MSAVI vs. catálogo</t>
        </is>
      </c>
      <c r="C25" s="35" t="inlineStr">
        <is>
          <t>La superficie total clasificada por el MSAVI 2024 (28.190 ha) frente a la de catálogo V5/V6 (28.190 ha): desviación de +0.00 %</t>
        </is>
      </c>
      <c r="D25" s="36" t="inlineStr">
        <is>
          <t>CONFORME</t>
        </is>
      </c>
      <c r="E25" s="35" t="inlineStr">
        <is>
          <t>Sin acción: la segmentación del ráster valida la geometría del bloque dentro del ±2 %.</t>
        </is>
      </c>
    </row>
    <row r="26" ht="48" customHeight="1">
      <c r="A26" s="35" t="inlineStr">
        <is>
          <t>D-17</t>
        </is>
      </c>
      <c r="B26" s="35" t="inlineStr">
        <is>
          <t>Media MSAVI vs. clase DN dominante</t>
        </is>
      </c>
      <c r="C26" s="35" t="inlineStr">
        <is>
          <t>La media del bloque (0.5974) cae en la clase «DN 4 · 0.4976 - 0.6139 (Vigor moderado)»; la clase de mayor superficie es «DN 4 · 0.4976 - 0.6139 (Vigor moderado)», con 56.56 % del bloque. Superficie bajo el umbral 0.4976: 1.401 ha (4.97 %)</t>
        </is>
      </c>
      <c r="D26" s="36" t="inlineStr">
        <is>
          <t>CONFORME</t>
        </is>
      </c>
      <c r="E26" s="35" t="inlineStr">
        <is>
          <t>Sin acción: la media del bloque y la clase de mayor superficie coinciden.</t>
        </is>
      </c>
    </row>
    <row r="27"/>
    <row r="28">
      <c r="A28" s="16" t="inlineStr">
        <is>
          <t>RESUMEN</t>
        </is>
      </c>
      <c r="B28" s="17" t="inlineStr">
        <is>
          <t>17 verificaciones</t>
        </is>
      </c>
      <c r="C28" s="17" t="inlineStr">
        <is>
          <t>CONFORME: 6 · CORREGIDO: 1 · NO SUSTANTIVA: 3 · SUSTANTIVA: 7</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0" t="n"/>
      <c r="C30" s="40" t="n"/>
      <c r="D30" s="40" t="n"/>
      <c r="E30" s="41"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M36B2 — IN Piura</dc:title>
  <dc:subject>Diagnóstico Territorial por bloque de intervención</dc:subject>
  <dcterms:created xsi:type="dcterms:W3CDTF">2026-09-08T03:39:58Z</dcterms:created>
  <dcterms:modified xsi:type="dcterms:W3CDTF">2026-09-09T23:30:55Z</dcterms:modified>
</cp:coreProperties>
</file>