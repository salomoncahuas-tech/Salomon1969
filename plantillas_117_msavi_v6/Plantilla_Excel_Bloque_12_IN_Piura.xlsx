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12</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Chacayo (Santo Domingo)</t>
        </is>
      </c>
      <c r="C13" s="6" t="inlineStr">
        <is>
          <t>Comunidad campesina</t>
        </is>
      </c>
      <c r="D13" s="7" t="inlineStr">
        <is>
          <t>Por verificar</t>
        </is>
      </c>
      <c r="E13" s="8" t="n"/>
      <c r="F13" s="8" t="n"/>
    </row>
    <row r="14">
      <c r="A14" s="6" t="inlineStr">
        <is>
          <t>Superficie de catálogo (V5/V6), ha</t>
        </is>
      </c>
      <c r="B14" s="7" t="n">
        <v>119.54</v>
      </c>
      <c r="C14" s="6" t="inlineStr">
        <is>
          <t>Fuente de superficie</t>
        </is>
      </c>
      <c r="D14" s="7" t="inlineStr">
        <is>
          <t>Catálogo maestro Bloques V5/V6</t>
        </is>
      </c>
      <c r="E14" s="8" t="n"/>
      <c r="F14" s="8" t="n"/>
    </row>
    <row r="15">
      <c r="A15" s="6" t="inlineStr">
        <is>
          <t>Centroide UTM ESTE (m)</t>
        </is>
      </c>
      <c r="B15" s="7" t="n">
        <v>625419</v>
      </c>
      <c r="C15" s="6" t="inlineStr">
        <is>
          <t>Centroide UTM NORTE (m)</t>
        </is>
      </c>
      <c r="D15" s="7" t="n">
        <v>9444932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672</v>
      </c>
      <c r="C19" s="6" t="inlineStr">
        <is>
          <t>Altitud máxima (msnm)</t>
        </is>
      </c>
      <c r="D19" s="7" t="n">
        <v>2244</v>
      </c>
      <c r="E19" s="8" t="n"/>
      <c r="F19" s="8" t="n"/>
    </row>
    <row r="20">
      <c r="A20" s="6" t="inlineStr">
        <is>
          <t>Amplitud altitudinal (m)</t>
        </is>
      </c>
      <c r="B20" s="7" t="n">
        <v>1572</v>
      </c>
      <c r="C20" s="6" t="inlineStr">
        <is>
          <t>Piso altitudinal dominante</t>
        </is>
      </c>
      <c r="D20" s="7" t="inlineStr">
        <is>
          <t>1000-1500 m (Quechua baja)</t>
        </is>
      </c>
      <c r="E20" s="8" t="n"/>
      <c r="F20" s="8" t="n"/>
    </row>
    <row r="21">
      <c r="A21" s="6" t="inlineStr">
        <is>
          <t>Pendiente promedio (%)</t>
        </is>
      </c>
      <c r="B21" s="7" t="n">
        <v>27.41</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0.7067</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(99.93 %)</t>
        </is>
      </c>
      <c r="E29" s="8" t="n"/>
      <c r="F29" s="8" t="n"/>
    </row>
    <row r="30">
      <c r="A30" s="6" t="inlineStr">
        <is>
          <t>Superficie clasificada NDVI 2025 (ha)</t>
        </is>
      </c>
      <c r="B30" s="7" t="n">
        <v>119.587</v>
      </c>
      <c r="C30" s="6" t="inlineStr">
        <is>
          <t>Desviación frente al catálogo (%)</t>
        </is>
      </c>
      <c r="D30" s="7" t="n">
        <v>0.04</v>
      </c>
      <c r="E30" s="8" t="n"/>
      <c r="F30" s="8" t="n"/>
    </row>
    <row r="31">
      <c r="A31" s="6" t="inlineStr">
        <is>
          <t>Superficie clasificada MSAVI 2024 (ha)</t>
        </is>
      </c>
      <c r="B31" s="38" t="n">
        <v>119.538</v>
      </c>
      <c r="C31" s="6" t="inlineStr">
        <is>
          <t>Desviación MSAVI frente al catálogo (%)</t>
        </is>
      </c>
      <c r="D31" s="39" t="n">
        <v>0</v>
      </c>
      <c r="E31" s="8" t="n"/>
      <c r="F31" s="8" t="n"/>
    </row>
    <row r="32">
      <c r="A32" s="6" t="inlineStr">
        <is>
          <t>Superficie bajo umbral MSAVI 0.4976 (ha)</t>
        </is>
      </c>
      <c r="B32" s="38" t="n">
        <v>0.079</v>
      </c>
      <c r="C32" s="6" t="inlineStr">
        <is>
          <t>% del bloque bajo umbral (brecha espectral)</t>
        </is>
      </c>
      <c r="D32" s="39" t="n">
        <v>0.07000000000000001</v>
      </c>
      <c r="E32" s="8" t="n"/>
      <c r="F32" s="8" t="n"/>
    </row>
    <row r="33">
      <c r="A33" s="6" t="inlineStr">
        <is>
          <t>Clase DN dominante (MSAVI 2024)</t>
        </is>
      </c>
      <c r="B33" s="7" t="inlineStr">
        <is>
          <t>DN 5 · &gt; 0.6139 (Vigor alto)</t>
        </is>
      </c>
      <c r="C33" s="6" t="inlineStr">
        <is>
          <t>N.° de polígonos MSAVI del bloque</t>
        </is>
      </c>
      <c r="D33" s="40" t="n">
        <v>120</v>
      </c>
      <c r="E33" s="8" t="n"/>
      <c r="F33" s="8" t="n"/>
    </row>
    <row r="34"/>
    <row r="35" ht="18" customHeight="1">
      <c r="A35" s="5" t="inlineStr">
        <is>
          <t>4. ECOSISTEMA Y ESTADO DE CONSERVACIÓN</t>
        </is>
      </c>
    </row>
    <row r="36">
      <c r="A36" s="6" t="inlineStr">
        <is>
          <t>Tipo de ecosistema (UP)</t>
        </is>
      </c>
      <c r="B36" s="7" t="inlineStr">
        <is>
          <t>Bosque Relicto Montano V. Occidental (BMVO)</t>
        </is>
      </c>
      <c r="C36" s="6" t="inlineStr">
        <is>
          <t>Superficie de ecosistema (ha)</t>
        </is>
      </c>
      <c r="D36" s="7" t="inlineStr">
        <is>
          <t>119.54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Ing. Pedro Talledo Hernández; Ing. Juan Carlos Domínguez Varas</t>
        </is>
      </c>
      <c r="C44" s="6" t="inlineStr">
        <is>
          <t>Fecha de evaluación</t>
        </is>
      </c>
      <c r="D44" s="7" t="inlineStr">
        <is>
          <t>2026-06-09</t>
        </is>
      </c>
      <c r="E44" s="8" t="n"/>
      <c r="F44" s="8" t="n"/>
    </row>
    <row r="45">
      <c r="A45" s="6" t="inlineStr">
        <is>
          <t>Hora de registro</t>
        </is>
      </c>
      <c r="B45" s="7" t="inlineStr">
        <is>
          <t>15:39 - 17:04 h</t>
        </is>
      </c>
      <c r="C45" s="6" t="inlineStr">
        <is>
          <t>Correlativo de ficha</t>
        </is>
      </c>
      <c r="D45" s="7" t="inlineStr">
        <is>
          <t>B12-2026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Sector sur (accedido)</t>
        </is>
      </c>
      <c r="E47" s="8" t="n"/>
      <c r="F47" s="8" t="n"/>
    </row>
    <row r="48">
      <c r="A48" s="6" t="inlineStr">
        <is>
          <t>Estaciones fotográficas georreferenciadas</t>
        </is>
      </c>
      <c r="B48" s="7" t="inlineStr">
        <is>
          <t>Sin registro en la ficha DT</t>
        </is>
      </c>
      <c r="C48" s="6" t="inlineStr">
        <is>
          <t>Modalidad de acceso</t>
        </is>
      </c>
      <c r="D48" s="7" t="inlineStr">
        <is>
          <t>Vehicular + caminata &gt;90 min</t>
        </is>
      </c>
      <c r="E48" s="8" t="n"/>
      <c r="F48" s="8" t="n"/>
    </row>
    <row r="49"/>
    <row r="50" ht="18" customHeight="1">
      <c r="A50" s="5" t="inlineStr">
        <is>
          <t>6. SÍNTESIS PARA LA GESTIÓN DEL RIESGO EN CONTEXTO DE CAMBIO CLIMÁTICO</t>
        </is>
      </c>
    </row>
    <row r="51">
      <c r="A51" s="6" t="inlineStr">
        <is>
          <t>Causa subyacente principal</t>
        </is>
      </c>
      <c r="B51" s="7" t="inlineStr">
        <is>
          <t>Expansión de la frontera agropecuaria de subsistencia en economía campesina, sin ordenamiento territorial ni manejo del ecosistema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106.9938</v>
      </c>
      <c r="C10" s="29">
        <f>ROUND(B10/$B$15*100,2)</f>
        <v>89.51</v>
      </c>
      <c r="D10" s="12" t="inlineStr">
        <is>
          <t>Vigor alto</t>
        </is>
      </c>
      <c r="E10" s="12" t="inlineStr">
        <is>
          <t>Sobre umbral</t>
        </is>
      </c>
    </row>
    <row r="11">
      <c r="A11" s="13" t="inlineStr">
        <is>
          <t>0.4976 - 0.6139 · DN 4</t>
        </is>
      </c>
      <c r="B11" s="20" t="n">
        <v>12.4651</v>
      </c>
      <c r="C11" s="21">
        <f>ROUND(B11/$B$15*100,2)</f>
        <v>10.43</v>
      </c>
      <c r="D11" s="14" t="inlineStr">
        <is>
          <t>Vigor moderado</t>
        </is>
      </c>
      <c r="E11" s="14" t="inlineStr">
        <is>
          <t>Sobre umbral</t>
        </is>
      </c>
    </row>
    <row r="12">
      <c r="A12" s="7" t="inlineStr">
        <is>
          <t>0.3813 - 0.4976 · DN 3</t>
        </is>
      </c>
      <c r="B12" s="18" t="n">
        <v>0.07920000000000001</v>
      </c>
      <c r="C12" s="19">
        <f>ROUND(B12/$B$15*100,2)</f>
        <v>0.07</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119.5381</v>
      </c>
      <c r="C15" s="45">
        <f>SUM(C10:C14)</f>
        <v>100.01</v>
      </c>
      <c r="D15" s="43" t="inlineStr">
        <is>
          <t>Suma de la distribución areal · 120 polígonos</t>
        </is>
      </c>
      <c r="E15" s="43" t="inlineStr">
        <is>
          <t>—</t>
        </is>
      </c>
    </row>
    <row r="16" ht="30" customHeight="1">
      <c r="A16" s="46" t="inlineStr">
        <is>
          <t>Superficie SOBRE umbral 0.4976 (ha)</t>
        </is>
      </c>
      <c r="B16" s="47">
        <f>SUM(B10:B11)</f>
        <v>119.4589</v>
      </c>
      <c r="C16" s="48">
        <f>ROUND(B16/B15*100,2)</f>
        <v>99.93</v>
      </c>
      <c r="D16" s="46" t="inlineStr">
        <is>
          <t>Vigor alto y moderado (DN 4 y DN 5)</t>
        </is>
      </c>
      <c r="E16" s="46" t="inlineStr">
        <is>
          <t>Sobre umbral 0.4976</t>
        </is>
      </c>
    </row>
    <row r="17" ht="30" customHeight="1">
      <c r="A17" s="46" t="inlineStr">
        <is>
          <t>Superficie BAJO umbral 0.4976 (ha) — brecha</t>
        </is>
      </c>
      <c r="B17" s="47">
        <f>SUM(B12:B14)</f>
        <v>0.0792</v>
      </c>
      <c r="C17" s="48">
        <f>ROUND(B17/B15*100,2)</f>
        <v>0.07</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119.54</v>
      </c>
      <c r="C18" s="49" t="inlineStr">
        <is>
          <t>—</t>
        </is>
      </c>
      <c r="D18" s="46" t="inlineStr">
        <is>
          <t>Desviación planimétrica frente al catálogo</t>
        </is>
      </c>
      <c r="E18" s="46" t="inlineStr">
        <is>
          <t>+0.00 %</t>
        </is>
      </c>
    </row>
    <row r="19">
      <c r="A19" s="16" t="inlineStr">
        <is>
          <t>MSAVI 2024 — MEDIA DEL BLOQUE</t>
        </is>
      </c>
      <c r="B19" s="17" t="n">
        <v>0.706689</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120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(0.7067)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119.508</v>
      </c>
      <c r="C25" s="19" t="n">
        <v>99.93000000000001</v>
      </c>
      <c r="D25" s="15" t="inlineStr">
        <is>
          <t>Dosel continuo, matorral denso o mosaico agroforestal</t>
        </is>
      </c>
      <c r="E25" s="15" t="inlineStr"/>
    </row>
    <row r="26">
      <c r="A26" s="13" t="inlineStr">
        <is>
          <t>Vegetación mediana</t>
        </is>
      </c>
      <c r="B26" s="20" t="n">
        <v>0.07920000000000001</v>
      </c>
      <c r="C26" s="21" t="n">
        <v>0.07000000000000001</v>
      </c>
      <c r="D26" s="14" t="inlineStr">
        <is>
          <t>Pastizal cultivado, matorral ralo, parcelas agrícolas</t>
        </is>
      </c>
      <c r="E26" s="14" t="inlineStr"/>
    </row>
    <row r="27">
      <c r="A27" s="16" t="inlineStr">
        <is>
          <t>TOTAL CLASIFICADO</t>
        </is>
      </c>
      <c r="B27" s="22">
        <f>SUM(B25:B26)</f>
        <v>119.5872</v>
      </c>
      <c r="C27" s="23">
        <f>SUM(C25:C26)</f>
        <v>100.0</v>
      </c>
      <c r="D27" s="17" t="inlineStr"/>
      <c r="E27" s="17" t="inlineStr"/>
    </row>
    <row r="28">
      <c r="A28" s="24" t="inlineStr">
        <is>
          <t>Superficie de catálogo (V5/V6)</t>
        </is>
      </c>
      <c r="B28" s="25" t="n">
        <v>119.54</v>
      </c>
      <c r="C28" s="25" t="inlineStr">
        <is>
          <t>—</t>
        </is>
      </c>
      <c r="D28" s="25" t="inlineStr">
        <is>
          <t>Desviación planimétrica frente al catálogo</t>
        </is>
      </c>
      <c r="E28" s="25" t="inlineStr">
        <is>
          <t>+0.04 %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99.93 % del polígono clasificado como «Vegetación alta» por el NDVI 2025; la observación de campo corresponde a una parcela o recorrido puntual y no es estadísticamente representativa de las 119.540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12</t>
        </is>
      </c>
    </row>
    <row r="6" ht="24" customHeight="1">
      <c r="A6" s="4" t="inlineStr">
        <is>
          <t>Levantamiento del 2026-06-09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625623</v>
      </c>
      <c r="D10" s="26" t="n">
        <v>9444493</v>
      </c>
      <c r="E10" s="15" t="n">
        <v>484.1</v>
      </c>
      <c r="F10" s="15" t="inlineStr"/>
      <c r="G10" s="15" t="inlineStr">
        <is>
          <t>Coordenada consignada en F-DT-01</t>
        </is>
      </c>
    </row>
    <row r="11">
      <c r="A11" s="13" t="inlineStr">
        <is>
          <t>H-01</t>
        </is>
      </c>
      <c r="B11" s="14" t="inlineStr">
        <is>
          <t>Fuente de agua — Reservorio / Represa</t>
        </is>
      </c>
      <c r="C11" s="27" t="n">
        <v>625639</v>
      </c>
      <c r="D11" s="27" t="n">
        <v>9444233</v>
      </c>
      <c r="E11" s="14" t="n">
        <v>732.8</v>
      </c>
      <c r="F11" s="14" t="inlineStr">
        <is>
          <t>Permanente</t>
        </is>
      </c>
      <c r="G11" s="14" t="inlineStr">
        <is>
          <t>Tanque de agua potable</t>
        </is>
      </c>
    </row>
    <row r="12">
      <c r="A12" s="7" t="inlineStr">
        <is>
          <t>H-02</t>
        </is>
      </c>
      <c r="B12" s="15" t="inlineStr">
        <is>
          <t>Fuente de agua — Quebrada permanente</t>
        </is>
      </c>
      <c r="C12" s="26" t="n">
        <v>625255</v>
      </c>
      <c r="D12" s="26" t="n">
        <v>9443634</v>
      </c>
      <c r="E12" s="15" t="n">
        <v>1308.3</v>
      </c>
      <c r="F12" s="15" t="inlineStr">
        <is>
          <t>Permanente</t>
        </is>
      </c>
      <c r="G12" s="15" t="inlineStr">
        <is>
          <t>Quebrada Q9570 (drenaje)</t>
        </is>
      </c>
    </row>
    <row r="13">
      <c r="A13" s="13" t="inlineStr">
        <is>
          <t>B-01</t>
        </is>
      </c>
      <c r="B13" s="14" t="inlineStr">
        <is>
          <t>Especie clave — Nogal (Juglans cf. neotropica)</t>
        </is>
      </c>
      <c r="C13" s="27" t="n">
        <v>625637</v>
      </c>
      <c r="D13" s="27" t="n">
        <v>9444497</v>
      </c>
      <c r="E13" s="14" t="n">
        <v>486.6</v>
      </c>
      <c r="F13" s="14" t="inlineStr">
        <is>
          <t>Amenazada D.S. 043</t>
        </is>
      </c>
      <c r="G13" s="14" t="inlineStr">
        <is>
          <t>VU — Vulnerable</t>
        </is>
      </c>
    </row>
    <row r="14">
      <c r="A14" s="7" t="inlineStr">
        <is>
          <t>B-02</t>
        </is>
      </c>
      <c r="B14" s="15" t="inlineStr">
        <is>
          <t>Especie clave — Romerillo (Podocarpus sp.)</t>
        </is>
      </c>
      <c r="C14" s="26" t="n">
        <v>625255</v>
      </c>
      <c r="D14" s="26" t="n">
        <v>9443634</v>
      </c>
      <c r="E14" s="15" t="n">
        <v>1308.3</v>
      </c>
      <c r="F14" s="15" t="inlineStr">
        <is>
          <t>Indicadora de buen estado</t>
        </is>
      </c>
      <c r="G14" s="15" t="inlineStr">
        <is>
          <t>No aplica</t>
        </is>
      </c>
    </row>
    <row r="15">
      <c r="A15" s="13" t="inlineStr">
        <is>
          <t>B-03</t>
        </is>
      </c>
      <c r="B15" s="14" t="inlineStr">
        <is>
          <t>Especie clave — Higuerón (Ficus sp.)</t>
        </is>
      </c>
      <c r="C15" s="27" t="n">
        <v>624557</v>
      </c>
      <c r="D15" s="27" t="n">
        <v>9444014</v>
      </c>
      <c r="E15" s="14" t="n">
        <v>1259.3</v>
      </c>
      <c r="F15" s="14" t="inlineStr">
        <is>
          <t>Indicadora de buen estado</t>
        </is>
      </c>
      <c r="G15" s="14" t="inlineStr">
        <is>
          <t>LC</t>
        </is>
      </c>
    </row>
    <row r="16">
      <c r="A16" s="16" t="inlineStr">
        <is>
          <t>TOTAL: 6 puntos</t>
        </is>
      </c>
      <c r="B16" s="17" t="inlineStr"/>
      <c r="C16" s="17" t="inlineStr"/>
      <c r="D16" s="17" t="inlineStr"/>
      <c r="E16" s="17" t="inlineStr"/>
      <c r="F16" s="17" t="inlineStr"/>
      <c r="G16" s="17" t="inlineStr"/>
    </row>
    <row r="17"/>
    <row r="18">
      <c r="A18" s="6" t="inlineStr">
        <is>
          <t>Centroide del bloque — UTM ESTE (m)</t>
        </is>
      </c>
      <c r="B18" s="7" t="n">
        <v>625419</v>
      </c>
      <c r="C18" s="6" t="inlineStr">
        <is>
          <t>Centroide del bloque — UTM NORTE (m)</t>
        </is>
      </c>
      <c r="D18" s="7" t="n">
        <v>9444932</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0"/>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a pie por camino de herradura accidentado tras lluvia intensa; solo se accedió al sector SUR del bloque, que presenta cobertura alta (MSAVI &gt;0.61) y estabilidad general. ALTITUD: el equipo de campo refirió ~1400 msnm; el MDE indica ~1650-1850 m para el sector accedido y 1671-2218 m para el bloque completo (cima Cerro Rucutuyu). Se recomienda verificar la lectura altimétrica del GPS.</t>
        </is>
      </c>
      <c r="B21" s="41" t="n"/>
      <c r="C21" s="41" t="n"/>
      <c r="D21" s="41" t="n"/>
      <c r="E21" s="41" t="n"/>
      <c r="F21" s="41" t="n"/>
      <c r="G21" s="42"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12</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12</t>
        </is>
      </c>
      <c r="B10" s="28" t="n">
        <v>119.54</v>
      </c>
      <c r="C10" s="29" t="n">
        <v>14</v>
      </c>
      <c r="D10" s="12" t="inlineStr">
        <is>
          <t>672 – 2244</t>
        </is>
      </c>
      <c r="E10" s="12" t="n">
        <v>1572</v>
      </c>
      <c r="F10" s="12" t="n">
        <v>27.41</v>
      </c>
      <c r="G10" s="30" t="n">
        <v>0.7067</v>
      </c>
      <c r="H10" s="29" t="n">
        <v>99.93000000000001</v>
      </c>
      <c r="I10" s="29" t="n">
        <v>0.07000000000000001</v>
      </c>
    </row>
    <row r="11">
      <c r="A11" s="13" t="inlineStr">
        <is>
          <t>11</t>
        </is>
      </c>
      <c r="B11" s="31" t="n">
        <v>103.95</v>
      </c>
      <c r="C11" s="21" t="n">
        <v>12.17</v>
      </c>
      <c r="D11" s="14" t="inlineStr">
        <is>
          <t>1375 – 1928</t>
        </is>
      </c>
      <c r="E11" s="14" t="n">
        <v>553</v>
      </c>
      <c r="F11" s="14" t="n">
        <v>32.19</v>
      </c>
      <c r="G11" s="20" t="n">
        <v>0.6047</v>
      </c>
      <c r="H11" s="21" t="n">
        <v>75.28</v>
      </c>
      <c r="I11" s="21" t="n">
        <v>11.34</v>
      </c>
    </row>
    <row r="12">
      <c r="A12" s="7" t="inlineStr">
        <is>
          <t>17</t>
        </is>
      </c>
      <c r="B12" s="32" t="n">
        <v>96.08</v>
      </c>
      <c r="C12" s="19" t="n">
        <v>11.25</v>
      </c>
      <c r="D12" s="15" t="inlineStr">
        <is>
          <t>1253 – 1880</t>
        </is>
      </c>
      <c r="E12" s="15" t="n">
        <v>627</v>
      </c>
      <c r="F12" s="15" t="n">
        <v>35.56</v>
      </c>
      <c r="G12" s="18" t="n">
        <v>0.6479</v>
      </c>
      <c r="H12" s="19" t="n">
        <v>88.68000000000001</v>
      </c>
      <c r="I12" s="19" t="n">
        <v>2.09</v>
      </c>
    </row>
    <row r="13">
      <c r="A13" s="13" t="inlineStr">
        <is>
          <t>14</t>
        </is>
      </c>
      <c r="B13" s="31" t="n">
        <v>92.90000000000001</v>
      </c>
      <c r="C13" s="21" t="n">
        <v>10.88</v>
      </c>
      <c r="D13" s="14" t="inlineStr">
        <is>
          <t>87 – 1355</t>
        </is>
      </c>
      <c r="E13" s="14" t="n">
        <v>1268</v>
      </c>
      <c r="F13" s="14" t="n">
        <v>23.75</v>
      </c>
      <c r="G13" s="20" t="n">
        <v>0.5197000000000001</v>
      </c>
      <c r="H13" s="21" t="n">
        <v>58.89</v>
      </c>
      <c r="I13" s="21" t="n">
        <v>39.02</v>
      </c>
    </row>
    <row r="14">
      <c r="A14" s="7" t="inlineStr">
        <is>
          <t>15</t>
        </is>
      </c>
      <c r="B14" s="32" t="n">
        <v>86.15000000000001</v>
      </c>
      <c r="C14" s="19" t="n">
        <v>10.09</v>
      </c>
      <c r="D14" s="15" t="inlineStr">
        <is>
          <t>1199 – 1655</t>
        </is>
      </c>
      <c r="E14" s="15" t="n">
        <v>456</v>
      </c>
      <c r="F14" s="15" t="n">
        <v>26.19</v>
      </c>
      <c r="G14" s="18" t="n">
        <v>0.5605</v>
      </c>
      <c r="H14" s="19" t="n">
        <v>56.47</v>
      </c>
      <c r="I14" s="19" t="n">
        <v>22.48</v>
      </c>
    </row>
    <row r="15">
      <c r="A15" s="13" t="inlineStr">
        <is>
          <t>23</t>
        </is>
      </c>
      <c r="B15" s="31" t="n">
        <v>81.78</v>
      </c>
      <c r="C15" s="21" t="n">
        <v>9.58</v>
      </c>
      <c r="D15" s="14" t="inlineStr">
        <is>
          <t>521 – 973</t>
        </is>
      </c>
      <c r="E15" s="14" t="n">
        <v>452</v>
      </c>
      <c r="F15" s="14" t="n">
        <v>35.28</v>
      </c>
      <c r="G15" s="20" t="n">
        <v>0.5731000000000001</v>
      </c>
      <c r="H15" s="21" t="n">
        <v>47.99</v>
      </c>
      <c r="I15" s="21" t="n">
        <v>18.75</v>
      </c>
    </row>
    <row r="16">
      <c r="A16" s="7" t="inlineStr">
        <is>
          <t>42</t>
        </is>
      </c>
      <c r="B16" s="32" t="n">
        <v>80.62</v>
      </c>
      <c r="C16" s="19" t="n">
        <v>9.44</v>
      </c>
      <c r="D16" s="15" t="inlineStr">
        <is>
          <t>1131 – 1548</t>
        </is>
      </c>
      <c r="E16" s="15" t="n">
        <v>417</v>
      </c>
      <c r="F16" s="15" t="n">
        <v>27.86</v>
      </c>
      <c r="G16" s="18" t="n">
        <v>0.6348</v>
      </c>
      <c r="H16" s="19" t="n">
        <v>88.83</v>
      </c>
      <c r="I16" s="19" t="n">
        <v>5.64</v>
      </c>
    </row>
    <row r="17">
      <c r="A17" s="13" t="inlineStr">
        <is>
          <t>M19B2</t>
        </is>
      </c>
      <c r="B17" s="31" t="n">
        <v>74.37</v>
      </c>
      <c r="C17" s="21" t="n">
        <v>8.710000000000001</v>
      </c>
      <c r="D17" s="14" t="inlineStr">
        <is>
          <t>203 – 523</t>
        </is>
      </c>
      <c r="E17" s="14" t="n">
        <v>320</v>
      </c>
      <c r="F17" s="14" t="n">
        <v>21.71</v>
      </c>
      <c r="G17" s="20" t="n">
        <v>0.4012</v>
      </c>
      <c r="H17" s="21" t="n">
        <v>1.28</v>
      </c>
      <c r="I17" s="21" t="n">
        <v>96.23999999999999</v>
      </c>
    </row>
    <row r="18">
      <c r="A18" s="7" t="inlineStr">
        <is>
          <t>82</t>
        </is>
      </c>
      <c r="B18" s="32" t="n">
        <v>35.66</v>
      </c>
      <c r="C18" s="19" t="n">
        <v>4.18</v>
      </c>
      <c r="D18" s="15" t="inlineStr">
        <is>
          <t>1796 – 2098</t>
        </is>
      </c>
      <c r="E18" s="15" t="n">
        <v>302</v>
      </c>
      <c r="F18" s="15" t="n">
        <v>23.55</v>
      </c>
      <c r="G18" s="18" t="n">
        <v>0.6283</v>
      </c>
      <c r="H18" s="19" t="n">
        <v>90.06999999999999</v>
      </c>
      <c r="I18" s="19" t="n">
        <v>12.67</v>
      </c>
    </row>
    <row r="19">
      <c r="A19" s="13" t="inlineStr">
        <is>
          <t>78</t>
        </is>
      </c>
      <c r="B19" s="31" t="n">
        <v>35.1</v>
      </c>
      <c r="C19" s="21" t="n">
        <v>4.11</v>
      </c>
      <c r="D19" s="14" t="inlineStr">
        <is>
          <t>1908 – 2236</t>
        </is>
      </c>
      <c r="E19" s="14" t="n">
        <v>328</v>
      </c>
      <c r="F19" s="14" t="n">
        <v>30.64</v>
      </c>
      <c r="G19" s="20" t="n">
        <v>0.7074</v>
      </c>
      <c r="H19" s="21" t="n">
        <v>89.33</v>
      </c>
      <c r="I19" s="21" t="n">
        <v>1.77</v>
      </c>
    </row>
    <row r="20">
      <c r="A20" s="7" t="inlineStr">
        <is>
          <t>M19B7</t>
        </is>
      </c>
      <c r="B20" s="32" t="n">
        <v>34.17</v>
      </c>
      <c r="C20" s="19" t="n">
        <v>4</v>
      </c>
      <c r="D20" s="15" t="inlineStr">
        <is>
          <t>1213 – 1578</t>
        </is>
      </c>
      <c r="E20" s="15" t="n">
        <v>365</v>
      </c>
      <c r="F20" s="15" t="n">
        <v>28.15</v>
      </c>
      <c r="G20" s="18" t="n">
        <v>0.5919</v>
      </c>
      <c r="H20" s="19" t="n">
        <v>78.52</v>
      </c>
      <c r="I20" s="19" t="n">
        <v>5.85</v>
      </c>
    </row>
    <row r="21">
      <c r="A21" s="13" t="inlineStr">
        <is>
          <t>59</t>
        </is>
      </c>
      <c r="B21" s="31" t="n">
        <v>13.55</v>
      </c>
      <c r="C21" s="21" t="n">
        <v>1.59</v>
      </c>
      <c r="D21" s="14" t="inlineStr">
        <is>
          <t>2045 – 2218</t>
        </is>
      </c>
      <c r="E21" s="14" t="n">
        <v>173</v>
      </c>
      <c r="F21" s="14" t="n">
        <v>29.85</v>
      </c>
      <c r="G21" s="20" t="n">
        <v>0.6147</v>
      </c>
      <c r="H21" s="21" t="n">
        <v>86.56999999999999</v>
      </c>
      <c r="I21" s="21" t="n">
        <v>13.72</v>
      </c>
    </row>
    <row r="22">
      <c r="A22" s="16" t="inlineStr">
        <is>
          <t>TOTAL / PROMEDIO</t>
        </is>
      </c>
      <c r="B22" s="33">
        <f>SUM(B10:B21)</f>
        <v>853.87</v>
      </c>
      <c r="C22" s="23">
        <f>SUM(C10:C21)</f>
        <v>100.0</v>
      </c>
      <c r="D22" s="17" t="inlineStr">
        <is>
          <t>87 – 2244</t>
        </is>
      </c>
      <c r="E22" s="17" t="inlineStr"/>
      <c r="F22" s="17">
        <f>ROUND(AVERAGE(F10:F21),2)</f>
        <v>28.51</v>
      </c>
      <c r="G22" s="22">
        <f>ROUND(AVERAGE(G10:G21),4)</f>
        <v>0.5992</v>
      </c>
      <c r="H22" s="23">
        <f>ROUND(AVERAGE(H10:H21),2)</f>
        <v>71.82</v>
      </c>
      <c r="I22" s="23">
        <f>ROUND(AVERAGE(I10:I21),2)</f>
        <v>19.14</v>
      </c>
    </row>
    <row r="23"/>
    <row r="24" ht="84" customHeight="1">
      <c r="A24" s="9" t="inlineStr">
        <is>
          <t>LECTURA INTRAMICROCUENCA. El bloque 12 ocupa el puesto 1 de 12 por superficie dentro de la microcuenca C1086-Q9570 (14.00 % de las 853.87 ha preliminares de la microcuenca). Su pendiente promedio (27.41 %, clase «25-50% (Mod. escarpado)») es la 5.ª más baja de 12 y se sitúa por debajo del promedio de la microcuenca (28.51 %). Su MSAVI 2024 (0.7067) es el 2.º de 12 y queda por encima del promedio local (0.5993). Amplitud altitudinal del bloque: 1572 m (672–2244 msnm). El cuadro conserva todos los bloques catalogados en la microcuenca, incluidos los descartados en el tamizaje, para referencia del conjunto. Los bloques sin ficha DT figuran con sus parámetros de gabinete. BRECHA ESPECTRAL. El 0.07 % de la superficie del bloque (0.079 ha de 119.538 ha) se sitúa bajo el umbral MSAVI 0.4976, por debajo del promedio local de la microcuenca (19.14 %)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484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(119.587 ha) coincide con la de catálogo (119.54 ha) dentro del ±2 % (+0.04 %)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«1500-2000 m (Quechua media)»; el MDE sitúa el bloque entre 672 y 2244 msnm, cuyo punto medio corresponde a «1000-1500 m (Quechua baja)»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Centro poblado asociado</t>
        </is>
      </c>
      <c r="C14" s="34" t="inlineStr">
        <is>
          <t>La ficha DT declara «Chacayo (Santo Domingo)»; el cruce INEI-Bloques V5 identifica 2 centro(s) poblado(s) en el bloque: CHACAYO, SANTO DOMINGO</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(120 polígonos, 119.538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(119.538 ha) frente a la de catálogo V5/V6 (119.540 ha): desviación de +0.00 %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(0.7067) cae en la clase «DN 5 · &gt; 0.6139 (Vigor alto)»; la clase de mayor superficie es «DN 5 · &gt; 0.6139 (Vigor alto)», con 89.51 % del bloque. Superficie bajo el umbral 0.4976: 0.079 ha (0.07 %)</t>
        </is>
      </c>
      <c r="D18" s="37"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6 · CORREGIDO: 1 · NO SUSTANTIVA: 1 · SUSTANTIVA: 1</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12 — IN Piura</dc:title>
  <dc:subject>Diagnóstico Territorial por bloque de intervención</dc:subject>
  <dcterms:created xsi:type="dcterms:W3CDTF">2026-09-08T03:39:55Z</dcterms:created>
  <dcterms:modified xsi:type="dcterms:W3CDTF">2026-09-10T00:28:26Z</dcterms:modified>
</cp:coreProperties>
</file>