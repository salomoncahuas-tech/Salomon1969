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1">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M2B5</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M2B5</t>
        </is>
      </c>
      <c r="C9" s="6" t="inlineStr">
        <is>
          <t>Microcuenca (catálogo)</t>
        </is>
      </c>
      <c r="D9" s="7" t="inlineStr">
        <is>
          <t>C1076-Q9584</t>
        </is>
      </c>
      <c r="E9" s="8" t="n"/>
      <c r="F9" s="8" t="n"/>
    </row>
    <row r="10">
      <c r="A10" s="6" t="inlineStr">
        <is>
          <t>Zona de planificación</t>
        </is>
      </c>
      <c r="B10" s="7" t="inlineStr">
        <is>
          <t>Z07</t>
        </is>
      </c>
      <c r="C10" s="6" t="inlineStr">
        <is>
          <t>Microcuenca declarada en ficha DT</t>
        </is>
      </c>
      <c r="D10" s="7" t="inlineStr">
        <is>
          <t>C1076-Q9584</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Salitral</t>
        </is>
      </c>
      <c r="C12" s="6" t="inlineStr">
        <is>
          <t>Capital distrital</t>
        </is>
      </c>
      <c r="D12" s="7" t="inlineStr">
        <is>
          <t>Salitral</t>
        </is>
      </c>
      <c r="E12" s="8" t="n"/>
      <c r="F12" s="8" t="n"/>
    </row>
    <row r="13">
      <c r="A13" s="6" t="inlineStr">
        <is>
          <t>Centro poblado asociado</t>
        </is>
      </c>
      <c r="B13" s="7" t="inlineStr">
        <is>
          <t>Villa Hornopampa de los Andes</t>
        </is>
      </c>
      <c r="C13" s="6" t="inlineStr">
        <is>
          <t>Comunidad campesina</t>
        </is>
      </c>
      <c r="D13" s="7" t="inlineStr">
        <is>
          <t>No aplica formalmente — predios rurales del CP Villa Hornopampa de los Andes; sector colindante con el ACR Bosque Seco Salitral</t>
        </is>
      </c>
      <c r="E13" s="8" t="n"/>
      <c r="F13" s="8" t="n"/>
    </row>
    <row r="14">
      <c r="A14" s="6" t="inlineStr">
        <is>
          <t>Superficie de catálogo (V5/V6), ha</t>
        </is>
      </c>
      <c r="B14" s="7" t="n">
        <v>30.91</v>
      </c>
      <c r="C14" s="6" t="inlineStr">
        <is>
          <t>Fuente de superficie</t>
        </is>
      </c>
      <c r="D14" s="7" t="inlineStr">
        <is>
          <t>Catálogo maestro Bloques V5/V6</t>
        </is>
      </c>
      <c r="E14" s="8" t="n"/>
      <c r="F14" s="8" t="n"/>
    </row>
    <row r="15">
      <c r="A15" s="6" t="inlineStr">
        <is>
          <t>Centroide UTM ESTE (m)</t>
        </is>
      </c>
      <c r="B15" s="7" t="n">
        <v>639987</v>
      </c>
      <c r="C15" s="6" t="inlineStr">
        <is>
          <t>Centroide UTM NORTE (m)</t>
        </is>
      </c>
      <c r="D15" s="7" t="n">
        <v>9394392</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68</v>
      </c>
      <c r="C19" s="6" t="inlineStr">
        <is>
          <t>Altitud máxima (msnm)</t>
        </is>
      </c>
      <c r="D19" s="7" t="n">
        <v>322</v>
      </c>
      <c r="E19" s="8" t="n"/>
      <c r="F19" s="8" t="n"/>
    </row>
    <row r="20">
      <c r="A20" s="6" t="inlineStr">
        <is>
          <t>Amplitud altitudinal (m)</t>
        </is>
      </c>
      <c r="B20" s="7" t="n">
        <v>254</v>
      </c>
      <c r="C20" s="6" t="inlineStr">
        <is>
          <t>Piso altitudinal dominante</t>
        </is>
      </c>
      <c r="D20" s="7" t="inlineStr">
        <is>
          <t>&lt;1000 m (Yunga)</t>
        </is>
      </c>
      <c r="E20" s="8" t="n"/>
      <c r="F20" s="8" t="n"/>
    </row>
    <row r="21">
      <c r="A21" s="6" t="inlineStr">
        <is>
          <t>Pendiente promedio (%)</t>
        </is>
      </c>
      <c r="B21" s="7" t="n">
        <v>8.32</v>
      </c>
      <c r="C21" s="6" t="inlineStr">
        <is>
          <t>Pendiente promedio (grados)</t>
        </is>
      </c>
      <c r="D21" s="7" t="n">
        <v>4.8</v>
      </c>
      <c r="E21" s="8" t="n"/>
      <c r="F21" s="8" t="n"/>
    </row>
    <row r="22">
      <c r="A22" s="6" t="inlineStr">
        <is>
          <t>Clase de pendiente equivalente</t>
        </is>
      </c>
      <c r="B22" s="7" t="inlineStr">
        <is>
          <t>8-15% (Mod. inclinado)</t>
        </is>
      </c>
      <c r="C22" s="6" t="inlineStr">
        <is>
          <t>Rango de pendiente declarado en campo</t>
        </is>
      </c>
      <c r="D22" s="7" t="inlineStr">
        <is>
          <t>8-15% (Mod. inclinado)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Norte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0.3047</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ligera (59.24 %)</t>
        </is>
      </c>
      <c r="E29" s="8" t="n"/>
      <c r="F29" s="8" t="n"/>
    </row>
    <row r="30">
      <c r="A30" s="6" t="inlineStr">
        <is>
          <t>Superficie clasificada NDVI 2025 (ha)</t>
        </is>
      </c>
      <c r="B30" s="7" t="n">
        <v>30.918</v>
      </c>
      <c r="C30" s="6" t="inlineStr">
        <is>
          <t>Desviación frente al catálogo (%)</t>
        </is>
      </c>
      <c r="D30" s="7" t="n">
        <v>0.03</v>
      </c>
      <c r="E30" s="8" t="n"/>
      <c r="F30" s="8" t="n"/>
    </row>
    <row r="31">
      <c r="A31" s="6" t="inlineStr">
        <is>
          <t>Superficie clasificada MSAVI 2024 (ha)</t>
        </is>
      </c>
      <c r="B31" s="39" t="n">
        <v>30.909</v>
      </c>
      <c r="C31" s="6" t="inlineStr">
        <is>
          <t>Desviación MSAVI frente al catálogo (%)</t>
        </is>
      </c>
      <c r="D31" s="40" t="n">
        <v>0</v>
      </c>
      <c r="E31" s="8" t="n"/>
      <c r="F31" s="8" t="n"/>
    </row>
    <row r="32">
      <c r="A32" s="6" t="inlineStr">
        <is>
          <t>Superficie bajo umbral MSAVI 0.4976 (ha)</t>
        </is>
      </c>
      <c r="B32" s="39" t="n">
        <v>30.61</v>
      </c>
      <c r="C32" s="6" t="inlineStr">
        <is>
          <t>% del bloque bajo umbral (brecha espectral)</t>
        </is>
      </c>
      <c r="D32" s="40" t="n">
        <v>99.03</v>
      </c>
      <c r="E32" s="8" t="n"/>
      <c r="F32" s="8" t="n"/>
    </row>
    <row r="33">
      <c r="A33" s="6" t="inlineStr">
        <is>
          <t>Clase DN dominante (MSAVI 2024)</t>
        </is>
      </c>
      <c r="B33" s="7" t="inlineStr">
        <is>
          <t>DN 2 · 0.2650 - 0.3813 (Vigor muy bajo)</t>
        </is>
      </c>
      <c r="C33" s="6" t="inlineStr">
        <is>
          <t>N.° de polígonos MSAVI del bloque</t>
        </is>
      </c>
      <c r="D33" s="41" t="n">
        <v>165</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≈30.91 ha (ecosistema dominante en ≈100% del bloque)</t>
        </is>
      </c>
      <c r="E36" s="8" t="n"/>
      <c r="F36" s="8" t="n"/>
    </row>
    <row r="37">
      <c r="A37" s="6" t="inlineStr">
        <is>
          <t>Estado de conservación</t>
        </is>
      </c>
      <c r="B37" s="7" t="inlineStr">
        <is>
          <t>Medianamente alterado</t>
        </is>
      </c>
      <c r="C37" s="6" t="inlineStr">
        <is>
          <t>Uso actual dominante del suelo</t>
        </is>
      </c>
      <c r="D37" s="7" t="inlineStr">
        <is>
          <t>Pastoreo extensivo</t>
        </is>
      </c>
      <c r="E37" s="8" t="n"/>
      <c r="F37" s="8" t="n"/>
    </row>
    <row r="38">
      <c r="A38" s="6" t="inlineStr">
        <is>
          <t>Tipo de cobertura dominante</t>
        </is>
      </c>
      <c r="B38" s="7" t="inlineStr">
        <is>
          <t>Matorral denso</t>
        </is>
      </c>
      <c r="C38" s="6" t="inlineStr">
        <is>
          <t>Cobertura vegetal total — campo (%)</t>
        </is>
      </c>
      <c r="D38" s="7" t="n">
        <v>45</v>
      </c>
      <c r="E38" s="8" t="n"/>
      <c r="F38" s="8" t="n"/>
    </row>
    <row r="39">
      <c r="A39" s="6" t="inlineStr">
        <is>
          <t>Suelo desnudo — campo (%)</t>
        </is>
      </c>
      <c r="B39" s="7" t="n">
        <v>25</v>
      </c>
      <c r="C39" s="6" t="inlineStr">
        <is>
          <t>Regeneración natural</t>
        </is>
      </c>
      <c r="D39" s="7" t="inlineStr">
        <is>
          <t>Regular (10-50 pl./100m²)</t>
        </is>
      </c>
      <c r="E39" s="8" t="n"/>
      <c r="F39" s="8" t="n"/>
    </row>
    <row r="40">
      <c r="A40" s="6" t="inlineStr">
        <is>
          <t>Nivel general de erosión</t>
        </is>
      </c>
      <c r="B40" s="7" t="inlineStr">
        <is>
          <t>Moderada (surcos)</t>
        </is>
      </c>
      <c r="C40" s="6" t="inlineStr">
        <is>
          <t>N.° de cárcavas registradas</t>
        </is>
      </c>
      <c r="D40" s="7" t="n">
        <v>2</v>
      </c>
      <c r="E40" s="8" t="n"/>
      <c r="F40" s="8" t="n"/>
    </row>
    <row r="41">
      <c r="A41" s="6" t="inlineStr">
        <is>
          <t>Elenco florístico (n.° de taxones)</t>
        </is>
      </c>
      <c r="B41" s="7" t="n">
        <v>13</v>
      </c>
      <c r="C41" s="6" t="inlineStr">
        <is>
          <t>Estado sanitario</t>
        </is>
      </c>
      <c r="D41" s="7" t="inlineStr">
        <is>
          <t>Daño mecánico</t>
        </is>
      </c>
      <c r="E41" s="8" t="n"/>
      <c r="F41" s="8" t="n"/>
    </row>
    <row r="42"/>
    <row r="43" ht="18" customHeight="1">
      <c r="A43" s="5" t="inlineStr">
        <is>
          <t>5. RESPONSABLE Y MODALIDAD DE LA EVALUACIÓN</t>
        </is>
      </c>
    </row>
    <row r="44">
      <c r="A44" s="6" t="inlineStr">
        <is>
          <t>Responsable de la evaluación</t>
        </is>
      </c>
      <c r="B44" s="7" t="inlineStr">
        <is>
          <t>Ing. Héctor Salomón Cahuas Miller (con Ing. Juan Carlos Domínguez Varas)</t>
        </is>
      </c>
      <c r="C44" s="6" t="inlineStr">
        <is>
          <t>Fecha de evaluación</t>
        </is>
      </c>
      <c r="D44" s="7" t="inlineStr">
        <is>
          <t>2026-05-20</t>
        </is>
      </c>
      <c r="E44" s="8" t="n"/>
      <c r="F44" s="8" t="n"/>
    </row>
    <row r="45">
      <c r="A45" s="6" t="inlineStr">
        <is>
          <t>Hora de registro</t>
        </is>
      </c>
      <c r="B45" s="7" t="inlineStr">
        <is>
          <t>14:45 h (inspección 15:00 - 15:30 h)</t>
        </is>
      </c>
      <c r="C45" s="6" t="inlineStr">
        <is>
          <t>Correlativo de ficha</t>
        </is>
      </c>
      <c r="D45" s="7" t="inlineStr">
        <is>
          <t>DT-M2B5-001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Sin registro en ficha</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Dependencia económica de actividades pecuarias (cría caprina) de bajo retorno por parte de pobladores del CP Villa Hornopampa de los Andes</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2" t="n"/>
      <c r="C57" s="42" t="n"/>
      <c r="D57" s="42" t="n"/>
      <c r="E57" s="42" t="n"/>
      <c r="F57" s="43"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M2B5</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0.0003</v>
      </c>
      <c r="C10" s="19">
        <f>ROUND(B10/$B$15*100,2)</f>
        <v/>
      </c>
      <c r="D10" s="11" t="inlineStr">
        <is>
          <t>Vigor alto</t>
        </is>
      </c>
      <c r="E10" s="11" t="inlineStr">
        <is>
          <t>Sobre umbral</t>
        </is>
      </c>
    </row>
    <row r="11">
      <c r="A11" s="12" t="inlineStr">
        <is>
          <t>0.4976 - 0.6139 · DN 4</t>
        </is>
      </c>
      <c r="B11" s="20" t="n">
        <v>0.2984</v>
      </c>
      <c r="C11" s="21">
        <f>ROUND(B11/$B$15*100,2)</f>
        <v/>
      </c>
      <c r="D11" s="13" t="inlineStr">
        <is>
          <t>Vigor moderado</t>
        </is>
      </c>
      <c r="E11" s="13" t="inlineStr">
        <is>
          <t>Sobre umbral</t>
        </is>
      </c>
    </row>
    <row r="12">
      <c r="A12" s="7" t="inlineStr">
        <is>
          <t>0.3813 - 0.4976 · DN 3</t>
        </is>
      </c>
      <c r="B12" s="18" t="n">
        <v>3.2173</v>
      </c>
      <c r="C12" s="19">
        <f>ROUND(B12/$B$15*100,2)</f>
        <v/>
      </c>
      <c r="D12" s="11" t="inlineStr">
        <is>
          <t>Vigor bajo</t>
        </is>
      </c>
      <c r="E12" s="11" t="inlineStr">
        <is>
          <t>BAJO umbral 0.4976</t>
        </is>
      </c>
    </row>
    <row r="13">
      <c r="A13" s="14" t="inlineStr">
        <is>
          <t>0.2650 - 0.3813 · DN 2</t>
        </is>
      </c>
      <c r="B13" s="32" t="n">
        <v>18.3122</v>
      </c>
      <c r="C13" s="31">
        <f>ROUND(B13/$B$15*100,2)</f>
        <v/>
      </c>
      <c r="D13" s="15" t="inlineStr">
        <is>
          <t>Vigor muy bajo</t>
        </is>
      </c>
      <c r="E13" s="15" t="inlineStr">
        <is>
          <t>BAJO umbral 0.4976</t>
        </is>
      </c>
    </row>
    <row r="14">
      <c r="A14" s="7" t="inlineStr">
        <is>
          <t>&lt;= 0.2650 · DN 1</t>
        </is>
      </c>
      <c r="B14" s="18" t="n">
        <v>9.080299999999999</v>
      </c>
      <c r="C14" s="19">
        <f>ROUND(B14/$B$15*100,2)</f>
        <v/>
      </c>
      <c r="D14" s="11" t="inlineStr">
        <is>
          <t>Suelo desnudo / no vegetal</t>
        </is>
      </c>
      <c r="E14" s="11" t="inlineStr">
        <is>
          <t>BAJO umbral 0.4976</t>
        </is>
      </c>
    </row>
    <row r="15" ht="30" customHeight="1">
      <c r="A15" s="44" t="inlineStr">
        <is>
          <t>TOTAL CLASIFICADO MSAVI 2024</t>
        </is>
      </c>
      <c r="B15" s="45">
        <f>SUM(B10:B14)</f>
        <v/>
      </c>
      <c r="C15" s="46">
        <f>SUM(C10:C14)</f>
        <v/>
      </c>
      <c r="D15" s="44" t="inlineStr">
        <is>
          <t>Suma de la distribución areal · 165 polígonos</t>
        </is>
      </c>
      <c r="E15" s="44" t="inlineStr">
        <is>
          <t>—</t>
        </is>
      </c>
    </row>
    <row r="16" ht="30" customHeight="1">
      <c r="A16" s="47" t="inlineStr">
        <is>
          <t>Superficie SOBRE umbral 0.4976 (ha)</t>
        </is>
      </c>
      <c r="B16" s="48">
        <f>SUM(B10:B11)</f>
        <v/>
      </c>
      <c r="C16" s="49">
        <f>ROUND(B16/B15*100,2)</f>
        <v/>
      </c>
      <c r="D16" s="47" t="inlineStr">
        <is>
          <t>Vigor alto y moderado (DN 4 y DN 5)</t>
        </is>
      </c>
      <c r="E16" s="47" t="inlineStr">
        <is>
          <t>Sobre umbral 0.4976</t>
        </is>
      </c>
    </row>
    <row r="17" ht="30" customHeight="1">
      <c r="A17" s="47" t="inlineStr">
        <is>
          <t>Superficie BAJO umbral 0.4976 (ha) — brecha</t>
        </is>
      </c>
      <c r="B17" s="48">
        <f>SUM(B12:B14)</f>
        <v/>
      </c>
      <c r="C17" s="49">
        <f>ROUND(B17/B15*100,2)</f>
        <v/>
      </c>
      <c r="D17" s="47" t="inlineStr">
        <is>
          <t>Vigor bajo, muy bajo y suelo desnudo (DN 1 a DN 3)</t>
        </is>
      </c>
      <c r="E17" s="47" t="inlineStr">
        <is>
          <t>Base para el indicador de brecha (R.M. N.° 00213-2024-MINAM)</t>
        </is>
      </c>
    </row>
    <row r="18" ht="30" customHeight="1">
      <c r="A18" s="47" t="inlineStr">
        <is>
          <t>Superficie de catálogo (V5/V6) — contraste MSAVI</t>
        </is>
      </c>
      <c r="B18" s="48" t="n">
        <v>30.91</v>
      </c>
      <c r="C18" s="50" t="inlineStr">
        <is>
          <t>—</t>
        </is>
      </c>
      <c r="D18" s="47" t="inlineStr">
        <is>
          <t>Desviación planimétrica frente al catálogo</t>
        </is>
      </c>
      <c r="E18" s="47" t="inlineStr">
        <is>
          <t>+0.00 %</t>
        </is>
      </c>
    </row>
    <row r="19">
      <c r="A19" s="16" t="inlineStr">
        <is>
          <t>MSAVI 2024 — MEDIA DEL BLOQUE</t>
        </is>
      </c>
      <c r="B19" s="17" t="n">
        <v>0.304733</v>
      </c>
      <c r="C19" s="17" t="inlineStr">
        <is>
          <t>—</t>
        </is>
      </c>
      <c r="D19" s="17" t="inlineStr">
        <is>
          <t>Vigor muy bajo · clase 0.2650 - 0.3813</t>
        </is>
      </c>
      <c r="E19" s="17" t="inlineStr">
        <is>
          <t>BAJO umbral 0.4976</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165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(0.3047) se conserva del catálogo maestro y es dato oficial; la fila resaltada indica la clase en la que cae dicha media. Los totales y porcentajes se calculan con fórmulas sobre las filas del cuadro.</t>
        </is>
      </c>
      <c r="B21" s="42" t="n"/>
      <c r="C21" s="42" t="n"/>
      <c r="D21" s="42" t="n"/>
      <c r="E21" s="43"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1.5901</v>
      </c>
      <c r="C25" s="19" t="n">
        <v>5.14</v>
      </c>
      <c r="D25" s="11" t="inlineStr">
        <is>
          <t>Dosel continuo, matorral denso o mosaico agroforestal</t>
        </is>
      </c>
      <c r="E25" s="11" t="inlineStr"/>
    </row>
    <row r="26">
      <c r="A26" s="12" t="inlineStr">
        <is>
          <t>Vegetación mediana</t>
        </is>
      </c>
      <c r="B26" s="20" t="n">
        <v>10.8494</v>
      </c>
      <c r="C26" s="21" t="n">
        <v>35.09</v>
      </c>
      <c r="D26" s="13" t="inlineStr">
        <is>
          <t>Pastizal cultivado, matorral ralo, parcelas agrícolas</t>
        </is>
      </c>
      <c r="E26" s="13" t="inlineStr"/>
    </row>
    <row r="27">
      <c r="A27" s="7" t="inlineStr">
        <is>
          <t>Vegetación ligera</t>
        </is>
      </c>
      <c r="B27" s="18" t="n">
        <v>18.3151</v>
      </c>
      <c r="C27" s="19" t="n">
        <v>59.24</v>
      </c>
      <c r="D27" s="11" t="inlineStr">
        <is>
          <t>Cobertura discontinua, suelo parcialmente expuesto</t>
        </is>
      </c>
      <c r="E27" s="11" t="inlineStr"/>
    </row>
    <row r="28">
      <c r="A28" s="12" t="inlineStr">
        <is>
          <t>Tierra desnuda</t>
        </is>
      </c>
      <c r="B28" s="20" t="n">
        <v>0.1637</v>
      </c>
      <c r="C28" s="21" t="n">
        <v>0.53</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30.91</v>
      </c>
      <c r="C30" s="25" t="inlineStr">
        <is>
          <t>—</t>
        </is>
      </c>
      <c r="D30" s="25" t="inlineStr">
        <is>
          <t>Desviación planimétrica frente al catálogo</t>
        </is>
      </c>
      <c r="E30" s="25" t="inlineStr">
        <is>
          <t>+0.03 %</t>
        </is>
      </c>
    </row>
    <row r="31"/>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45 % frente a un 5.14 % del polígono clasificado como «Vegetación alta» por el NDVI 2025; la observación de campo corresponde a una parcela o recorrido puntual y no es estadísticamente representativa de las 30.910 ha del bloque.</t>
        </is>
      </c>
      <c r="B32" s="42" t="n"/>
      <c r="C32" s="42" t="n"/>
      <c r="D32" s="42" t="n"/>
      <c r="E32" s="43"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M2B5</t>
        </is>
      </c>
    </row>
    <row r="6" ht="24" customHeight="1">
      <c r="A6" s="4" t="inlineStr">
        <is>
          <t>Levantamiento del 2026-05-20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640325</v>
      </c>
      <c r="D10" s="26" t="n">
        <v>9394442</v>
      </c>
      <c r="E10" s="11" t="n">
        <v>341.7</v>
      </c>
      <c r="F10" s="11" t="inlineStr"/>
      <c r="G10" s="11" t="inlineStr">
        <is>
          <t>Coordenada consignada en F-DT-01</t>
        </is>
      </c>
    </row>
    <row r="11">
      <c r="A11" s="12" t="inlineStr">
        <is>
          <t>CA-01</t>
        </is>
      </c>
      <c r="B11" s="13" t="inlineStr">
        <is>
          <t>Rasgo erosivo — Surco (&lt;30 cm) — 110 m, 0.25 m prof., 0.6 m ancho</t>
        </is>
      </c>
      <c r="C11" s="27" t="n">
        <v>640325</v>
      </c>
      <c r="D11" s="27" t="n">
        <v>9394442</v>
      </c>
      <c r="E11" s="13" t="n">
        <v>341.7</v>
      </c>
      <c r="F11" s="13" t="inlineStr">
        <is>
          <t>Activa</t>
        </is>
      </c>
      <c r="G11" s="13" t="inlineStr">
        <is>
          <t>Sobrepastoreo</t>
        </is>
      </c>
    </row>
    <row r="12">
      <c r="A12" s="7" t="inlineStr">
        <is>
          <t>CA-02</t>
        </is>
      </c>
      <c r="B12" s="11" t="inlineStr">
        <is>
          <t>Rasgo erosivo — Cárcava incipiente — 170 m, 0.4 m prof., 0.8 m ancho</t>
        </is>
      </c>
      <c r="C12" s="26" t="n">
        <v>640260</v>
      </c>
      <c r="D12" s="26" t="n">
        <v>9394429</v>
      </c>
      <c r="E12" s="11" t="n">
        <v>275.5</v>
      </c>
      <c r="F12" s="11" t="inlineStr">
        <is>
          <t>Semi-activa</t>
        </is>
      </c>
      <c r="G12" s="11" t="inlineStr">
        <is>
          <t>Concentración natural de escorrentía</t>
        </is>
      </c>
    </row>
    <row r="13">
      <c r="A13" s="12" t="inlineStr">
        <is>
          <t>H-01</t>
        </is>
      </c>
      <c r="B13" s="13" t="inlineStr">
        <is>
          <t>Fuente de agua — Río</t>
        </is>
      </c>
      <c r="C13" s="27" t="n">
        <v>639750</v>
      </c>
      <c r="D13" s="27" t="n">
        <v>9394800</v>
      </c>
      <c r="E13" s="13" t="n">
        <v>471.8</v>
      </c>
      <c r="F13" s="13" t="inlineStr">
        <is>
          <t>Permanente</t>
        </is>
      </c>
      <c r="G13" s="13" t="inlineStr">
        <is>
          <t>Río Piura — cauce principal</t>
        </is>
      </c>
    </row>
    <row r="14">
      <c r="A14" s="7" t="inlineStr">
        <is>
          <t>H-02</t>
        </is>
      </c>
      <c r="B14" s="11" t="inlineStr">
        <is>
          <t>Fuente de agua — Quebrada estacional</t>
        </is>
      </c>
      <c r="C14" s="26" t="n">
        <v>640200</v>
      </c>
      <c r="D14" s="26" t="n">
        <v>9394400</v>
      </c>
      <c r="E14" s="11" t="n">
        <v>213.2</v>
      </c>
      <c r="F14" s="11" t="inlineStr">
        <is>
          <t>Efímero</t>
        </is>
      </c>
      <c r="G14" s="11" t="inlineStr">
        <is>
          <t>Quebrada de bajo orden</t>
        </is>
      </c>
    </row>
    <row r="15">
      <c r="A15" s="16" t="inlineStr">
        <is>
          <t>TOTAL: 5 puntos</t>
        </is>
      </c>
      <c r="B15" s="17" t="inlineStr"/>
      <c r="C15" s="17" t="inlineStr"/>
      <c r="D15" s="17" t="inlineStr"/>
      <c r="E15" s="17" t="inlineStr"/>
      <c r="F15" s="17" t="inlineStr"/>
      <c r="G15" s="17" t="inlineStr"/>
    </row>
    <row r="17">
      <c r="A17" s="6" t="inlineStr">
        <is>
          <t>Centroide del bloque — UTM ESTE (m)</t>
        </is>
      </c>
      <c r="B17" s="7" t="n">
        <v>639987</v>
      </c>
      <c r="C17" s="6" t="inlineStr">
        <is>
          <t>Centroide del bloque — UTM NORTE (m)</t>
        </is>
      </c>
      <c r="D17" s="7" t="n">
        <v>9394392</v>
      </c>
      <c r="E17" s="8" t="n"/>
      <c r="F17" s="8" t="n"/>
      <c r="G17" s="8" t="n"/>
      <c r="H17" s="8" t="n"/>
    </row>
    <row r="18">
      <c r="A18" s="6" t="inlineStr">
        <is>
          <t>N.° de estaciones fotográficas declaradas</t>
        </is>
      </c>
      <c r="B18" s="7" t="n">
        <v>0</v>
      </c>
      <c r="C18" s="6" t="inlineStr">
        <is>
          <t>Estaciones dentro del polígono</t>
        </is>
      </c>
      <c r="D18" s="7" t="n">
        <v>0</v>
      </c>
      <c r="E18" s="8" t="n"/>
      <c r="F18" s="8" t="n"/>
      <c r="G18" s="8" t="n"/>
      <c r="H18" s="8" t="n"/>
    </row>
    <row r="20" ht="144" customHeight="1">
      <c r="A20"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Acceso desde la carretera Morropón-Buenos Aires-Salitral, ingresando a la altura del CP Villa Hornopampa de los Andes. Inspección del 20-05-2026 entre las 15:00 y 15:30 h. Pese a pendientes locales moderadas (perfiles Google Earth: 13.0% máx. en sector central; 27.7% máx. en sector occidental), NO se observaron procesos de remoción en masa activos. Las evidencias predominantes corresponden a REPTACIÓN LENTA ASOCIADA AL TRÁNSITO CAPRINO (terracetas de pisoteo) y a afloramientos rocosos diseminados principalmente en cabeceras de microquebradas. LA EXISTENCIA DE BOSQUE RELICTUAL EN LA PARTE ALTA DEL BLOQUE, CONTIGUO AL ACR BOSQUE SECO SALITRAL, CONSTITUYE UN NÚCLEO DE PROPÁGULOS RELEVANTE para la estrategia de restauración pasiva-asistida.</t>
        </is>
      </c>
      <c r="B20" s="42" t="n"/>
      <c r="C20" s="42" t="n"/>
      <c r="D20" s="42" t="n"/>
      <c r="E20" s="42" t="n"/>
      <c r="F20" s="42" t="n"/>
      <c r="G20" s="43" t="n"/>
    </row>
  </sheetData>
  <mergeCells count="8">
    <mergeCell ref="A1:G1"/>
    <mergeCell ref="A8:G8"/>
    <mergeCell ref="A3:G3"/>
    <mergeCell ref="A6:G6"/>
    <mergeCell ref="A4:G4"/>
    <mergeCell ref="A20:G20"/>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0"/>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C1076-Q9584 — BLOQUE M2B5</t>
        </is>
      </c>
    </row>
    <row r="6" ht="24" customHeight="1">
      <c r="A6" s="4" t="inlineStr">
        <is>
          <t>Distrito de Salitral · Provincia de Morropon · Comparación de los bloques preliminares de intervención de la misma microcuenca</t>
        </is>
      </c>
    </row>
    <row r="7"/>
    <row r="8" ht="18" customHeight="1">
      <c r="A8" s="5" t="inlineStr">
        <is>
          <t>BLOQUES DE LA MICROCUENCA C1076-Q9584</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1</t>
        </is>
      </c>
      <c r="B10" s="28" t="n">
        <v>1370.96</v>
      </c>
      <c r="C10" s="19" t="n">
        <v>77.31999999999999</v>
      </c>
      <c r="D10" s="11" t="inlineStr">
        <is>
          <t>291 – 1204</t>
        </is>
      </c>
      <c r="E10" s="11" t="n">
        <v>913</v>
      </c>
      <c r="F10" s="11" t="n">
        <v>21.39</v>
      </c>
      <c r="G10" s="18" t="n">
        <v>0.4545</v>
      </c>
      <c r="H10" s="19" t="inlineStr">
        <is>
          <t>Por determinar</t>
        </is>
      </c>
      <c r="I10" s="11" t="inlineStr">
        <is>
          <t>s/d</t>
        </is>
      </c>
    </row>
    <row r="11">
      <c r="A11" s="12" t="inlineStr">
        <is>
          <t>7</t>
        </is>
      </c>
      <c r="B11" s="29" t="n">
        <v>173.43</v>
      </c>
      <c r="C11" s="21" t="n">
        <v>9.779999999999999</v>
      </c>
      <c r="D11" s="13" t="inlineStr">
        <is>
          <t>257 – 577</t>
        </is>
      </c>
      <c r="E11" s="13" t="n">
        <v>320</v>
      </c>
      <c r="F11" s="13" t="n">
        <v>18.59</v>
      </c>
      <c r="G11" s="20" t="n">
        <v>0.3753</v>
      </c>
      <c r="H11" s="21" t="inlineStr">
        <is>
          <t>Por determinar</t>
        </is>
      </c>
      <c r="I11" s="13" t="inlineStr">
        <is>
          <t>s/d</t>
        </is>
      </c>
    </row>
    <row r="12">
      <c r="A12" s="7" t="inlineStr">
        <is>
          <t>M2B8</t>
        </is>
      </c>
      <c r="B12" s="28" t="n">
        <v>116.1</v>
      </c>
      <c r="C12" s="19" t="n">
        <v>6.55</v>
      </c>
      <c r="D12" s="11" t="inlineStr">
        <is>
          <t>244 – 673</t>
        </is>
      </c>
      <c r="E12" s="11" t="n">
        <v>429</v>
      </c>
      <c r="F12" s="11" t="n">
        <v>19.24</v>
      </c>
      <c r="G12" s="18" t="n">
        <v>0.3752</v>
      </c>
      <c r="H12" s="19" t="n">
        <v>16.64</v>
      </c>
      <c r="I12" s="19" t="n">
        <v>92.31</v>
      </c>
    </row>
    <row r="13">
      <c r="A13" s="12" t="inlineStr">
        <is>
          <t>M2B1</t>
        </is>
      </c>
      <c r="B13" s="29" t="n">
        <v>81.79000000000001</v>
      </c>
      <c r="C13" s="21" t="n">
        <v>4.61</v>
      </c>
      <c r="D13" s="13" t="inlineStr">
        <is>
          <t>235 – 446</t>
        </is>
      </c>
      <c r="E13" s="13" t="n">
        <v>211</v>
      </c>
      <c r="F13" s="13" t="n">
        <v>17.48</v>
      </c>
      <c r="G13" s="20" t="n">
        <v>0.2984</v>
      </c>
      <c r="H13" s="21" t="n">
        <v>0.04</v>
      </c>
      <c r="I13" s="21" t="n">
        <v>100</v>
      </c>
    </row>
    <row r="14">
      <c r="A14" s="14" t="inlineStr">
        <is>
          <t>► M2B5</t>
        </is>
      </c>
      <c r="B14" s="30" t="n">
        <v>30.91</v>
      </c>
      <c r="C14" s="31" t="n">
        <v>1.74</v>
      </c>
      <c r="D14" s="15" t="inlineStr">
        <is>
          <t>68 – 322</t>
        </is>
      </c>
      <c r="E14" s="15" t="n">
        <v>254</v>
      </c>
      <c r="F14" s="15" t="n">
        <v>8.32</v>
      </c>
      <c r="G14" s="32" t="n">
        <v>0.3047</v>
      </c>
      <c r="H14" s="31" t="n">
        <v>5.14</v>
      </c>
      <c r="I14" s="31" t="n">
        <v>99.03</v>
      </c>
    </row>
    <row r="15">
      <c r="A15" s="16" t="inlineStr">
        <is>
          <t>TOTAL / PROMEDIO</t>
        </is>
      </c>
      <c r="B15" s="33">
        <f>SUM(B10:B14)</f>
        <v/>
      </c>
      <c r="C15" s="23">
        <f>SUM(C10:C14)</f>
        <v/>
      </c>
      <c r="D15" s="17" t="inlineStr">
        <is>
          <t>68 – 1204</t>
        </is>
      </c>
      <c r="E15" s="17" t="inlineStr"/>
      <c r="F15" s="17">
        <f>ROUND(AVERAGE(F10:F14),2)</f>
        <v/>
      </c>
      <c r="G15" s="22">
        <f>ROUND(AVERAGE(G10:G14),4)</f>
        <v/>
      </c>
      <c r="H15" s="23">
        <f>ROUND(AVERAGE(H10:H14),2)</f>
        <v/>
      </c>
      <c r="I15" s="23">
        <f>ROUND(AVERAGE(I10:I14),2)</f>
        <v/>
      </c>
    </row>
    <row r="16" ht="48" customHeight="1">
      <c r="A16" s="9" t="inlineStr">
        <is>
          <t>ALCANCE DE LOS PROMEDIOS. La fila TOTAL / PROMEDIO omite las celdas «Por determinar»: el promedio de VEGETACIÓN ALTA (NDVI 2025) se calcula sobre 3 de los 5 bloques; los 2 bloques restantes carecen de estadística zonal de NDVI. Los totales de ÁREA y % de microcuenca sí comprenden la totalidad de los 5 bloques. No se estima ningún valor ausente.</t>
        </is>
      </c>
      <c r="B16" s="42" t="n"/>
      <c r="C16" s="42" t="n"/>
      <c r="D16" s="42" t="n"/>
      <c r="E16" s="42" t="n"/>
      <c r="F16" s="42" t="n"/>
      <c r="G16" s="42" t="n"/>
      <c r="H16" s="43" t="n"/>
    </row>
    <row r="17"/>
    <row r="18" ht="84" customHeight="1">
      <c r="A18" s="9" t="inlineStr">
        <is>
          <t>LECTURA INTRAMICROCUENCA. El bloque M2B5 ocupa el puesto 5 de 5 por superficie dentro de la microcuenca C1076-Q9584 (1.74 % de las 1773.19 ha preliminares de la microcuenca). Su pendiente promedio (8.32 %, clase «8-15% (Mod. inclinado)») es la 1.ª más baja de 5 y se sitúa por debajo del promedio de la microcuenca (17.00 %). Su MSAVI 2024 (0.3047) es el 4.º de 5 y queda por debajo del promedio local (0.3616). Amplitud altitudinal del bloque: 254 m (68–322 msnm). El cuadro conserva todos los bloques catalogados en la microcuenca, incluidos los descartados en el tamizaje, para referencia del conjunto. Los bloques sin ficha DT figuran con sus parámetros de gabinete. BRECHA ESPECTRAL. El 99.03 % de la superficie del bloque (30.610 ha de 30.909 ha) se sitúa bajo el umbral MSAVI 0.4976, por encima del promedio local de la microcuenca (97.12 %) calculado sobre los bloques con dato MSAVI disponible.</t>
        </is>
      </c>
      <c r="B18" s="42" t="n"/>
      <c r="C18" s="42" t="n"/>
      <c r="D18" s="42" t="n"/>
      <c r="E18" s="42" t="n"/>
      <c r="F18" s="42" t="n"/>
      <c r="G18" s="42" t="n"/>
      <c r="H18" s="43" t="n"/>
    </row>
    <row r="19"/>
    <row r="20" ht="60" customHeight="1">
      <c r="A20"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0" s="42" t="n"/>
      <c r="C20" s="42" t="n"/>
      <c r="D20" s="42" t="n"/>
      <c r="E20" s="42" t="n"/>
      <c r="F20" s="42" t="n"/>
      <c r="G20" s="42" t="n"/>
      <c r="H20" s="43" t="n"/>
    </row>
  </sheetData>
  <mergeCells count="10">
    <mergeCell ref="A18:I18"/>
    <mergeCell ref="A4:I4"/>
    <mergeCell ref="A1:I1"/>
    <mergeCell ref="A3:I3"/>
    <mergeCell ref="A20:I20"/>
    <mergeCell ref="A2:I2"/>
    <mergeCell ref="A16:I16"/>
    <mergeCell ref="A5:I5"/>
    <mergeCell ref="A8:I8"/>
    <mergeCell ref="A6:I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9"/>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M2B5</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«C1076-Q9584»</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342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(30.918 ha) coincide con la de catálogo (30.91 ha) dentro del ±2 % (+0.03 %)</t>
        </is>
      </c>
      <c r="D12" s="35" t="inlineStr">
        <is>
          <t>CONFORME</t>
        </is>
      </c>
      <c r="E12" s="34" t="inlineStr">
        <is>
          <t>Sin acción: la segmentación valida la geometría del bloque.</t>
        </is>
      </c>
    </row>
    <row r="13" ht="48" customHeight="1">
      <c r="A13" s="36" t="inlineStr">
        <is>
          <t>D-04</t>
        </is>
      </c>
      <c r="B13" s="36" t="inlineStr">
        <is>
          <t>Cobertura vegetal total</t>
        </is>
      </c>
      <c r="C13" s="36" t="inlineStr">
        <is>
          <t>La ficha DT estima 45 % de cobertura vegetal en campo; el NDVI mediana 2025 clasifica 99.47 % del polígono en clases de vegetación</t>
        </is>
      </c>
      <c r="D13" s="15" t="inlineStr">
        <is>
          <t>NO SUSTANTIVA</t>
        </is>
      </c>
      <c r="E13" s="36" t="inlineStr">
        <is>
          <t>Se declaran ambos valores. La observación de campo corresponde a una parcela o recorrido puntual y no es representativa de la totalidad del bloque; el índice espectral no discrimina composición ni integridad ecosistémica.</t>
        </is>
      </c>
    </row>
    <row r="14" ht="48" customHeight="1">
      <c r="A14" s="34" t="inlineStr">
        <is>
          <t>D-05</t>
        </is>
      </c>
      <c r="B14" s="34" t="inlineStr">
        <is>
          <t>Elenco florístico</t>
        </is>
      </c>
      <c r="C14" s="34" t="inlineStr">
        <is>
          <t>La ficha registra 13 taxones, por debajo del mínimo de 15 que exige el formato V5</t>
        </is>
      </c>
      <c r="D14" s="37" t="inlineStr">
        <is>
          <t>SUSTANTIVA</t>
        </is>
      </c>
      <c r="E14" s="34" t="inlineStr">
        <is>
          <t>Registro florístico preliminar, sin colecta ni determinación botánica formal. Debe cerrarse con colecta botánica en la siguiente campaña.</t>
        </is>
      </c>
    </row>
    <row r="15" ht="48" customHeight="1">
      <c r="A15" s="36" t="inlineStr">
        <is>
          <t>D-06</t>
        </is>
      </c>
      <c r="B15" s="36" t="inlineStr">
        <is>
          <t>Representatividad del levantamiento</t>
        </is>
      </c>
      <c r="C15" s="36" t="inlineStr">
        <is>
          <t>Ninguna de las estaciones fotográficas georreferenciadas se localiza dentro del polígono del bloque</t>
        </is>
      </c>
      <c r="D15" s="37" t="inlineStr">
        <is>
          <t>SUSTANTIVA</t>
        </is>
      </c>
      <c r="E15" s="36" t="inlineStr">
        <is>
          <t>La verificación documenta el perímetro y la vista panorámica del bloque, no su interior. Los parámetros que exigen recorrido interno se consignan «Por determinar».</t>
        </is>
      </c>
    </row>
    <row r="16" ht="48" customHeight="1">
      <c r="A16" s="34" t="inlineStr">
        <is>
          <t>D-07</t>
        </is>
      </c>
      <c r="B16" s="34" t="inlineStr">
        <is>
          <t>Centro poblado asociado</t>
        </is>
      </c>
      <c r="C16" s="34" t="inlineStr">
        <is>
          <t>La ficha DT declara «Villa Hornopampa de los Andes»; el cruce INEI-Bloques V5 identifica 1 centro(s) poblado(s) en el bloque: HORNOPAMPA</t>
        </is>
      </c>
      <c r="D16" s="35" t="inlineStr">
        <is>
          <t>CONFORME</t>
        </is>
      </c>
      <c r="E16" s="34" t="inlineStr">
        <is>
          <t>Se conserva el registro de campo como referencia y se adopta el listado INEI para el diagnóstico social y el cálculo de población beneficiaria.</t>
        </is>
      </c>
    </row>
    <row r="17" ht="48" customHeight="1">
      <c r="A17" s="36" t="inlineStr">
        <is>
          <t>D-08</t>
        </is>
      </c>
      <c r="B17" s="36" t="inlineStr">
        <is>
          <t>Peligro integrado (MCA-AHP)</t>
        </is>
      </c>
      <c r="C17" s="36" t="inlineStr">
        <is>
          <t>El nivel de peligro integrado no está disponible en los insumos de este entregable</t>
        </is>
      </c>
      <c r="D17" s="37" t="inlineStr">
        <is>
          <t>SUSTANTIVA</t>
        </is>
      </c>
      <c r="E17" s="36" t="inlineStr">
        <is>
          <t>Debe tomarse del modelamiento de mesolocalización (PMM + EPH + PGI ponderados por AHP) antes de fijar la prioridad definitiva de intervención del bloque.</t>
        </is>
      </c>
    </row>
    <row r="18" ht="48" customHeight="1">
      <c r="A18" s="34" t="inlineStr">
        <is>
          <t>D-09</t>
        </is>
      </c>
      <c r="B18" s="34" t="inlineStr">
        <is>
          <t>Plan de Ingreso</t>
        </is>
      </c>
      <c r="C18" s="34" t="inlineStr">
        <is>
          <t>Altitud = 0 msnm (captura por defecto del aplicativo)</t>
        </is>
      </c>
      <c r="D18" s="38" t="inlineStr">
        <is>
          <t>CORREGIDO</t>
        </is>
      </c>
      <c r="E18" s="34" t="inlineStr">
        <is>
          <t>Se reemplaza por la altitud GPS de campo (320 msnm)</t>
        </is>
      </c>
    </row>
    <row r="19" ht="48" customHeight="1">
      <c r="A19" s="36" t="inlineStr">
        <is>
          <t>D-10</t>
        </is>
      </c>
      <c r="B19" s="36" t="inlineStr">
        <is>
          <t>F-DT-02</t>
        </is>
      </c>
      <c r="C19" s="36" t="inlineStr">
        <is>
          <t>El campo «% bloque con cárcavas» contiene un texto descriptivo (25-35%) en lugar de un valor numérico</t>
        </is>
      </c>
      <c r="D19" s="15" t="inlineStr">
        <is>
          <t>NO SUSTANTIVA</t>
        </is>
      </c>
      <c r="E19" s="36" t="inlineStr">
        <is>
          <t>Normalizar el registro</t>
        </is>
      </c>
    </row>
    <row r="20" ht="48" customHeight="1">
      <c r="A20" s="34" t="inlineStr">
        <is>
          <t>D-11</t>
        </is>
      </c>
      <c r="B20" s="34" t="inlineStr">
        <is>
          <t>F-DT-03</t>
        </is>
      </c>
      <c r="C20" s="34" t="inlineStr">
        <is>
          <t>La tabla de composición florística invierte las columnas de nombre común y nombre científico</t>
        </is>
      </c>
      <c r="D20" s="15" t="inlineStr">
        <is>
          <t>NO SUSTANTIVA</t>
        </is>
      </c>
      <c r="E20" s="34" t="inlineStr">
        <is>
          <t>Error de formato de la ficha</t>
        </is>
      </c>
    </row>
    <row r="21" ht="48" customHeight="1">
      <c r="A21" s="36" t="inlineStr">
        <is>
          <t>D-12</t>
        </is>
      </c>
      <c r="B21" s="36" t="inlineStr">
        <is>
          <t>F-DT-04</t>
        </is>
      </c>
      <c r="C21" s="36" t="inlineStr">
        <is>
          <t>El indicador de especies invasoras consigna 0% y la matriz marca «No», pese a que F-DT-03 declara Ipomoea carnea ABUNDANTE y dominante del estrato arbustivo</t>
        </is>
      </c>
      <c r="D21" s="37" t="inlineStr">
        <is>
          <t>SUSTANTIVA</t>
        </is>
      </c>
      <c r="E21" s="36" t="inlineStr">
        <is>
          <t>Inconsistencia interna: Ipomoea carnea es especie nativa pero indicadora de perturbación; precisar el criterio del indicador</t>
        </is>
      </c>
    </row>
    <row r="22" ht="48" customHeight="1">
      <c r="A22" s="34" t="inlineStr">
        <is>
          <t>D-13</t>
        </is>
      </c>
      <c r="B22" s="34" t="inlineStr">
        <is>
          <t>F-DT-01 / F-DT-03</t>
        </is>
      </c>
      <c r="C22" s="34" t="inlineStr">
        <is>
          <t>Colindancia con el ACR Bosque Seco Salitral (D.S. N.° 019-2011-MINAM)</t>
        </is>
      </c>
      <c r="D22" s="37" t="inlineStr">
        <is>
          <t>SUSTANTIVA</t>
        </is>
      </c>
      <c r="E22" s="34" t="inlineStr">
        <is>
          <t>Coordinación obligatoria con SERFOR-ARFFS Piura y GORE Piura; verificar filtro de exclusión por ANP/ACR</t>
        </is>
      </c>
    </row>
    <row r="23" ht="48" customHeight="1">
      <c r="A23" s="34" t="inlineStr">
        <is>
          <t>D-14</t>
        </is>
      </c>
      <c r="B23" s="34" t="inlineStr">
        <is>
          <t>Distribución areal MSAVI 2024</t>
        </is>
      </c>
      <c r="C23" s="34" t="inlineStr">
        <is>
          <t>La distribución por clase de MSAVI no figuraba en los insumos del entregable y se consignaba «Por determinar»; se incorpora la estadística zonal del ráster MSAVI clasificado (165 polígonos, 30.909 ha)</t>
        </is>
      </c>
      <c r="D23" s="37" t="inlineStr">
        <is>
          <t>CORREGIDO</t>
        </is>
      </c>
      <c r="E23" s="34"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4" ht="48" customHeight="1">
      <c r="A24" s="34" t="inlineStr">
        <is>
          <t>D-15</t>
        </is>
      </c>
      <c r="B24" s="34" t="inlineStr">
        <is>
          <t>Superficie MSAVI vs. catálogo</t>
        </is>
      </c>
      <c r="C24" s="34" t="inlineStr">
        <is>
          <t>La superficie total clasificada por el MSAVI 2024 (30.909 ha) frente a la de catálogo V5/V6 (30.910 ha): desviación de +0.00 %</t>
        </is>
      </c>
      <c r="D24" s="37" t="inlineStr">
        <is>
          <t>CONFORME</t>
        </is>
      </c>
      <c r="E24" s="34" t="inlineStr">
        <is>
          <t>Sin acción: la segmentación del ráster valida la geometría del bloque dentro del ±2 %.</t>
        </is>
      </c>
    </row>
    <row r="25" ht="48" customHeight="1">
      <c r="A25" s="34" t="inlineStr">
        <is>
          <t>D-16</t>
        </is>
      </c>
      <c r="B25" s="34" t="inlineStr">
        <is>
          <t>Media MSAVI vs. clase DN dominante</t>
        </is>
      </c>
      <c r="C25" s="34" t="inlineStr">
        <is>
          <t>La media del bloque (0.3047) cae en la clase «DN 2 · 0.2650 - 0.3813 (Vigor muy bajo)»; la clase de mayor superficie es «DN 2 · 0.2650 - 0.3813 (Vigor muy bajo)», con 59.25 % del bloque. Superficie bajo el umbral 0.4976: 30.610 ha (99.03 %)</t>
        </is>
      </c>
      <c r="D25" s="37" t="inlineStr">
        <is>
          <t>CONFORME</t>
        </is>
      </c>
      <c r="E25" s="34" t="inlineStr">
        <is>
          <t>Sin acción: la media del bloque y la clase de mayor superficie coinciden.</t>
        </is>
      </c>
    </row>
    <row r="26"/>
    <row r="27">
      <c r="A27" s="16" t="inlineStr">
        <is>
          <t>RESUMEN</t>
        </is>
      </c>
      <c r="B27" s="17" t="inlineStr">
        <is>
          <t>16 verificaciones</t>
        </is>
      </c>
      <c r="C27" s="17" t="inlineStr">
        <is>
          <t>CONFORME: 6 · CORREGIDO: 2 · NO SUSTANTIVA: 3 · SUSTANTIVA: 5</t>
        </is>
      </c>
      <c r="D27" s="17" t="inlineStr"/>
      <c r="E27" s="17" t="inlineStr"/>
    </row>
    <row r="28"/>
    <row r="29" ht="60" customHeight="1">
      <c r="A29"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9" s="42" t="n"/>
      <c r="C29" s="42" t="n"/>
      <c r="D29" s="42" t="n"/>
      <c r="E29" s="43" t="n"/>
    </row>
  </sheetData>
  <mergeCells count="8">
    <mergeCell ref="A29:E29"/>
    <mergeCell ref="A4:E4"/>
    <mergeCell ref="A2:E2"/>
    <mergeCell ref="A5:E5"/>
    <mergeCell ref="A1:E1"/>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M2B5 — IN Piura</dc:title>
  <dc:subject>Diagnóstico Territorial por bloque de intervención</dc:subject>
  <dcterms:created xsi:type="dcterms:W3CDTF">2026-09-08T03:39:58Z</dcterms:created>
  <dcterms:modified xsi:type="dcterms:W3CDTF">2026-09-09T23:30:55Z</dcterms:modified>
</cp:coreProperties>
</file>