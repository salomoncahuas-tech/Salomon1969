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59</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Chalaco</t>
        </is>
      </c>
      <c r="C12" s="6" t="inlineStr">
        <is>
          <t>Capital distrital</t>
        </is>
      </c>
      <c r="D12" s="7" t="inlineStr">
        <is>
          <t>Chalaco</t>
        </is>
      </c>
      <c r="E12" s="8" t="n"/>
      <c r="F12" s="8" t="n"/>
    </row>
    <row r="13">
      <c r="A13" s="6" t="inlineStr">
        <is>
          <t>Centro poblado asociado</t>
        </is>
      </c>
      <c r="B13" s="7" t="inlineStr">
        <is>
          <t>Guabo (630 830 E · 9 441 637 N; 6 hab., INEI)</t>
        </is>
      </c>
      <c r="C13" s="6" t="inlineStr">
        <is>
          <t>Comunidad campesina</t>
        </is>
      </c>
      <c r="D13" s="7" t="inlineStr">
        <is>
          <t>Comunidad Campesina de Chalaco - Trigopampa (según F-DS-03)</t>
        </is>
      </c>
      <c r="E13" s="8" t="n"/>
      <c r="F13" s="8" t="n"/>
    </row>
    <row r="14">
      <c r="A14" s="6" t="inlineStr">
        <is>
          <t>Superficie de catálogo (V5/V6), ha</t>
        </is>
      </c>
      <c r="B14" s="7" t="n">
        <v>13.55</v>
      </c>
      <c r="C14" s="6" t="inlineStr">
        <is>
          <t>Fuente de superficie</t>
        </is>
      </c>
      <c r="D14" s="7" t="inlineStr">
        <is>
          <t>Catálogo maestro Bloques V5/V6</t>
        </is>
      </c>
      <c r="E14" s="8" t="n"/>
      <c r="F14" s="8" t="n"/>
    </row>
    <row r="15">
      <c r="A15" s="6" t="inlineStr">
        <is>
          <t>Centroide UTM ESTE (m)</t>
        </is>
      </c>
      <c r="B15" s="7" t="n">
        <v>631195</v>
      </c>
      <c r="C15" s="6" t="inlineStr">
        <is>
          <t>Centroide UTM NORTE (m)</t>
        </is>
      </c>
      <c r="D15" s="7" t="n">
        <v>9441777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2045</v>
      </c>
      <c r="C19" s="6" t="inlineStr">
        <is>
          <t>Altitud máxima (msnm)</t>
        </is>
      </c>
      <c r="D19" s="7" t="n">
        <v>2218</v>
      </c>
      <c r="E19" s="8" t="n"/>
      <c r="F19" s="8" t="n"/>
    </row>
    <row r="20">
      <c r="A20" s="6" t="inlineStr">
        <is>
          <t>Amplitud altitudinal (m)</t>
        </is>
      </c>
      <c r="B20" s="7" t="n">
        <v>173</v>
      </c>
      <c r="C20" s="6" t="inlineStr">
        <is>
          <t>Piso altitudinal dominante</t>
        </is>
      </c>
      <c r="D20" s="7" t="inlineStr">
        <is>
          <t>2000-2500 m (Quechua alta)</t>
        </is>
      </c>
      <c r="E20" s="8" t="n"/>
      <c r="F20" s="8" t="n"/>
    </row>
    <row r="21">
      <c r="A21" s="6" t="inlineStr">
        <is>
          <t>Pendiente promedio (%)</t>
        </is>
      </c>
      <c r="B21" s="7" t="n">
        <v>29.85</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0.6147</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(86.57 %)</t>
        </is>
      </c>
      <c r="E29" s="8" t="n"/>
      <c r="F29" s="8" t="n"/>
    </row>
    <row r="30">
      <c r="A30" s="6" t="inlineStr">
        <is>
          <t>Superficie clasificada NDVI 2025 (ha)</t>
        </is>
      </c>
      <c r="B30" s="7" t="n">
        <v>13.559</v>
      </c>
      <c r="C30" s="6" t="inlineStr">
        <is>
          <t>Desviación frente al catálogo (%)</t>
        </is>
      </c>
      <c r="D30" s="7" t="n">
        <v>0.07000000000000001</v>
      </c>
      <c r="E30" s="8" t="n"/>
      <c r="F30" s="8" t="n"/>
    </row>
    <row r="31">
      <c r="A31" s="6" t="inlineStr">
        <is>
          <t>Superficie clasificada MSAVI 2024 (ha)</t>
        </is>
      </c>
      <c r="B31" s="38" t="n">
        <v>13.554</v>
      </c>
      <c r="C31" s="6" t="inlineStr">
        <is>
          <t>Desviación MSAVI frente al catálogo (%)</t>
        </is>
      </c>
      <c r="D31" s="39" t="n">
        <v>0.03</v>
      </c>
      <c r="E31" s="8" t="n"/>
      <c r="F31" s="8" t="n"/>
    </row>
    <row r="32">
      <c r="A32" s="6" t="inlineStr">
        <is>
          <t>Superficie bajo umbral MSAVI 0.4976 (ha)</t>
        </is>
      </c>
      <c r="B32" s="38" t="n">
        <v>1.86</v>
      </c>
      <c r="C32" s="6" t="inlineStr">
        <is>
          <t>% del bloque bajo umbral (brecha espectral)</t>
        </is>
      </c>
      <c r="D32" s="39" t="n">
        <v>13.72</v>
      </c>
      <c r="E32" s="8" t="n"/>
      <c r="F32" s="8" t="n"/>
    </row>
    <row r="33">
      <c r="A33" s="6" t="inlineStr">
        <is>
          <t>Clase DN dominante (MSAVI 2024)</t>
        </is>
      </c>
      <c r="B33" s="7" t="inlineStr">
        <is>
          <t>DN 5 · &gt; 0.6139 (Vigor alto)</t>
        </is>
      </c>
      <c r="C33" s="6" t="inlineStr">
        <is>
          <t>N.° de polígonos MSAVI del bloque</t>
        </is>
      </c>
      <c r="D33" s="40" t="n">
        <v>108</v>
      </c>
      <c r="E33" s="8" t="n"/>
      <c r="F33" s="8" t="n"/>
    </row>
    <row r="34"/>
    <row r="35" ht="18" customHeight="1">
      <c r="A35" s="5" t="inlineStr">
        <is>
          <t>4. ECOSISTEMA Y ESTADO DE CONSERVACIÓN</t>
        </is>
      </c>
    </row>
    <row r="36">
      <c r="A36" s="6" t="inlineStr">
        <is>
          <t>Tipo de ecosistema (UP)</t>
        </is>
      </c>
      <c r="B36" s="7" t="inlineStr">
        <is>
          <t>Bosque Relicto Montano de Vertiente Occidental (BMVO)</t>
        </is>
      </c>
      <c r="C36" s="6" t="inlineStr">
        <is>
          <t>Superficie de ecosistema (ha)</t>
        </is>
      </c>
      <c r="D36" s="7" t="inlineStr">
        <is>
          <t>13.554 ha totales — Br-mvoc 8.127 ha (60.0%); Zona agrícola 5.427 ha (40.0%)</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65</v>
      </c>
      <c r="E38" s="8" t="n"/>
      <c r="F38" s="8" t="n"/>
    </row>
    <row r="39">
      <c r="A39" s="6" t="inlineStr">
        <is>
          <t>Suelo desnudo — campo (%)</t>
        </is>
      </c>
      <c r="B39" s="7" t="n">
        <v>20</v>
      </c>
      <c r="C39" s="6" t="inlineStr">
        <is>
          <t>Regeneración natural</t>
        </is>
      </c>
      <c r="D39" s="7" t="inlineStr">
        <is>
          <t>Por determinar</t>
        </is>
      </c>
      <c r="E39" s="8" t="n"/>
      <c r="F39" s="8" t="n"/>
    </row>
    <row r="40">
      <c r="A40" s="6" t="inlineStr">
        <is>
          <t>Nivel general de erosión</t>
        </is>
      </c>
      <c r="B40" s="7" t="inlineStr">
        <is>
          <t>Severa (cárcavas activas)</t>
        </is>
      </c>
      <c r="C40" s="6" t="inlineStr">
        <is>
          <t>N.° de cárcavas registradas</t>
        </is>
      </c>
      <c r="D40" s="7" t="n">
        <v>5</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ANIN/DIME-SESDI</t>
        </is>
      </c>
      <c r="C44" s="6" t="inlineStr">
        <is>
          <t>Fecha de evaluación</t>
        </is>
      </c>
      <c r="D44" s="7" t="inlineStr">
        <is>
          <t>2026-07-01</t>
        </is>
      </c>
      <c r="E44" s="8" t="n"/>
      <c r="F44" s="8" t="n"/>
    </row>
    <row r="45">
      <c r="A45" s="6" t="inlineStr">
        <is>
          <t>Hora de registro</t>
        </is>
      </c>
      <c r="B45" s="7" t="inlineStr">
        <is>
          <t>12:27 - 12:42 h</t>
        </is>
      </c>
      <c r="C45" s="6" t="inlineStr">
        <is>
          <t>Correlativo de ficha</t>
        </is>
      </c>
      <c r="D45" s="7" t="inlineStr">
        <is>
          <t>F-DT-01 / B59</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infraestructura vial y extracción de material de préstamo sobre litología friable, sin obras de estabilización</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7.7038</v>
      </c>
      <c r="C10" s="31">
        <f>ROUND(B10/$B$15*100,2)</f>
        <v/>
      </c>
      <c r="D10" s="12" t="inlineStr">
        <is>
          <t>Vigor alto</t>
        </is>
      </c>
      <c r="E10" s="12" t="inlineStr">
        <is>
          <t>Sobre umbral</t>
        </is>
      </c>
    </row>
    <row r="11">
      <c r="A11" s="13" t="inlineStr">
        <is>
          <t>0.4976 - 0.6139 · DN 4</t>
        </is>
      </c>
      <c r="B11" s="20" t="n">
        <v>3.9905</v>
      </c>
      <c r="C11" s="21">
        <f>ROUND(B11/$B$15*100,2)</f>
        <v/>
      </c>
      <c r="D11" s="14" t="inlineStr">
        <is>
          <t>Vigor moderado</t>
        </is>
      </c>
      <c r="E11" s="14" t="inlineStr">
        <is>
          <t>Sobre umbral</t>
        </is>
      </c>
    </row>
    <row r="12">
      <c r="A12" s="7" t="inlineStr">
        <is>
          <t>0.3813 - 0.4976 · DN 3</t>
        </is>
      </c>
      <c r="B12" s="18" t="n">
        <v>1.1273</v>
      </c>
      <c r="C12" s="19">
        <f>ROUND(B12/$B$15*100,2)</f>
        <v/>
      </c>
      <c r="D12" s="15" t="inlineStr">
        <is>
          <t>Vigor bajo</t>
        </is>
      </c>
      <c r="E12" s="15" t="inlineStr">
        <is>
          <t>BAJO umbral 0.4976</t>
        </is>
      </c>
    </row>
    <row r="13">
      <c r="A13" s="13" t="inlineStr">
        <is>
          <t>0.2650 - 0.3813 · DN 2</t>
        </is>
      </c>
      <c r="B13" s="20" t="n">
        <v>0.485</v>
      </c>
      <c r="C13" s="21">
        <f>ROUND(B13/$B$15*100,2)</f>
        <v/>
      </c>
      <c r="D13" s="14" t="inlineStr">
        <is>
          <t>Vigor muy bajo</t>
        </is>
      </c>
      <c r="E13" s="14" t="inlineStr">
        <is>
          <t>BAJO umbral 0.4976</t>
        </is>
      </c>
    </row>
    <row r="14">
      <c r="A14" s="7" t="inlineStr">
        <is>
          <t>&lt;= 0.2650 · DN 1</t>
        </is>
      </c>
      <c r="B14" s="18" t="n">
        <v>0.2474</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108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13.55</v>
      </c>
      <c r="C18" s="49" t="inlineStr">
        <is>
          <t>—</t>
        </is>
      </c>
      <c r="D18" s="46" t="inlineStr">
        <is>
          <t>Desviación planimétrica frente al catálogo</t>
        </is>
      </c>
      <c r="E18" s="46" t="inlineStr">
        <is>
          <t>+0.03 %</t>
        </is>
      </c>
    </row>
    <row r="19">
      <c r="A19" s="16" t="inlineStr">
        <is>
          <t>MSAVI 2024 — MEDIA DEL BLOQUE</t>
        </is>
      </c>
      <c r="B19" s="17" t="n">
        <v>0.614739</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(0.6147)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11.7374</v>
      </c>
      <c r="C25" s="19" t="n">
        <v>86.56999999999999</v>
      </c>
      <c r="D25" s="15" t="inlineStr">
        <is>
          <t>Dosel continuo, matorral denso o mosaico agroforestal</t>
        </is>
      </c>
      <c r="E25" s="15" t="inlineStr"/>
    </row>
    <row r="26">
      <c r="A26" s="13" t="inlineStr">
        <is>
          <t>Vegetación mediana</t>
        </is>
      </c>
      <c r="B26" s="20" t="n">
        <v>1.0689</v>
      </c>
      <c r="C26" s="21" t="n">
        <v>7.88</v>
      </c>
      <c r="D26" s="14" t="inlineStr">
        <is>
          <t>Pastizal cultivado, matorral ralo, parcelas agrícolas</t>
        </is>
      </c>
      <c r="E26" s="14" t="inlineStr"/>
    </row>
    <row r="27">
      <c r="A27" s="7" t="inlineStr">
        <is>
          <t>Vegetación ligera</t>
        </is>
      </c>
      <c r="B27" s="18" t="n">
        <v>0.5152</v>
      </c>
      <c r="C27" s="19" t="n">
        <v>3.8</v>
      </c>
      <c r="D27" s="15" t="inlineStr">
        <is>
          <t>Cobertura discontinua, suelo parcialmente expuesto</t>
        </is>
      </c>
      <c r="E27" s="15" t="inlineStr"/>
    </row>
    <row r="28">
      <c r="A28" s="13" t="inlineStr">
        <is>
          <t>Tierra desnuda</t>
        </is>
      </c>
      <c r="B28" s="20" t="n">
        <v>0.2375</v>
      </c>
      <c r="C28" s="21" t="n">
        <v>1.75</v>
      </c>
      <c r="D28" s="14" t="inlineStr">
        <is>
          <t>Suelo desnudo, afloramientos, plataformas y taludes</t>
        </is>
      </c>
      <c r="E28" s="14" t="inlineStr"/>
    </row>
    <row r="29">
      <c r="A29" s="16" t="inlineStr">
        <is>
          <t>TOTAL CLASIFICADO</t>
        </is>
      </c>
      <c r="B29" s="22">
        <f>SUM(B25:B28)</f>
        <v/>
      </c>
      <c r="C29" s="23">
        <f>SUM(C25:C28)</f>
        <v/>
      </c>
      <c r="D29" s="17" t="inlineStr"/>
      <c r="E29" s="17" t="inlineStr"/>
    </row>
    <row r="30">
      <c r="A30" s="24" t="inlineStr">
        <is>
          <t>Superficie de catálogo (V5/V6)</t>
        </is>
      </c>
      <c r="B30" s="25" t="n">
        <v>13.55</v>
      </c>
      <c r="C30" s="25" t="inlineStr">
        <is>
          <t>—</t>
        </is>
      </c>
      <c r="D30" s="25" t="inlineStr">
        <is>
          <t>Desviación planimétrica frente al catálogo</t>
        </is>
      </c>
      <c r="E30" s="25" t="inlineStr">
        <is>
          <t>+0.07 %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86.57 % del polígono clasificado como «Vegetación alta» por el NDVI 2025; la observación de campo corresponde a una parcela o recorrido puntual y no es estadísticamente representativa de las 13.550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59</t>
        </is>
      </c>
    </row>
    <row r="6" ht="24" customHeight="1">
      <c r="A6" s="4" t="inlineStr">
        <is>
          <t>Levantamiento del 2026-07-01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631232</v>
      </c>
      <c r="D10" s="26" t="n">
        <v>9441709</v>
      </c>
      <c r="E10" s="15" t="n">
        <v>77.40000000000001</v>
      </c>
      <c r="F10" s="15" t="inlineStr"/>
      <c r="G10" s="15" t="inlineStr">
        <is>
          <t>Coordenada consignada en F-DT-01</t>
        </is>
      </c>
    </row>
    <row r="11">
      <c r="A11" s="13" t="inlineStr">
        <is>
          <t>C-01</t>
        </is>
      </c>
      <c r="B11" s="14" t="inlineStr">
        <is>
          <t>Rasgo erosivo — Cárcava profunda (&gt;2 m)</t>
        </is>
      </c>
      <c r="C11" s="27" t="n">
        <v>631253</v>
      </c>
      <c r="D11" s="27" t="n">
        <v>9441731</v>
      </c>
      <c r="E11" s="14" t="n">
        <v>74</v>
      </c>
      <c r="F11" s="14" t="inlineStr">
        <is>
          <t>Activa</t>
        </is>
      </c>
      <c r="G11" s="14" t="inlineStr">
        <is>
          <t>Concentración natural de escorrentía</t>
        </is>
      </c>
    </row>
    <row r="12">
      <c r="A12" s="7" t="inlineStr">
        <is>
          <t>C-02</t>
        </is>
      </c>
      <c r="B12" s="15" t="inlineStr">
        <is>
          <t>Rasgo erosivo — Surco (&lt;30 cm)</t>
        </is>
      </c>
      <c r="C12" s="26" t="n">
        <v>631235</v>
      </c>
      <c r="D12" s="26" t="n">
        <v>9441625</v>
      </c>
      <c r="E12" s="15" t="n">
        <v>157.2</v>
      </c>
      <c r="F12" s="15" t="inlineStr">
        <is>
          <t>Activa</t>
        </is>
      </c>
      <c r="G12" s="15" t="inlineStr">
        <is>
          <t>Concentración natural de escorrentía</t>
        </is>
      </c>
    </row>
    <row r="13">
      <c r="A13" s="13" t="inlineStr">
        <is>
          <t>C-03</t>
        </is>
      </c>
      <c r="B13" s="14" t="inlineStr">
        <is>
          <t>Rasgo erosivo — Cárcava somera (0.5-2 m)</t>
        </is>
      </c>
      <c r="C13" s="27" t="n">
        <v>631229</v>
      </c>
      <c r="D13" s="27" t="n">
        <v>9441787</v>
      </c>
      <c r="E13" s="14" t="n">
        <v>35.4</v>
      </c>
      <c r="F13" s="14" t="inlineStr">
        <is>
          <t>Activa</t>
        </is>
      </c>
      <c r="G13" s="14" t="inlineStr">
        <is>
          <t>Otro (talud de corte de vía)</t>
        </is>
      </c>
    </row>
    <row r="14">
      <c r="A14" s="7" t="inlineStr">
        <is>
          <t>C-04</t>
        </is>
      </c>
      <c r="B14" s="15" t="inlineStr">
        <is>
          <t>Rasgo erosivo — Cárcava muy profunda</t>
        </is>
      </c>
      <c r="C14" s="26" t="n">
        <v>631272</v>
      </c>
      <c r="D14" s="26" t="n">
        <v>9441758</v>
      </c>
      <c r="E14" s="15" t="n">
        <v>79.3</v>
      </c>
      <c r="F14" s="15" t="inlineStr">
        <is>
          <t>Activa</t>
        </is>
      </c>
      <c r="G14" s="15" t="inlineStr">
        <is>
          <t>Otro (escarpe de deslizamiento)</t>
        </is>
      </c>
    </row>
    <row r="15">
      <c r="A15" s="13" t="inlineStr">
        <is>
          <t>C-05</t>
        </is>
      </c>
      <c r="B15" s="14" t="inlineStr">
        <is>
          <t>Rasgo erosivo — Cárcava incipiente</t>
        </is>
      </c>
      <c r="C15" s="27" t="n">
        <v>631016</v>
      </c>
      <c r="D15" s="27" t="n">
        <v>9441897</v>
      </c>
      <c r="E15" s="14" t="n">
        <v>215.5</v>
      </c>
      <c r="F15" s="14" t="inlineStr">
        <is>
          <t>Activa</t>
        </is>
      </c>
      <c r="G15" s="14" t="inlineStr">
        <is>
          <t>Sobrepastoreo</t>
        </is>
      </c>
    </row>
    <row r="16">
      <c r="A16" s="7" t="inlineStr">
        <is>
          <t>H-01</t>
        </is>
      </c>
      <c r="B16" s="15" t="inlineStr">
        <is>
          <t>Fuente de agua — Quebrada estacional</t>
        </is>
      </c>
      <c r="C16" s="26" t="n">
        <v>631100</v>
      </c>
      <c r="D16" s="26" t="n">
        <v>9441500</v>
      </c>
      <c r="E16" s="15" t="n">
        <v>292.8</v>
      </c>
      <c r="F16" s="15" t="inlineStr">
        <is>
          <t>Estacional</t>
        </is>
      </c>
      <c r="G16" s="15" t="inlineStr">
        <is>
          <t>Quebrada tributaria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631195</v>
      </c>
      <c r="C19" s="6" t="inlineStr">
        <is>
          <t>Centroide del bloque — UTM NORTE (m)</t>
        </is>
      </c>
      <c r="D19" s="7" t="n">
        <v>9441777</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2" ht="144"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Centroide oficial del bloque: 631 195 E · 9 441 777 N (Bloques_V5). Superficie 13.554 ha. Rango altitudinal tomado del perfil de elevación Google Earth (2 045-2 173 msnm; media 2 104); la ALTITUD GPS instrumental NO fue registrada. Pendiente: perfil reporta media 30.6% y máxima 45.4%, consistente con el rango 25-50%. DISCREPANCIA DOCUMENTADA: la herramienta Regla reporta 359.30 m planimétricos mientras el perfil de elevación reporta 418 m (longitud 3D); ambos se conservan sin corregir. Exposición Suroeste: JUICIO EXPERTO derivado del perfil; requiere confirmación con DEM. Afloramientos: sustrato areno-limoso/arenisca poco consolidada expuesta en taludes y cantera. Remociones en masa activas: SÍ, deslizamiento sobre cerco perimétrico y escarpes frescos.</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59</t>
        </is>
      </c>
    </row>
    <row r="6" ht="24" customHeight="1">
      <c r="A6" s="4" t="inlineStr">
        <is>
          <t>Distrito de Chalaco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5" t="inlineStr">
        <is>
          <t>672 – 2244</t>
        </is>
      </c>
      <c r="E10" s="15" t="n">
        <v>1572</v>
      </c>
      <c r="F10" s="15" t="n">
        <v>27.41</v>
      </c>
      <c r="G10" s="18" t="n">
        <v>0.7067</v>
      </c>
      <c r="H10" s="19" t="n">
        <v>99.93000000000001</v>
      </c>
      <c r="I10" s="19" t="n">
        <v>0.07000000000000001</v>
      </c>
    </row>
    <row r="11">
      <c r="A11" s="13" t="inlineStr">
        <is>
          <t>11</t>
        </is>
      </c>
      <c r="B11" s="29" t="n">
        <v>103.95</v>
      </c>
      <c r="C11" s="21" t="n">
        <v>12.17</v>
      </c>
      <c r="D11" s="14" t="inlineStr">
        <is>
          <t>1375 – 1928</t>
        </is>
      </c>
      <c r="E11" s="14" t="n">
        <v>553</v>
      </c>
      <c r="F11" s="14" t="n">
        <v>32.19</v>
      </c>
      <c r="G11" s="20" t="n">
        <v>0.6047</v>
      </c>
      <c r="H11" s="21" t="n">
        <v>75.28</v>
      </c>
      <c r="I11" s="21" t="n">
        <v>11.34</v>
      </c>
    </row>
    <row r="12">
      <c r="A12" s="7" t="inlineStr">
        <is>
          <t>17</t>
        </is>
      </c>
      <c r="B12" s="28" t="n">
        <v>96.08</v>
      </c>
      <c r="C12" s="19" t="n">
        <v>11.25</v>
      </c>
      <c r="D12" s="15" t="inlineStr">
        <is>
          <t>1253 – 1880</t>
        </is>
      </c>
      <c r="E12" s="15" t="n">
        <v>627</v>
      </c>
      <c r="F12" s="15" t="n">
        <v>35.56</v>
      </c>
      <c r="G12" s="18" t="n">
        <v>0.6479</v>
      </c>
      <c r="H12" s="19" t="n">
        <v>88.68000000000001</v>
      </c>
      <c r="I12" s="19" t="n">
        <v>2.09</v>
      </c>
    </row>
    <row r="13">
      <c r="A13" s="13" t="inlineStr">
        <is>
          <t>14</t>
        </is>
      </c>
      <c r="B13" s="29" t="n">
        <v>92.90000000000001</v>
      </c>
      <c r="C13" s="21" t="n">
        <v>10.88</v>
      </c>
      <c r="D13" s="14" t="inlineStr">
        <is>
          <t>87 – 1355</t>
        </is>
      </c>
      <c r="E13" s="14" t="n">
        <v>1268</v>
      </c>
      <c r="F13" s="14" t="n">
        <v>23.75</v>
      </c>
      <c r="G13" s="20" t="n">
        <v>0.5197000000000001</v>
      </c>
      <c r="H13" s="21" t="n">
        <v>58.89</v>
      </c>
      <c r="I13" s="21" t="n">
        <v>39.02</v>
      </c>
    </row>
    <row r="14">
      <c r="A14" s="7" t="inlineStr">
        <is>
          <t>15</t>
        </is>
      </c>
      <c r="B14" s="28" t="n">
        <v>86.15000000000001</v>
      </c>
      <c r="C14" s="19" t="n">
        <v>10.09</v>
      </c>
      <c r="D14" s="15" t="inlineStr">
        <is>
          <t>1199 – 1655</t>
        </is>
      </c>
      <c r="E14" s="15" t="n">
        <v>456</v>
      </c>
      <c r="F14" s="15" t="n">
        <v>26.19</v>
      </c>
      <c r="G14" s="18" t="n">
        <v>0.5605</v>
      </c>
      <c r="H14" s="19" t="n">
        <v>56.47</v>
      </c>
      <c r="I14" s="19" t="n">
        <v>22.48</v>
      </c>
    </row>
    <row r="15">
      <c r="A15" s="13" t="inlineStr">
        <is>
          <t>23</t>
        </is>
      </c>
      <c r="B15" s="29" t="n">
        <v>81.78</v>
      </c>
      <c r="C15" s="21" t="n">
        <v>9.58</v>
      </c>
      <c r="D15" s="14" t="inlineStr">
        <is>
          <t>521 – 973</t>
        </is>
      </c>
      <c r="E15" s="14" t="n">
        <v>452</v>
      </c>
      <c r="F15" s="14" t="n">
        <v>35.28</v>
      </c>
      <c r="G15" s="20" t="n">
        <v>0.5731000000000001</v>
      </c>
      <c r="H15" s="21" t="n">
        <v>47.99</v>
      </c>
      <c r="I15" s="21" t="n">
        <v>18.75</v>
      </c>
    </row>
    <row r="16">
      <c r="A16" s="7" t="inlineStr">
        <is>
          <t>42</t>
        </is>
      </c>
      <c r="B16" s="28" t="n">
        <v>80.62</v>
      </c>
      <c r="C16" s="19" t="n">
        <v>9.44</v>
      </c>
      <c r="D16" s="15" t="inlineStr">
        <is>
          <t>1131 – 1548</t>
        </is>
      </c>
      <c r="E16" s="15" t="n">
        <v>417</v>
      </c>
      <c r="F16" s="15" t="n">
        <v>27.86</v>
      </c>
      <c r="G16" s="18" t="n">
        <v>0.6348</v>
      </c>
      <c r="H16" s="19" t="n">
        <v>88.83</v>
      </c>
      <c r="I16" s="19" t="n">
        <v>5.64</v>
      </c>
    </row>
    <row r="17">
      <c r="A17" s="13" t="inlineStr">
        <is>
          <t>M19B2</t>
        </is>
      </c>
      <c r="B17" s="29" t="n">
        <v>74.37</v>
      </c>
      <c r="C17" s="21" t="n">
        <v>8.710000000000001</v>
      </c>
      <c r="D17" s="14" t="inlineStr">
        <is>
          <t>203 – 523</t>
        </is>
      </c>
      <c r="E17" s="14" t="n">
        <v>320</v>
      </c>
      <c r="F17" s="14" t="n">
        <v>21.71</v>
      </c>
      <c r="G17" s="20" t="n">
        <v>0.4012</v>
      </c>
      <c r="H17" s="21" t="n">
        <v>1.28</v>
      </c>
      <c r="I17" s="21" t="n">
        <v>96.23999999999999</v>
      </c>
    </row>
    <row r="18">
      <c r="A18" s="7" t="inlineStr">
        <is>
          <t>82</t>
        </is>
      </c>
      <c r="B18" s="28" t="n">
        <v>35.66</v>
      </c>
      <c r="C18" s="19" t="n">
        <v>4.18</v>
      </c>
      <c r="D18" s="15" t="inlineStr">
        <is>
          <t>1796 – 2098</t>
        </is>
      </c>
      <c r="E18" s="15" t="n">
        <v>302</v>
      </c>
      <c r="F18" s="15" t="n">
        <v>23.55</v>
      </c>
      <c r="G18" s="18" t="n">
        <v>0.6283</v>
      </c>
      <c r="H18" s="19" t="n">
        <v>90.06999999999999</v>
      </c>
      <c r="I18" s="19" t="n">
        <v>12.67</v>
      </c>
    </row>
    <row r="19">
      <c r="A19" s="13" t="inlineStr">
        <is>
          <t>78</t>
        </is>
      </c>
      <c r="B19" s="29" t="n">
        <v>35.1</v>
      </c>
      <c r="C19" s="21" t="n">
        <v>4.11</v>
      </c>
      <c r="D19" s="14" t="inlineStr">
        <is>
          <t>1908 – 2236</t>
        </is>
      </c>
      <c r="E19" s="14" t="n">
        <v>328</v>
      </c>
      <c r="F19" s="14" t="n">
        <v>30.64</v>
      </c>
      <c r="G19" s="20" t="n">
        <v>0.7074</v>
      </c>
      <c r="H19" s="21" t="n">
        <v>89.33</v>
      </c>
      <c r="I19" s="21" t="n">
        <v>1.77</v>
      </c>
    </row>
    <row r="20">
      <c r="A20" s="7" t="inlineStr">
        <is>
          <t>M19B7</t>
        </is>
      </c>
      <c r="B20" s="28" t="n">
        <v>34.17</v>
      </c>
      <c r="C20" s="19" t="n">
        <v>4</v>
      </c>
      <c r="D20" s="15" t="inlineStr">
        <is>
          <t>1213 – 1578</t>
        </is>
      </c>
      <c r="E20" s="15" t="n">
        <v>365</v>
      </c>
      <c r="F20" s="15" t="n">
        <v>28.15</v>
      </c>
      <c r="G20" s="18" t="n">
        <v>0.5919</v>
      </c>
      <c r="H20" s="19" t="n">
        <v>78.52</v>
      </c>
      <c r="I20" s="19" t="n">
        <v>5.85</v>
      </c>
    </row>
    <row r="21">
      <c r="A21" s="11" t="inlineStr">
        <is>
          <t>► 59</t>
        </is>
      </c>
      <c r="B21" s="30" t="n">
        <v>13.55</v>
      </c>
      <c r="C21" s="31" t="n">
        <v>1.59</v>
      </c>
      <c r="D21" s="12" t="inlineStr">
        <is>
          <t>2045 – 2218</t>
        </is>
      </c>
      <c r="E21" s="12" t="n">
        <v>173</v>
      </c>
      <c r="F21" s="12" t="n">
        <v>29.85</v>
      </c>
      <c r="G21" s="32" t="n">
        <v>0.6147</v>
      </c>
      <c r="H21" s="31" t="n">
        <v>86.56999999999999</v>
      </c>
      <c r="I21" s="3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59 ocupa el puesto 12 de 12 por superficie dentro de la microcuenca C1086-Q9570 (1.59 % de las 853.87 ha preliminares de la microcuenca). Su pendiente promedio (29.85 %, clase «25-50% (Mod. escarpado)») es la 8.ª más baja de 12 y se sitúa por encima del promedio de la microcuenca (28.51 %). Su MSAVI 2024 (0.6147) es el 6.º de 12 y queda por encima del promedio local (0.5993). Amplitud altitudinal del bloque: 173 m (2045–2218 msnm). El cuadro conserva todos los bloques catalogados en la microcuenca, incluidos los descartados en el tamizaje, para referencia del conjunto. Los bloques sin ficha DT figuran con sus parámetros de gabinete. BRECHA ESPECTRAL. El 13.72 % de la superficie del bloque (1.860 ha de 13.554 ha) se sitúa bajo el umbral MSAVI 0.4976, por debajo del promedio local de la microcuenca (19.14 %)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77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(13.559 ha) coincide con la de catálogo (13.55 ha) dentro del ±2 % (+0.07 %)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65 % de cobertura vegetal en campo; el NDVI mediana 2025 clasifica 98.25 % del polígono en clases de vegetación</t>
        </is>
      </c>
      <c r="D13" s="12"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5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«Guabo (630 830 E · 9 441 637 N; 6 hab., INEI)»; el cruce INEI-Bloques V5 identifica 1 centro(s) poblado(s) en el bloque: GUABO</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F-DT-03</t>
        </is>
      </c>
      <c r="C18" s="34" t="inlineStr">
        <is>
          <t>Inventario florístico TRANSFERIDO POR ANALOGÍA del Bloque 57; no es levantamiento propio del bloque 59</t>
        </is>
      </c>
      <c r="D18" s="37" t="inlineStr">
        <is>
          <t>SUSTANTIVA</t>
        </is>
      </c>
      <c r="E18" s="34" t="inlineStr">
        <is>
          <t>Requiere verificación de campo y determinación botánica formal</t>
        </is>
      </c>
    </row>
    <row r="19" ht="48" customHeight="1">
      <c r="A19" s="36" t="inlineStr">
        <is>
          <t>D-10</t>
        </is>
      </c>
      <c r="B19" s="36" t="inlineStr">
        <is>
          <t>F-DT-01</t>
        </is>
      </c>
      <c r="C19" s="36" t="inlineStr">
        <is>
          <t>Regla (Ruta) reporta 359.30 m planimétricos vs. 418 m del perfil de elevación (longitud 3D)</t>
        </is>
      </c>
      <c r="D19" s="12" t="inlineStr">
        <is>
          <t>NO SUSTANTIVA</t>
        </is>
      </c>
      <c r="E19" s="36" t="inlineStr">
        <is>
          <t>Ambos valores se conservan sin corregir</t>
        </is>
      </c>
    </row>
    <row r="20" ht="48" customHeight="1">
      <c r="A20" s="34" t="inlineStr">
        <is>
          <t>D-11</t>
        </is>
      </c>
      <c r="B20" s="34" t="inlineStr">
        <is>
          <t>F-DT-01</t>
        </is>
      </c>
      <c r="C20" s="34" t="inlineStr">
        <is>
          <t>Altitud GPS instrumental NO registrada; rango altitudinal derivado del perfil Google Earth</t>
        </is>
      </c>
      <c r="D20" s="12" t="inlineStr">
        <is>
          <t>NO SUSTANTIVA</t>
        </is>
      </c>
      <c r="E20" s="34" t="inlineStr">
        <is>
          <t>Se complementa con el rango del MDE 2045-2218 msnm</t>
        </is>
      </c>
    </row>
    <row r="21" ht="48" customHeight="1">
      <c r="A21" s="36" t="inlineStr">
        <is>
          <t>D-12</t>
        </is>
      </c>
      <c r="B21" s="36" t="inlineStr">
        <is>
          <t>Plan de Ingreso</t>
        </is>
      </c>
      <c r="C21" s="36" t="inlineStr">
        <is>
          <t>Altitud = 0 msnm (captura por defecto del aplicativo)</t>
        </is>
      </c>
      <c r="D21" s="12" t="inlineStr">
        <is>
          <t>NO SUSTANTIVA</t>
        </is>
      </c>
      <c r="E21" s="36" t="inlineStr">
        <is>
          <t>Se sustituye por el rango del MDE</t>
        </is>
      </c>
    </row>
    <row r="22" ht="48" customHeight="1">
      <c r="A22" s="34" t="inlineStr">
        <is>
          <t>D-13</t>
        </is>
      </c>
      <c r="B22" s="34" t="inlineStr">
        <is>
          <t>F-DT-02</t>
        </is>
      </c>
      <c r="C22" s="34" t="inlineStr">
        <is>
          <t>Cantera de arena activa en 631 205 E · 9 441 786 N no clasificable en el formato de cárcavas</t>
        </is>
      </c>
      <c r="D22" s="37" t="inlineStr">
        <is>
          <t>SUSTANTIVA</t>
        </is>
      </c>
      <c r="E22" s="34" t="inlineStr">
        <is>
          <t>Fuente directa de aporte de sedimentos; incorporar como pasivo ambiental en el diseño de MRR-CCC</t>
        </is>
      </c>
    </row>
    <row r="23" ht="48" customHeight="1">
      <c r="A23" s="36" t="inlineStr">
        <is>
          <t>D-14</t>
        </is>
      </c>
      <c r="B23" s="36" t="inlineStr">
        <is>
          <t>F-DS-03</t>
        </is>
      </c>
      <c r="C23" s="36" t="inlineStr">
        <is>
          <t>La ficha social del C.P. Guabo consigna microcuenca C1076-Q9584 y UTM 631 195 · 9 441 780 (valores heredados de plantilla)</t>
        </is>
      </c>
      <c r="D23" s="12" t="inlineStr">
        <is>
          <t>NO SUSTANTIVA</t>
        </is>
      </c>
      <c r="E23" s="36" t="inlineStr">
        <is>
          <t>Se conserva la microcuenca del catálogo C1086-Q9570</t>
        </is>
      </c>
    </row>
    <row r="24" ht="48" customHeight="1">
      <c r="A24" s="36" t="inlineStr">
        <is>
          <t>D-15</t>
        </is>
      </c>
      <c r="B24" s="36" t="inlineStr">
        <is>
          <t>Distribución areal MSAVI 2024</t>
        </is>
      </c>
      <c r="C24" s="36" t="inlineStr">
        <is>
          <t>La distribución por clase de MSAVI no figuraba en los insumos del entregable y se consignaba «Por determinar»; se incorpora la estadística zonal del ráster MSAVI clasificado (108 polígonos, 13.554 ha)</t>
        </is>
      </c>
      <c r="D24" s="12" t="inlineStr">
        <is>
          <t>CORREGIDO</t>
        </is>
      </c>
      <c r="E24"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6" t="inlineStr">
        <is>
          <t>D-16</t>
        </is>
      </c>
      <c r="B25" s="36" t="inlineStr">
        <is>
          <t>Superficie MSAVI vs. catálogo</t>
        </is>
      </c>
      <c r="C25" s="36" t="inlineStr">
        <is>
          <t>La superficie total clasificada por el MSAVI 2024 (13.554 ha) frente a la de catálogo V5/V6 (13.550 ha): desviación de +0.03 %</t>
        </is>
      </c>
      <c r="D25" s="12" t="inlineStr">
        <is>
          <t>CONFORME</t>
        </is>
      </c>
      <c r="E25" s="36" t="inlineStr">
        <is>
          <t>Sin acción: la segmentación del ráster valida la geometría del bloque dentro del ±2 %.</t>
        </is>
      </c>
    </row>
    <row r="26" ht="48" customHeight="1">
      <c r="A26" s="36" t="inlineStr">
        <is>
          <t>D-17</t>
        </is>
      </c>
      <c r="B26" s="36" t="inlineStr">
        <is>
          <t>Media MSAVI vs. clase DN dominante</t>
        </is>
      </c>
      <c r="C26" s="36" t="inlineStr">
        <is>
          <t>La media del bloque (0.6147) cae en la clase «DN 5 · &gt; 0.6139 (Vigor alto)»; la clase de mayor superficie es «DN 5 · &gt; 0.6139 (Vigor alto)», con 56.84 % del bloque. Superficie bajo el umbral 0.4976: 1.860 ha (13.72 %)</t>
        </is>
      </c>
      <c r="D26" s="12" t="inlineStr">
        <is>
          <t>CONFORME</t>
        </is>
      </c>
      <c r="E26" s="36" t="inlineStr">
        <is>
          <t>Sin acción: la media del bloque y la clase de mayor superficie coinciden.</t>
        </is>
      </c>
    </row>
    <row r="27"/>
    <row r="28">
      <c r="A28" s="16" t="inlineStr">
        <is>
          <t>RESUMEN</t>
        </is>
      </c>
      <c r="B28" s="17" t="inlineStr">
        <is>
          <t>17 verificaciones</t>
        </is>
      </c>
      <c r="C28" s="17" t="inlineStr">
        <is>
          <t>CONFORME: 6 · CORREGIDO: 1 · NO SUSTANTIVA: 6 · SUSTANTIVA: 4</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1" t="n"/>
      <c r="C30" s="41" t="n"/>
      <c r="D30" s="41" t="n"/>
      <c r="E30" s="42"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59 — IN Piura</dc:title>
  <dc:subject>Diagnóstico Territorial por bloque de intervención</dc:subject>
  <dcterms:created xsi:type="dcterms:W3CDTF">2026-09-08T03:39:56Z</dcterms:created>
  <dcterms:modified xsi:type="dcterms:W3CDTF">2026-09-09T23:30:52Z</dcterms:modified>
</cp:coreProperties>
</file>