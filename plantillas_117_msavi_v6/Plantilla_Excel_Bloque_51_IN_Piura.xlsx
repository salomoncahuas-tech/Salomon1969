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51</t>
        </is>
      </c>
      <c r="C9" s="6" t="inlineStr">
        <is>
          <t>Microcuenca (catálogo)</t>
        </is>
      </c>
      <c r="D9" s="7" t="inlineStr">
        <is>
          <t>C1076-Q9593</t>
        </is>
      </c>
      <c r="E9" s="8" t="n"/>
      <c r="F9" s="8" t="n"/>
    </row>
    <row r="10">
      <c r="A10" s="6" t="inlineStr">
        <is>
          <t>Zona de planificación</t>
        </is>
      </c>
      <c r="B10" s="7" t="inlineStr">
        <is>
          <t>Z14</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Talla / Shain (colindantes); Huarmaca (capital distrital)</t>
        </is>
      </c>
      <c r="C13" s="6" t="inlineStr">
        <is>
          <t>Comunidad campesina</t>
        </is>
      </c>
      <c r="D13" s="7" t="inlineStr">
        <is>
          <t>Por verificar</t>
        </is>
      </c>
      <c r="E13" s="8" t="n"/>
      <c r="F13" s="8" t="n"/>
    </row>
    <row r="14">
      <c r="A14" s="6" t="inlineStr">
        <is>
          <t>Superficie de catálogo (V5/V6), ha</t>
        </is>
      </c>
      <c r="B14" s="7" t="n">
        <v>22.93</v>
      </c>
      <c r="C14" s="6" t="inlineStr">
        <is>
          <t>Fuente de superficie</t>
        </is>
      </c>
      <c r="D14" s="7" t="inlineStr">
        <is>
          <t>Catálogo maestro Bloques V5/V6</t>
        </is>
      </c>
      <c r="E14" s="8" t="n"/>
      <c r="F14" s="8" t="n"/>
    </row>
    <row r="15">
      <c r="A15" s="6" t="inlineStr">
        <is>
          <t>Centroide UTM ESTE (m)</t>
        </is>
      </c>
      <c r="B15" s="7" t="n">
        <v>656291</v>
      </c>
      <c r="C15" s="6" t="inlineStr">
        <is>
          <t>Centroide UTM NORTE (m)</t>
        </is>
      </c>
      <c r="D15" s="7" t="n">
        <v>9379096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1734</v>
      </c>
      <c r="C19" s="6" t="inlineStr">
        <is>
          <t>Altitud máxima (msnm)</t>
        </is>
      </c>
      <c r="D19" s="7" t="n">
        <v>2018</v>
      </c>
      <c r="E19" s="8" t="n"/>
      <c r="F19" s="8" t="n"/>
    </row>
    <row r="20">
      <c r="A20" s="6" t="inlineStr">
        <is>
          <t>Amplitud altitudinal (m)</t>
        </is>
      </c>
      <c r="B20" s="7" t="n">
        <v>284</v>
      </c>
      <c r="C20" s="6" t="inlineStr">
        <is>
          <t>Piso altitudinal dominante</t>
        </is>
      </c>
      <c r="D20" s="7" t="inlineStr">
        <is>
          <t>1500-2000 m (Quechua media)</t>
        </is>
      </c>
      <c r="E20" s="8" t="n"/>
      <c r="F20" s="8" t="n"/>
    </row>
    <row r="21">
      <c r="A21" s="6" t="inlineStr">
        <is>
          <t>Pendiente promedio (%)</t>
        </is>
      </c>
      <c r="B21" s="7" t="n">
        <v>31.74</v>
      </c>
      <c r="C21" s="6" t="inlineStr">
        <is>
          <t>Pendiente promedio (grados)</t>
        </is>
      </c>
      <c r="D21" s="7" t="n">
        <v>17.6</v>
      </c>
      <c r="E21" s="8" t="n"/>
      <c r="F21" s="8" t="n"/>
    </row>
    <row r="22">
      <c r="A22" s="6" t="inlineStr">
        <is>
          <t>Clase de pendiente equivalente</t>
        </is>
      </c>
      <c r="B22" s="7" t="inlineStr">
        <is>
          <t>25-50% (Mod. escarpado)</t>
        </is>
      </c>
      <c r="C22" s="6" t="inlineStr">
        <is>
          <t>Rango de pendiente declarado en campo</t>
        </is>
      </c>
      <c r="D22" s="7" t="inlineStr">
        <is>
          <t>50-75% (Escarpado)</t>
        </is>
      </c>
      <c r="E22" s="8" t="n"/>
      <c r="F22" s="8" t="n"/>
    </row>
    <row r="23">
      <c r="A23" s="6" t="inlineStr">
        <is>
          <t>Forma predominante del terreno</t>
        </is>
      </c>
      <c r="B23" s="7" t="inlineStr">
        <is>
          <t>Montañoso</t>
        </is>
      </c>
      <c r="C23" s="6" t="inlineStr">
        <is>
          <t>Posición fisiográfica</t>
        </is>
      </c>
      <c r="D23" s="7" t="inlineStr">
        <is>
          <t>Ladera alta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0.5238</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(69.46 %)</t>
        </is>
      </c>
      <c r="E29" s="8" t="n"/>
      <c r="F29" s="8" t="n"/>
    </row>
    <row r="30">
      <c r="A30" s="6" t="inlineStr">
        <is>
          <t>Superficie clasificada NDVI 2025 (ha)</t>
        </is>
      </c>
      <c r="B30" s="7" t="n">
        <v>22.931</v>
      </c>
      <c r="C30" s="6" t="inlineStr">
        <is>
          <t>Desviación frente al catálogo (%)</t>
        </is>
      </c>
      <c r="D30" s="7" t="n">
        <v>0.01</v>
      </c>
      <c r="E30" s="8" t="n"/>
      <c r="F30" s="8" t="n"/>
    </row>
    <row r="31">
      <c r="A31" s="6" t="inlineStr">
        <is>
          <t>Superficie clasificada MSAVI 2024 (ha)</t>
        </is>
      </c>
      <c r="B31" s="37" t="n">
        <v>22.927</v>
      </c>
      <c r="C31" s="6" t="inlineStr">
        <is>
          <t>Desviación MSAVI frente al catálogo (%)</t>
        </is>
      </c>
      <c r="D31" s="38" t="n">
        <v>-0.01</v>
      </c>
      <c r="E31" s="8" t="n"/>
      <c r="F31" s="8" t="n"/>
    </row>
    <row r="32">
      <c r="A32" s="6" t="inlineStr">
        <is>
          <t>Superficie bajo umbral MSAVI 0.4976 (ha)</t>
        </is>
      </c>
      <c r="B32" s="37" t="n">
        <v>7.94</v>
      </c>
      <c r="C32" s="6" t="inlineStr">
        <is>
          <t>% del bloque bajo umbral (brecha espectral)</t>
        </is>
      </c>
      <c r="D32" s="38" t="n">
        <v>34.63</v>
      </c>
      <c r="E32" s="8" t="n"/>
      <c r="F32" s="8" t="n"/>
    </row>
    <row r="33">
      <c r="A33" s="6" t="inlineStr">
        <is>
          <t>Clase DN dominante (MSAVI 2024)</t>
        </is>
      </c>
      <c r="B33" s="7" t="inlineStr">
        <is>
          <t>DN 4 · 0.4976 - 0.6139 (Vigor moderado)</t>
        </is>
      </c>
      <c r="C33" s="6" t="inlineStr">
        <is>
          <t>N.° de polígonos MSAVI del bloque</t>
        </is>
      </c>
      <c r="D33" s="39" t="n">
        <v>169</v>
      </c>
      <c r="E33" s="8" t="n"/>
      <c r="F33" s="8" t="n"/>
    </row>
    <row r="34"/>
    <row r="35" ht="18" customHeight="1">
      <c r="A35" s="5" t="inlineStr">
        <is>
          <t>4. ECOSISTEMA Y ESTADO DE CONSERVACIÓN</t>
        </is>
      </c>
    </row>
    <row r="36">
      <c r="A36" s="6" t="inlineStr">
        <is>
          <t>Tipo de ecosistema (UP)</t>
        </is>
      </c>
      <c r="B36" s="7" t="inlineStr">
        <is>
          <t>Bosque Estacionalmente Seco Colina/Montaña (Bes-cm)</t>
        </is>
      </c>
      <c r="C36" s="6" t="inlineStr">
        <is>
          <t>Superficie de ecosistema (ha)</t>
        </is>
      </c>
      <c r="D36" s="7" t="inlineStr">
        <is>
          <t>22.927 ha</t>
        </is>
      </c>
      <c r="E36" s="8" t="n"/>
      <c r="F36" s="8" t="n"/>
    </row>
    <row r="37">
      <c r="A37" s="6" t="inlineStr">
        <is>
          <t>Estado de conservación</t>
        </is>
      </c>
      <c r="B37" s="7" t="inlineStr">
        <is>
          <t>Medianamente alterado</t>
        </is>
      </c>
      <c r="C37" s="6" t="inlineStr">
        <is>
          <t>Uso actual dominante del suelo</t>
        </is>
      </c>
      <c r="D37" s="7" t="inlineStr">
        <is>
          <t>Agricultura secano</t>
        </is>
      </c>
      <c r="E37" s="8" t="n"/>
      <c r="F37" s="8" t="n"/>
    </row>
    <row r="38">
      <c r="A38" s="6" t="inlineStr">
        <is>
          <t>Tipo de cobertura dominante</t>
        </is>
      </c>
      <c r="B38" s="7" t="inlineStr">
        <is>
          <t>Mixto / Mosaico</t>
        </is>
      </c>
      <c r="C38" s="6" t="inlineStr">
        <is>
          <t>Cobertura vegetal total — campo (%)</t>
        </is>
      </c>
      <c r="D38" s="7" t="n">
        <v>65</v>
      </c>
      <c r="E38" s="8" t="n"/>
      <c r="F38" s="8" t="n"/>
    </row>
    <row r="39">
      <c r="A39" s="6" t="inlineStr">
        <is>
          <t>Suelo desnudo — campo (%)</t>
        </is>
      </c>
      <c r="B39" s="7" t="n">
        <v>20</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11</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Pedro Talledo Hernández</t>
        </is>
      </c>
      <c r="C44" s="6" t="inlineStr">
        <is>
          <t>Fecha de evaluación</t>
        </is>
      </c>
      <c r="D44" s="7" t="inlineStr">
        <is>
          <t>2026-08-11</t>
        </is>
      </c>
      <c r="E44" s="8" t="n"/>
      <c r="F44" s="8" t="n"/>
    </row>
    <row r="45">
      <c r="A45" s="6" t="inlineStr">
        <is>
          <t>Hora de registro</t>
        </is>
      </c>
      <c r="B45" s="7" t="inlineStr">
        <is>
          <t>Por registrar</t>
        </is>
      </c>
      <c r="C45" s="6" t="inlineStr">
        <is>
          <t>Correlativo de ficha</t>
        </is>
      </c>
      <c r="D45" s="7" t="inlineStr">
        <is>
          <t>Por registrar</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P-51-A (20x20 m)</t>
        </is>
      </c>
      <c r="E47" s="8" t="n"/>
      <c r="F47" s="8" t="n"/>
    </row>
    <row r="48">
      <c r="A48" s="6" t="inlineStr">
        <is>
          <t>Estaciones fotográficas georreferenciadas</t>
        </is>
      </c>
      <c r="B48" s="7" t="inlineStr">
        <is>
          <t>Sin registro en la ficha DT</t>
        </is>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Falta de alternativas económicas y tenencia de tierra minifundista</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3.5142</v>
      </c>
      <c r="C10" s="19">
        <f>ROUND(B10/$B$15*100,2)</f>
        <v/>
      </c>
      <c r="D10" s="11" t="inlineStr">
        <is>
          <t>Vigor alto</t>
        </is>
      </c>
      <c r="E10" s="11" t="inlineStr">
        <is>
          <t>Sobre umbral</t>
        </is>
      </c>
    </row>
    <row r="11">
      <c r="A11" s="12" t="inlineStr">
        <is>
          <t>0.4976 - 0.6139 · DN 4</t>
        </is>
      </c>
      <c r="B11" s="30" t="n">
        <v>11.4729</v>
      </c>
      <c r="C11" s="29">
        <f>ROUND(B11/$B$15*100,2)</f>
        <v/>
      </c>
      <c r="D11" s="13" t="inlineStr">
        <is>
          <t>Vigor moderado</t>
        </is>
      </c>
      <c r="E11" s="13" t="inlineStr">
        <is>
          <t>Sobre umbral</t>
        </is>
      </c>
    </row>
    <row r="12">
      <c r="A12" s="7" t="inlineStr">
        <is>
          <t>0.3813 - 0.4976 · DN 3</t>
        </is>
      </c>
      <c r="B12" s="18" t="n">
        <v>6.3738</v>
      </c>
      <c r="C12" s="19">
        <f>ROUND(B12/$B$15*100,2)</f>
        <v/>
      </c>
      <c r="D12" s="11" t="inlineStr">
        <is>
          <t>Vigor bajo</t>
        </is>
      </c>
      <c r="E12" s="11" t="inlineStr">
        <is>
          <t>BAJO umbral 0.4976</t>
        </is>
      </c>
    </row>
    <row r="13">
      <c r="A13" s="14" t="inlineStr">
        <is>
          <t>0.2650 - 0.3813 · DN 2</t>
        </is>
      </c>
      <c r="B13" s="20" t="n">
        <v>1.5661</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2" t="inlineStr">
        <is>
          <t>TOTAL CLASIFICADO MSAVI 2024</t>
        </is>
      </c>
      <c r="B15" s="43">
        <f>SUM(B10:B14)</f>
        <v/>
      </c>
      <c r="C15" s="44">
        <f>SUM(C10:C14)</f>
        <v/>
      </c>
      <c r="D15" s="42" t="inlineStr">
        <is>
          <t>Suma de la distribución areal · 169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22.93</v>
      </c>
      <c r="C18" s="48" t="inlineStr">
        <is>
          <t>—</t>
        </is>
      </c>
      <c r="D18" s="45" t="inlineStr">
        <is>
          <t>Desviación planimétrica frente al catálogo</t>
        </is>
      </c>
      <c r="E18" s="45" t="inlineStr">
        <is>
          <t>-0.01 %</t>
        </is>
      </c>
    </row>
    <row r="19">
      <c r="A19" s="16" t="inlineStr">
        <is>
          <t>MSAVI 2024 — MEDIA DEL BLOQUE</t>
        </is>
      </c>
      <c r="B19" s="17" t="n">
        <v>0.523788</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169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(0.5238) se conserva del catálogo maestro y es dato oficial; la fila resaltada indica la clase en la que cae dicha media. Los totales y porcentajes se calculan con fórmulas sobre las filas del cuadro.</t>
        </is>
      </c>
      <c r="B21" s="40" t="n"/>
      <c r="C21" s="40" t="n"/>
      <c r="D21" s="40" t="n"/>
      <c r="E21" s="41"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15.9281</v>
      </c>
      <c r="C25" s="19" t="n">
        <v>69.45999999999999</v>
      </c>
      <c r="D25" s="11" t="inlineStr">
        <is>
          <t>Dosel continuo, matorral denso o mosaico agroforestal</t>
        </is>
      </c>
      <c r="E25" s="11" t="inlineStr"/>
    </row>
    <row r="26">
      <c r="A26" s="14" t="inlineStr">
        <is>
          <t>Vegetación mediana</t>
        </is>
      </c>
      <c r="B26" s="20" t="n">
        <v>6.5477</v>
      </c>
      <c r="C26" s="21" t="n">
        <v>28.55</v>
      </c>
      <c r="D26" s="15" t="inlineStr">
        <is>
          <t>Pastizal cultivado, matorral ralo, parcelas agrícolas</t>
        </is>
      </c>
      <c r="E26" s="15" t="inlineStr"/>
    </row>
    <row r="27">
      <c r="A27" s="7" t="inlineStr">
        <is>
          <t>Vegetación ligera</t>
        </is>
      </c>
      <c r="B27" s="18" t="n">
        <v>0.4557</v>
      </c>
      <c r="C27" s="19" t="n">
        <v>1.99</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22.93</v>
      </c>
      <c r="C29" s="25" t="inlineStr">
        <is>
          <t>—</t>
        </is>
      </c>
      <c r="D29" s="25" t="inlineStr">
        <is>
          <t>Desviación planimétrica frente al catálogo</t>
        </is>
      </c>
      <c r="E29" s="25" t="inlineStr">
        <is>
          <t>+0.01 %</t>
        </is>
      </c>
    </row>
    <row r="30"/>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65 % frente a un 69.46 % del polígono clasificado como «Vegetación alta» por el NDVI 2025; la observación de campo corresponde a una parcela o recorrido puntual y no es estadísticamente representativa de las 22.930 ha del bloque.</t>
        </is>
      </c>
      <c r="B31" s="40" t="n"/>
      <c r="C31" s="40" t="n"/>
      <c r="D31" s="40" t="n"/>
      <c r="E31" s="41"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51</t>
        </is>
      </c>
    </row>
    <row r="6" ht="24" customHeight="1">
      <c r="A6" s="4" t="inlineStr">
        <is>
          <t>Levantamiento del 2026-08-11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t>
        </is>
      </c>
      <c r="B10" s="11" t="inlineStr">
        <is>
          <t>Sin puntos georreferenciados en la ficha DT</t>
        </is>
      </c>
      <c r="C10" s="11" t="inlineStr"/>
      <c r="D10" s="11" t="inlineStr"/>
      <c r="E10" s="11" t="inlineStr"/>
      <c r="F10" s="11" t="inlineStr"/>
      <c r="G10" s="11" t="inlineStr">
        <is>
          <t>No corresponde para este bloque</t>
        </is>
      </c>
    </row>
    <row r="12">
      <c r="A12" s="6" t="inlineStr">
        <is>
          <t>Centroide del bloque — UTM ESTE (m)</t>
        </is>
      </c>
      <c r="B12" s="7" t="n">
        <v>656291</v>
      </c>
      <c r="C12" s="6" t="inlineStr">
        <is>
          <t>Centroide del bloque — UTM NORTE (m)</t>
        </is>
      </c>
      <c r="D12" s="7" t="n">
        <v>9379096</v>
      </c>
      <c r="E12" s="8" t="n"/>
      <c r="F12" s="8" t="n"/>
      <c r="G12" s="8" t="n"/>
      <c r="H12" s="8" t="n"/>
    </row>
    <row r="13">
      <c r="A13" s="6" t="inlineStr">
        <is>
          <t>N.° de estaciones fotográficas declaradas</t>
        </is>
      </c>
      <c r="B13" s="7" t="inlineStr">
        <is>
          <t>Sin registro en la ficha DT</t>
        </is>
      </c>
      <c r="C13" s="6" t="inlineStr">
        <is>
          <t>Estaciones dentro del polígono</t>
        </is>
      </c>
      <c r="D13" s="7" t="inlineStr">
        <is>
          <t>Por determinar</t>
        </is>
      </c>
      <c r="E13" s="8" t="n"/>
      <c r="F13" s="8" t="n"/>
      <c r="G13" s="8" t="n"/>
      <c r="H13" s="8" t="n"/>
    </row>
    <row r="15" ht="84" customHeight="1">
      <c r="A15"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Pendiente fuerte limita la mecanización agrícola, predominio de agricultura de subsistencia y matorral.</t>
        </is>
      </c>
      <c r="B15" s="40" t="n"/>
      <c r="C15" s="40" t="n"/>
      <c r="D15" s="40" t="n"/>
      <c r="E15" s="40" t="n"/>
      <c r="F15" s="40" t="n"/>
      <c r="G15" s="41" t="n"/>
    </row>
  </sheetData>
  <mergeCells count="8">
    <mergeCell ref="A1:G1"/>
    <mergeCell ref="A8:G8"/>
    <mergeCell ref="A3:G3"/>
    <mergeCell ref="A6:G6"/>
    <mergeCell ref="A4:G4"/>
    <mergeCell ref="A2:G2"/>
    <mergeCell ref="A15:G15"/>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C1076-Q9593 — BLOQUE 51</t>
        </is>
      </c>
    </row>
    <row r="6" ht="24" customHeight="1">
      <c r="A6" s="4" t="inlineStr">
        <is>
          <t>Distrito de Huarmaca · Provincia de Huancabamba · Comparación de los bloques preliminares de intervención de la misma microcuenca</t>
        </is>
      </c>
    </row>
    <row r="7"/>
    <row r="8" ht="18" customHeight="1">
      <c r="A8" s="5" t="inlineStr">
        <is>
          <t>BLOQUES DE LA MICROCUENCA C1076-Q9593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10</t>
        </is>
      </c>
      <c r="B10" s="26" t="n">
        <v>150.21</v>
      </c>
      <c r="C10" s="19" t="n">
        <v>28.67</v>
      </c>
      <c r="D10" s="11" t="inlineStr">
        <is>
          <t>912 – 1510</t>
        </is>
      </c>
      <c r="E10" s="11" t="n">
        <v>598</v>
      </c>
      <c r="F10" s="11" t="n">
        <v>27.39</v>
      </c>
      <c r="G10" s="18" t="n">
        <v>0.5465</v>
      </c>
      <c r="H10" s="19" t="n">
        <v>85.18000000000001</v>
      </c>
      <c r="I10" s="19" t="n">
        <v>28.51</v>
      </c>
    </row>
    <row r="11">
      <c r="A11" s="14" t="inlineStr">
        <is>
          <t>8</t>
        </is>
      </c>
      <c r="B11" s="27" t="n">
        <v>126.95</v>
      </c>
      <c r="C11" s="21" t="n">
        <v>24.23</v>
      </c>
      <c r="D11" s="15" t="inlineStr">
        <is>
          <t>1504 – 1970</t>
        </is>
      </c>
      <c r="E11" s="15" t="n">
        <v>466</v>
      </c>
      <c r="F11" s="15" t="n">
        <v>29.85</v>
      </c>
      <c r="G11" s="20" t="n">
        <v>0.5548</v>
      </c>
      <c r="H11" s="21" t="n">
        <v>72.25</v>
      </c>
      <c r="I11" s="21" t="n">
        <v>28.4</v>
      </c>
    </row>
    <row r="12">
      <c r="A12" s="7" t="inlineStr">
        <is>
          <t>16</t>
        </is>
      </c>
      <c r="B12" s="26" t="n">
        <v>83.33</v>
      </c>
      <c r="C12" s="19" t="n">
        <v>15.91</v>
      </c>
      <c r="D12" s="11" t="inlineStr">
        <is>
          <t>1349 – 1746</t>
        </is>
      </c>
      <c r="E12" s="11" t="n">
        <v>397</v>
      </c>
      <c r="F12" s="11" t="n">
        <v>22.34</v>
      </c>
      <c r="G12" s="18" t="n">
        <v>0.6284</v>
      </c>
      <c r="H12" s="19" t="n">
        <v>94.13</v>
      </c>
      <c r="I12" s="19" t="n">
        <v>7.3</v>
      </c>
    </row>
    <row r="13">
      <c r="A13" s="14" t="inlineStr">
        <is>
          <t>20</t>
        </is>
      </c>
      <c r="B13" s="27" t="n">
        <v>81.33</v>
      </c>
      <c r="C13" s="21" t="n">
        <v>15.52</v>
      </c>
      <c r="D13" s="15" t="inlineStr">
        <is>
          <t>1217 – 1607</t>
        </is>
      </c>
      <c r="E13" s="15" t="n">
        <v>390</v>
      </c>
      <c r="F13" s="15" t="n">
        <v>24.54</v>
      </c>
      <c r="G13" s="20" t="n">
        <v>0.4851</v>
      </c>
      <c r="H13" s="21" t="n">
        <v>52.44</v>
      </c>
      <c r="I13" s="21" t="n">
        <v>59.23</v>
      </c>
    </row>
    <row r="14">
      <c r="A14" s="7" t="inlineStr">
        <is>
          <t>80</t>
        </is>
      </c>
      <c r="B14" s="26" t="n">
        <v>28.83</v>
      </c>
      <c r="C14" s="19" t="n">
        <v>5.5</v>
      </c>
      <c r="D14" s="11" t="inlineStr">
        <is>
          <t>2180 – 2491</t>
        </is>
      </c>
      <c r="E14" s="11" t="n">
        <v>311</v>
      </c>
      <c r="F14" s="11" t="n">
        <v>32.9</v>
      </c>
      <c r="G14" s="18" t="n">
        <v>0.5931</v>
      </c>
      <c r="H14" s="19" t="n">
        <v>78.73</v>
      </c>
      <c r="I14" s="19" t="n">
        <v>16.88</v>
      </c>
    </row>
    <row r="15">
      <c r="A15" s="12" t="inlineStr">
        <is>
          <t>► 51</t>
        </is>
      </c>
      <c r="B15" s="28" t="n">
        <v>22.93</v>
      </c>
      <c r="C15" s="29" t="n">
        <v>4.38</v>
      </c>
      <c r="D15" s="13" t="inlineStr">
        <is>
          <t>1734 – 2018</t>
        </is>
      </c>
      <c r="E15" s="13" t="n">
        <v>284</v>
      </c>
      <c r="F15" s="13" t="n">
        <v>31.74</v>
      </c>
      <c r="G15" s="30" t="n">
        <v>0.5238</v>
      </c>
      <c r="H15" s="29" t="n">
        <v>69.45999999999999</v>
      </c>
      <c r="I15" s="29" t="n">
        <v>34.63</v>
      </c>
    </row>
    <row r="16">
      <c r="A16" s="7" t="inlineStr">
        <is>
          <t>76</t>
        </is>
      </c>
      <c r="B16" s="26" t="n">
        <v>19.62</v>
      </c>
      <c r="C16" s="19" t="n">
        <v>3.75</v>
      </c>
      <c r="D16" s="11" t="inlineStr">
        <is>
          <t>1647 – 1838</t>
        </is>
      </c>
      <c r="E16" s="11" t="n">
        <v>191</v>
      </c>
      <c r="F16" s="11" t="n">
        <v>26.25</v>
      </c>
      <c r="G16" s="18" t="n">
        <v>0.4925</v>
      </c>
      <c r="H16" s="19" t="n">
        <v>46.27</v>
      </c>
      <c r="I16" s="19" t="n">
        <v>54.14</v>
      </c>
    </row>
    <row r="17">
      <c r="A17" s="14" t="inlineStr">
        <is>
          <t>71</t>
        </is>
      </c>
      <c r="B17" s="27" t="n">
        <v>10.67</v>
      </c>
      <c r="C17" s="21" t="n">
        <v>2.04</v>
      </c>
      <c r="D17" s="15" t="inlineStr">
        <is>
          <t>1478 – 1609</t>
        </is>
      </c>
      <c r="E17" s="15" t="n">
        <v>131</v>
      </c>
      <c r="F17" s="15" t="n">
        <v>29.45</v>
      </c>
      <c r="G17" s="20" t="n">
        <v>0.5571</v>
      </c>
      <c r="H17" s="21" t="n">
        <v>81.37</v>
      </c>
      <c r="I17" s="21" t="n">
        <v>25.94</v>
      </c>
    </row>
    <row r="18">
      <c r="A18" s="16" t="inlineStr">
        <is>
          <t>TOTAL / PROMEDIO</t>
        </is>
      </c>
      <c r="B18" s="31">
        <f>SUM(B10:B17)</f>
        <v/>
      </c>
      <c r="C18" s="23">
        <f>SUM(C10:C17)</f>
        <v/>
      </c>
      <c r="D18" s="17" t="inlineStr">
        <is>
          <t>912 – 2491</t>
        </is>
      </c>
      <c r="E18" s="17" t="inlineStr"/>
      <c r="F18" s="17">
        <f>ROUND(AVERAGE(F10:F17),2)</f>
        <v/>
      </c>
      <c r="G18" s="22">
        <f>ROUND(AVERAGE(G10:G17),4)</f>
        <v/>
      </c>
      <c r="H18" s="23">
        <f>ROUND(AVERAGE(H10:H17),2)</f>
        <v/>
      </c>
      <c r="I18" s="23">
        <f>ROUND(AVERAGE(I10:I17),2)</f>
        <v/>
      </c>
    </row>
    <row r="19"/>
    <row r="20" ht="84" customHeight="1">
      <c r="A20" s="9" t="inlineStr">
        <is>
          <t>LECTURA INTRAMICROCUENCA. El bloque 51 ocupa el puesto 6 de 8 por superficie dentro de la microcuenca C1076-Q9593 (4.38 % de las 523.87 ha preliminares de la microcuenca). Su pendiente promedio (31.74 %, clase «25-50% (Mod. escarpado)») es la 7.ª más baja de 8 y se sitúa por encima del promedio de la microcuenca (28.06 %). Su MSAVI 2024 (0.5238) es el 6.º de 8 y queda por debajo del promedio local (0.5477). Amplitud altitudinal del bloque: 284 m (1734–2018 msnm). El cuadro conserva todos los bloques catalogados en la microcuenca, incluidos los descartados en el tamizaje, para referencia del conjunto. Los bloques sin ficha DT figuran con sus parámetros de gabinete. BRECHA ESPECTRAL. El 34.63 % de la superficie del bloque (7.940 ha de 22.927 ha) se sitúa bajo el umbral MSAVI 0.4976, por encima del promedio local de la microcuenca (31.88 %) calculado sobre los bloques con dato MSAVI disponible.</t>
        </is>
      </c>
      <c r="B20" s="40" t="n"/>
      <c r="C20" s="40" t="n"/>
      <c r="D20" s="40" t="n"/>
      <c r="E20" s="40" t="n"/>
      <c r="F20" s="40" t="n"/>
      <c r="G20" s="40" t="n"/>
      <c r="H20" s="41" t="n"/>
    </row>
    <row r="21"/>
    <row r="22" ht="60" customHeight="1">
      <c r="A22"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2" s="40" t="n"/>
      <c r="C22" s="40" t="n"/>
      <c r="D22" s="40" t="n"/>
      <c r="E22" s="40" t="n"/>
      <c r="F22" s="40" t="n"/>
      <c r="G22" s="40" t="n"/>
      <c r="H22" s="41" t="n"/>
    </row>
  </sheetData>
  <mergeCells count="9">
    <mergeCell ref="A1:I1"/>
    <mergeCell ref="A4:I4"/>
    <mergeCell ref="A3:I3"/>
    <mergeCell ref="A20:I20"/>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51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2" t="inlineStr">
        <is>
          <t>D-01</t>
        </is>
      </c>
      <c r="B10" s="32" t="inlineStr">
        <is>
          <t>Código de microcuenca</t>
        </is>
      </c>
      <c r="C10" s="32" t="inlineStr">
        <is>
          <t>La ficha DT declara «C1076-Q9584»; el catálogo maestro V5/V6 asigna el bloque a «C1076-Q9593»</t>
        </is>
      </c>
      <c r="D10" s="33" t="inlineStr">
        <is>
          <t>SUSTANTIVA</t>
        </is>
      </c>
      <c r="E10" s="32" t="inlineStr">
        <is>
          <t>Se conserva el código del catálogo maestro para todo cálculo intramicrocuenca. La declaración de la ficha debe corregirse en la siguiente versión del formato V5.</t>
        </is>
      </c>
    </row>
    <row r="11" ht="48" customHeight="1">
      <c r="A11" s="34" t="inlineStr">
        <is>
          <t>D-02</t>
        </is>
      </c>
      <c r="B11" s="34" t="inlineStr">
        <is>
          <t>UTM del punto de muestreo</t>
        </is>
      </c>
      <c r="C11" s="34" t="inlineStr">
        <is>
          <t>Las celdas de UTM ESTE / NORTE del punto de muestreo están vacías o incompletas en la ficha DT</t>
        </is>
      </c>
      <c r="D11" s="33" t="inlineStr">
        <is>
          <t>SUSTANTIVA</t>
        </is>
      </c>
      <c r="E11" s="34" t="inlineStr">
        <is>
          <t>No se sustituye por el centroide del catálogo. Se consigna «Por registrar en campo».</t>
        </is>
      </c>
    </row>
    <row r="12" ht="48" customHeight="1">
      <c r="A12" s="32" t="inlineStr">
        <is>
          <t>D-03</t>
        </is>
      </c>
      <c r="B12" s="32" t="inlineStr">
        <is>
          <t>Superficie del polígono</t>
        </is>
      </c>
      <c r="C12" s="32" t="inlineStr">
        <is>
          <t>La superficie clasificada por el NDVI 2025 (22.931 ha) coincide con la de catálogo (22.93 ha) dentro del ±2 % (+0.01 %)</t>
        </is>
      </c>
      <c r="D12" s="35" t="inlineStr">
        <is>
          <t>CONFORME</t>
        </is>
      </c>
      <c r="E12" s="32" t="inlineStr">
        <is>
          <t>Sin acción: la segmentación valida la geometría del bloque.</t>
        </is>
      </c>
    </row>
    <row r="13" ht="48" customHeight="1">
      <c r="A13" s="34" t="inlineStr">
        <is>
          <t>D-04</t>
        </is>
      </c>
      <c r="B13" s="34" t="inlineStr">
        <is>
          <t>Rango de pendiente dominante</t>
        </is>
      </c>
      <c r="C13" s="34" t="inlineStr">
        <is>
          <t>La ficha DT declara «50-75% (Escarpado)»; la estadística zonal sobre el MDE arroja una pendiente promedio de 31.74 %, que corresponde a la clase «25-50% (Mod. escarpado)»</t>
        </is>
      </c>
      <c r="D13" s="13" t="inlineStr">
        <is>
          <t>NO SUSTANTIVA</t>
        </is>
      </c>
      <c r="E13" s="34"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2" t="inlineStr">
        <is>
          <t>D-05</t>
        </is>
      </c>
      <c r="B14" s="32" t="inlineStr">
        <is>
          <t>Cobertura vegetal total</t>
        </is>
      </c>
      <c r="C14" s="32" t="inlineStr">
        <is>
          <t>La ficha DT estima 65 % de cobertura vegetal en campo; el NDVI mediana 2025 clasifica 100.00 % del polígono en clases de vegetación</t>
        </is>
      </c>
      <c r="D14" s="13" t="inlineStr">
        <is>
          <t>NO SUSTANTIVA</t>
        </is>
      </c>
      <c r="E14" s="32"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4" t="inlineStr">
        <is>
          <t>D-06</t>
        </is>
      </c>
      <c r="B15" s="34" t="inlineStr">
        <is>
          <t>Elenco florístico</t>
        </is>
      </c>
      <c r="C15" s="34" t="inlineStr">
        <is>
          <t>La ficha registra 11 taxones, por debajo del mínimo de 15 que exige el formato V5</t>
        </is>
      </c>
      <c r="D15" s="33" t="inlineStr">
        <is>
          <t>SUSTANTIVA</t>
        </is>
      </c>
      <c r="E15" s="34" t="inlineStr">
        <is>
          <t>Registro florístico preliminar, sin colecta ni determinación botánica formal. Debe cerrarse con colecta botánica en la siguiente campaña.</t>
        </is>
      </c>
    </row>
    <row r="16" ht="48" customHeight="1">
      <c r="A16" s="32" t="inlineStr">
        <is>
          <t>D-07</t>
        </is>
      </c>
      <c r="B16" s="32" t="inlineStr">
        <is>
          <t>Centro poblado asociado</t>
        </is>
      </c>
      <c r="C16" s="32" t="inlineStr">
        <is>
          <t>La ficha DT declara «Talla / Shain (colindantes); Huarmaca (capital distrital)»; el cruce INEI-Bloques V5 identifica 2 centro(s) poblado(s) en el bloque: SHAIN, TALLA</t>
        </is>
      </c>
      <c r="D16" s="35" t="inlineStr">
        <is>
          <t>CONFORME</t>
        </is>
      </c>
      <c r="E16" s="32" t="inlineStr">
        <is>
          <t>Se conserva el registro de campo como referencia y se adopta el listado INEI para el diagnóstico social y el cálculo de población beneficiaria.</t>
        </is>
      </c>
    </row>
    <row r="17" ht="48" customHeight="1">
      <c r="A17" s="34" t="inlineStr">
        <is>
          <t>D-08</t>
        </is>
      </c>
      <c r="B17" s="34" t="inlineStr">
        <is>
          <t>Peligro integrado (MCA-AHP)</t>
        </is>
      </c>
      <c r="C17" s="34" t="inlineStr">
        <is>
          <t>El nivel de peligro integrado no está disponible en los insumos de este entregable</t>
        </is>
      </c>
      <c r="D17" s="33" t="inlineStr">
        <is>
          <t>SUSTANTIVA</t>
        </is>
      </c>
      <c r="E17" s="34" t="inlineStr">
        <is>
          <t>Debe tomarse del modelamiento de mesolocalización (PMM + EPH + PGI ponderados por AHP) antes de fijar la prioridad definitiva de intervención del bloque.</t>
        </is>
      </c>
    </row>
    <row r="18" ht="48" customHeight="1">
      <c r="A18" s="32" t="inlineStr">
        <is>
          <t>C-01</t>
        </is>
      </c>
      <c r="B18" s="32" t="inlineStr">
        <is>
          <t>Tipo de ecosistema y elenco florístico</t>
        </is>
      </c>
      <c r="C18" s="32" t="inlineStr">
        <is>
          <t>El levantamiento asignó «Agroecosistema / Mosaico» y 5 especies; la UF determinó que ambos elementos son erróneos</t>
        </is>
      </c>
      <c r="D18" s="36" t="inlineStr">
        <is>
          <t>CORREGIDO</t>
        </is>
      </c>
      <c r="E18" s="32" t="inlineStr">
        <is>
          <t>Se adopta Bes-cm en mosaico agro-forestal y el elenco de 11 taxones del Bloque 76 (misma microcuenca C1076-Q9593, ~2.3 km, 1647-1838 msnm) por analogía</t>
        </is>
      </c>
    </row>
    <row r="19" ht="48" customHeight="1">
      <c r="A19" s="34" t="inlineStr">
        <is>
          <t>C-02</t>
        </is>
      </c>
      <c r="B19" s="34" t="inlineStr">
        <is>
          <t>Registros retirados del elenco</t>
        </is>
      </c>
      <c r="C19" s="34" t="inlineStr">
        <is>
          <t>Se retiran Algarrobo-Prosopis pallida, Palo santo-Cordia lutea e Ichu-Calamagrostis vicunarum por incompatibilidad altitudinal o nomenclatural</t>
        </is>
      </c>
      <c r="D19" s="36" t="inlineStr">
        <is>
          <t>CORREGIDO</t>
        </is>
      </c>
      <c r="E19" s="34" t="inlineStr">
        <is>
          <t>Retiro documentado; el elenco debe validarse con colecta botánica</t>
        </is>
      </c>
    </row>
    <row r="20" ht="48" customHeight="1">
      <c r="A20" s="32" t="inlineStr">
        <is>
          <t>D-09</t>
        </is>
      </c>
      <c r="B20" s="32" t="inlineStr">
        <is>
          <t>UTM del punto de muestreo</t>
        </is>
      </c>
      <c r="C20" s="32" t="inlineStr">
        <is>
          <t>Celdas UTM ESTE/NORTE vacías en F-DT-01, 02 y 03</t>
        </is>
      </c>
      <c r="D20" s="33" t="inlineStr">
        <is>
          <t>SUSTANTIVA</t>
        </is>
      </c>
      <c r="E20" s="32" t="inlineStr">
        <is>
          <t>No se sustituye por el centroide de catálogo; se consigna «Por registrar en campo»</t>
        </is>
      </c>
    </row>
    <row r="21" ht="48" customHeight="1">
      <c r="A21" s="34" t="inlineStr">
        <is>
          <t>D-10</t>
        </is>
      </c>
      <c r="B21" s="34" t="inlineStr">
        <is>
          <t>Centro poblado más cercano</t>
        </is>
      </c>
      <c r="C21" s="34" t="inlineStr">
        <is>
          <t>F-DT-01 declara Huarmaca (capital distrital); la vista satelital muestra Talla y Shain contiguos</t>
        </is>
      </c>
      <c r="D21" s="33" t="inlineStr">
        <is>
          <t>SUSTANTIVA</t>
        </is>
      </c>
      <c r="E21" s="34" t="inlineStr">
        <is>
          <t>Se adopta Talla / Shain; Huarmaca queda como referencia distrital</t>
        </is>
      </c>
    </row>
    <row r="22" ht="48" customHeight="1">
      <c r="A22" s="32" t="inlineStr">
        <is>
          <t>D-11</t>
        </is>
      </c>
      <c r="B22" s="32" t="inlineStr">
        <is>
          <t>Distancia a vía vecinal</t>
        </is>
      </c>
      <c r="C22" s="32" t="inlineStr">
        <is>
          <t>F-DT-04 asigna 1200 m nivel Medio; el plano NDVI muestra la red vial tangente al límite oriental (~0 m)</t>
        </is>
      </c>
      <c r="D22" s="33" t="inlineStr">
        <is>
          <t>SUSTANTIVA</t>
        </is>
      </c>
      <c r="E22" s="32" t="inlineStr">
        <is>
          <t>Se corrige a colindancia vial directa y nivel de presión Alto</t>
        </is>
      </c>
    </row>
    <row r="23" ht="48" customHeight="1">
      <c r="A23" s="34" t="inlineStr">
        <is>
          <t>D-12</t>
        </is>
      </c>
      <c r="B23" s="34" t="inlineStr">
        <is>
          <t>Escarpes activos</t>
        </is>
      </c>
      <c r="C23" s="34" t="inlineStr">
        <is>
          <t>F-DT-01 declara No; la vista satelital muestra cicatriz de suelo descubierto en el sector alto nororiental</t>
        </is>
      </c>
      <c r="D23" s="33" t="inlineStr">
        <is>
          <t>SUSTANTIVA</t>
        </is>
      </c>
      <c r="E23" s="34" t="inlineStr">
        <is>
          <t>Se declara rasgo por verificar en campo</t>
        </is>
      </c>
    </row>
    <row r="24" ht="48" customHeight="1">
      <c r="A24" s="34" t="inlineStr">
        <is>
          <t>D-13</t>
        </is>
      </c>
      <c r="B24" s="34" t="inlineStr">
        <is>
          <t>Distribución areal MSAVI 2024</t>
        </is>
      </c>
      <c r="C24" s="34" t="inlineStr">
        <is>
          <t>La distribución por clase de MSAVI no figuraba en los insumos del entregable y se consignaba «Por determinar»; se incorpora la estadística zonal del ráster MSAVI clasificado (169 polígonos, 22.927 ha)</t>
        </is>
      </c>
      <c r="D24" s="33" t="inlineStr">
        <is>
          <t>CORREGIDO</t>
        </is>
      </c>
      <c r="E24"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5" ht="48" customHeight="1">
      <c r="A25" s="34" t="inlineStr">
        <is>
          <t>D-14</t>
        </is>
      </c>
      <c r="B25" s="34" t="inlineStr">
        <is>
          <t>Superficie MSAVI vs. catálogo</t>
        </is>
      </c>
      <c r="C25" s="34" t="inlineStr">
        <is>
          <t>La superficie total clasificada por el MSAVI 2024 (22.927 ha) frente a la de catálogo V5/V6 (22.930 ha): desviación de -0.01 %</t>
        </is>
      </c>
      <c r="D25" s="33" t="inlineStr">
        <is>
          <t>CONFORME</t>
        </is>
      </c>
      <c r="E25" s="34" t="inlineStr">
        <is>
          <t>Sin acción: la segmentación del ráster valida la geometría del bloque dentro del ±2 %.</t>
        </is>
      </c>
    </row>
    <row r="26" ht="48" customHeight="1">
      <c r="A26" s="34" t="inlineStr">
        <is>
          <t>D-15</t>
        </is>
      </c>
      <c r="B26" s="34" t="inlineStr">
        <is>
          <t>Media MSAVI vs. clase DN dominante</t>
        </is>
      </c>
      <c r="C26" s="34" t="inlineStr">
        <is>
          <t>La media del bloque (0.5238) cae en la clase «DN 4 · 0.4976 - 0.6139 (Vigor moderado)»; la clase de mayor superficie es «DN 4 · 0.4976 - 0.6139 (Vigor moderado)», con 50.04 % del bloque. Superficie bajo el umbral 0.4976: 7.940 ha (34.63 %)</t>
        </is>
      </c>
      <c r="D26" s="33" t="inlineStr">
        <is>
          <t>CONFORME</t>
        </is>
      </c>
      <c r="E26" s="34" t="inlineStr">
        <is>
          <t>Sin acción: la media del bloque y la clase de mayor superficie coinciden.</t>
        </is>
      </c>
    </row>
    <row r="27"/>
    <row r="28">
      <c r="A28" s="16" t="inlineStr">
        <is>
          <t>RESUMEN</t>
        </is>
      </c>
      <c r="B28" s="17" t="inlineStr">
        <is>
          <t>15 verificaciones</t>
        </is>
      </c>
      <c r="C28" s="17" t="inlineStr">
        <is>
          <t>CONFORME: 4 · CORREGIDO: 1 · NO SUSTANTIVA: 2 · SUSTANTIVA: 8</t>
        </is>
      </c>
      <c r="D28" s="17" t="inlineStr"/>
      <c r="E28" s="17" t="inlineStr"/>
    </row>
    <row r="29"/>
    <row r="30" ht="60" customHeight="1">
      <c r="A3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0" s="40" t="n"/>
      <c r="C30" s="40" t="n"/>
      <c r="D30" s="40" t="n"/>
      <c r="E30" s="41" t="n"/>
    </row>
  </sheetData>
  <mergeCells count="8">
    <mergeCell ref="A30:E30"/>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51 — IN Piura</dc:title>
  <dc:subject>Diagnóstico Territorial por bloque de intervención</dc:subject>
  <dcterms:created xsi:type="dcterms:W3CDTF">2026-09-08T03:39:54Z</dcterms:created>
  <dcterms:modified xsi:type="dcterms:W3CDTF">2026-09-09T23:30:52Z</dcterms:modified>
</cp:coreProperties>
</file>