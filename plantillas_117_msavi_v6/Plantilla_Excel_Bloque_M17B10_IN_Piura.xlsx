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M17B10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M17B10</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Platanal Alto (catálogo CP-Bloques V5); referencia vial: sector Palo Blanco</t>
        </is>
      </c>
      <c r="C13" s="6" t="inlineStr">
        <is>
          <t>Comunidad campesina</t>
        </is>
      </c>
      <c r="D13" s="7" t="inlineStr">
        <is>
          <t>Por verificar</t>
        </is>
      </c>
      <c r="E13" s="8" t="n"/>
      <c r="F13" s="8" t="n"/>
    </row>
    <row r="14">
      <c r="A14" s="6" t="inlineStr">
        <is>
          <t>Superficie de catálogo (V5/V6), ha</t>
        </is>
      </c>
      <c r="B14" s="7" t="n">
        <v>75.36</v>
      </c>
      <c r="C14" s="6" t="inlineStr">
        <is>
          <t>Fuente de superficie</t>
        </is>
      </c>
      <c r="D14" s="7" t="inlineStr">
        <is>
          <t>Catálogo maestro Bloques V5/V6</t>
        </is>
      </c>
      <c r="E14" s="8" t="n"/>
      <c r="F14" s="8" t="n"/>
    </row>
    <row r="15">
      <c r="A15" s="6" t="inlineStr">
        <is>
          <t>Centroide UTM ESTE (m)</t>
        </is>
      </c>
      <c r="B15" s="7" t="n">
        <v>606173</v>
      </c>
      <c r="C15" s="6" t="inlineStr">
        <is>
          <t>Centroide UTM NORTE (m)</t>
        </is>
      </c>
      <c r="D15" s="7" t="n">
        <v>9447361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466</v>
      </c>
      <c r="C19" s="6" t="inlineStr">
        <is>
          <t>Altitud máxima (msnm)</t>
        </is>
      </c>
      <c r="D19" s="7" t="n">
        <v>902</v>
      </c>
      <c r="E19" s="8" t="n"/>
      <c r="F19" s="8" t="n"/>
    </row>
    <row r="20">
      <c r="A20" s="6" t="inlineStr">
        <is>
          <t>Amplitud altitudinal (m)</t>
        </is>
      </c>
      <c r="B20" s="7" t="n">
        <v>436</v>
      </c>
      <c r="C20" s="6" t="inlineStr">
        <is>
          <t>Piso altitudinal dominante</t>
        </is>
      </c>
      <c r="D20" s="7" t="inlineStr">
        <is>
          <t>&lt;1000 m (Yunga)</t>
        </is>
      </c>
      <c r="E20" s="8" t="n"/>
      <c r="F20" s="8" t="n"/>
    </row>
    <row r="21">
      <c r="A21" s="6" t="inlineStr">
        <is>
          <t>Pendiente promedio (%)</t>
        </is>
      </c>
      <c r="B21" s="7" t="n">
        <v>25.94</v>
      </c>
      <c r="C21" s="6" t="inlineStr">
        <is>
          <t>Pendiente promedio (grados)</t>
        </is>
      </c>
      <c r="D21" s="7" t="n">
        <v>14.5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 (carácter activo POR CONFIRMAR)</t>
        </is>
      </c>
      <c r="C25" s="6" t="inlineStr">
        <is>
          <t>Remociones en masa activas</t>
        </is>
      </c>
      <c r="D25" s="7" t="inlineStr">
        <is>
          <t>No (no observadas)</t>
        </is>
      </c>
      <c r="E25" s="8" t="n"/>
      <c r="F25" s="8" t="n"/>
    </row>
    <row r="26"/>
    <row r="27" ht="18" customHeight="1">
      <c r="A27" s="5" t="inlineStr">
        <is>
          <t>3. ÍNDICES DE VEGETACIÓN (SENTINEL-2)</t>
        </is>
      </c>
    </row>
    <row r="28">
      <c r="A28" s="6" t="inlineStr">
        <is>
          <t>MSAVI 2024 — media del bloque</t>
        </is>
      </c>
      <c r="B28" s="7" t="n">
        <v>0.4725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(66.38 %)</t>
        </is>
      </c>
      <c r="E29" s="8" t="n"/>
      <c r="F29" s="8" t="n"/>
    </row>
    <row r="30">
      <c r="A30" s="6" t="inlineStr">
        <is>
          <t>Superficie clasificada NDVI 2025 (ha)</t>
        </is>
      </c>
      <c r="B30" s="7" t="n">
        <v>75.40300000000001</v>
      </c>
      <c r="C30" s="6" t="inlineStr">
        <is>
          <t>Desviación frente al catálogo (%)</t>
        </is>
      </c>
      <c r="D30" s="7" t="n">
        <v>0.06</v>
      </c>
      <c r="E30" s="8" t="n"/>
      <c r="F30" s="8" t="n"/>
    </row>
    <row r="31">
      <c r="A31" s="6" t="inlineStr">
        <is>
          <t>Superficie clasificada MSAVI 2024 (ha)</t>
        </is>
      </c>
      <c r="B31" s="38" t="n">
        <v>75.363</v>
      </c>
      <c r="C31" s="6" t="inlineStr">
        <is>
          <t>Desviación MSAVI frente al catálogo (%)</t>
        </is>
      </c>
      <c r="D31" s="39" t="n">
        <v>0</v>
      </c>
      <c r="E31" s="8" t="n"/>
      <c r="F31" s="8" t="n"/>
    </row>
    <row r="32">
      <c r="A32" s="6" t="inlineStr">
        <is>
          <t>Superficie bajo umbral MSAVI 0.4976 (ha)</t>
        </is>
      </c>
      <c r="B32" s="38" t="n">
        <v>55.265</v>
      </c>
      <c r="C32" s="6" t="inlineStr">
        <is>
          <t>% del bloque bajo umbral (brecha espectral)</t>
        </is>
      </c>
      <c r="D32" s="39" t="n">
        <v>73.33</v>
      </c>
      <c r="E32" s="8" t="n"/>
      <c r="F32" s="8" t="n"/>
    </row>
    <row r="33">
      <c r="A33" s="6" t="inlineStr">
        <is>
          <t>Clase DN dominante (MSAVI 2024)</t>
        </is>
      </c>
      <c r="B33" s="7" t="inlineStr">
        <is>
          <t>DN 3 · 0.3813 - 0.4976 (Vigor bajo)</t>
        </is>
      </c>
      <c r="C33" s="6" t="inlineStr">
        <is>
          <t>N.° de polígonos MSAVI del bloque</t>
        </is>
      </c>
      <c r="D33" s="40" t="n">
        <v>242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75.36 ha (superficie total del bloque; desagregación por unidad ecosistémica por verificar)</t>
        </is>
      </c>
      <c r="E36" s="8" t="n"/>
      <c r="F36" s="8" t="n"/>
    </row>
    <row r="37">
      <c r="A37" s="6" t="inlineStr">
        <is>
          <t>Estado de conservación</t>
        </is>
      </c>
      <c r="B37" s="7" t="inlineStr">
        <is>
          <t>Levemente alterado</t>
        </is>
      </c>
      <c r="C37" s="6" t="inlineStr">
        <is>
          <t>Uso actual dominante del suelo</t>
        </is>
      </c>
      <c r="D37" s="7" t="inlineStr">
        <is>
          <t>Forestal de protección</t>
        </is>
      </c>
      <c r="E37" s="8" t="n"/>
      <c r="F37" s="8" t="n"/>
    </row>
    <row r="38">
      <c r="A38" s="6" t="inlineStr">
        <is>
          <t>Tipo de cobertura dominante</t>
        </is>
      </c>
      <c r="B38" s="7" t="inlineStr">
        <is>
          <t>Bosque denso (&gt;70%)</t>
        </is>
      </c>
      <c r="C38" s="6" t="inlineStr">
        <is>
          <t>Cobertura vegetal total — campo (%)</t>
        </is>
      </c>
      <c r="D38" s="7" t="n">
        <v>80</v>
      </c>
      <c r="E38" s="8" t="n"/>
      <c r="F38" s="8" t="n"/>
    </row>
    <row r="39">
      <c r="A39" s="6" t="inlineStr">
        <is>
          <t>Suelo desnudo — campo (%)</t>
        </is>
      </c>
      <c r="B39" s="7" t="n">
        <v>8</v>
      </c>
      <c r="C39" s="6" t="inlineStr">
        <is>
          <t>Regeneración natural</t>
        </is>
      </c>
      <c r="D39" s="7" t="inlineStr">
        <is>
          <t>En blanco (no observable desde el punto externo)</t>
        </is>
      </c>
      <c r="E39" s="8" t="n"/>
      <c r="F39" s="8" t="n"/>
    </row>
    <row r="40">
      <c r="A40" s="6" t="inlineStr">
        <is>
          <t>Nivel general de erosión</t>
        </is>
      </c>
      <c r="B40" s="7" t="inlineStr">
        <is>
          <t>Ligera (laminar) — calificación preliminar por observación a distancia</t>
        </is>
      </c>
      <c r="C40" s="6" t="inlineStr">
        <is>
          <t>N.° de cárcavas registradas</t>
        </is>
      </c>
      <c r="D40" s="7" t="inlineStr">
        <is>
          <t>No inventariado</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2026-07-15</t>
        </is>
      </c>
      <c r="E44" s="8" t="n"/>
      <c r="F44" s="8" t="n"/>
    </row>
    <row r="45">
      <c r="A45" s="6" t="inlineStr">
        <is>
          <t>Hora de registro</t>
        </is>
      </c>
      <c r="B45" s="7" t="inlineStr">
        <is>
          <t>10:13 - 10:22 h</t>
        </is>
      </c>
      <c r="C45" s="6" t="inlineStr">
        <is>
          <t>Correlativo de ficha</t>
        </is>
      </c>
      <c r="D45" s="7" t="inlineStr">
        <is>
          <t>DT-M17B10-01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(verificación externa)</t>
        </is>
      </c>
      <c r="E47" s="8" t="n"/>
      <c r="F47" s="8" t="n"/>
    </row>
    <row r="48">
      <c r="A48" s="6" t="inlineStr">
        <is>
          <t>Estaciones fotográficas georreferenciadas</t>
        </is>
      </c>
      <c r="B48" s="7" t="n">
        <v>7</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Mejoramiento y ampliación del corredor vial Chulucanas-Frías, que incrementa la accesibilidad del pie de ladera</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M17B10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4.5205</v>
      </c>
      <c r="C10" s="19">
        <f>ROUND(B10/$B$15*100,2)</f>
        <v/>
      </c>
      <c r="D10" s="11" t="inlineStr">
        <is>
          <t>Vigor alto</t>
        </is>
      </c>
      <c r="E10" s="11" t="inlineStr">
        <is>
          <t>Sobre umbral</t>
        </is>
      </c>
    </row>
    <row r="11">
      <c r="A11" s="12" t="inlineStr">
        <is>
          <t>0.4976 - 0.6139 · DN 4</t>
        </is>
      </c>
      <c r="B11" s="20" t="n">
        <v>15.5782</v>
      </c>
      <c r="C11" s="21">
        <f>ROUND(B11/$B$15*100,2)</f>
        <v/>
      </c>
      <c r="D11" s="13" t="inlineStr">
        <is>
          <t>Vigor moderado</t>
        </is>
      </c>
      <c r="E11" s="13" t="inlineStr">
        <is>
          <t>Sobre umbral</t>
        </is>
      </c>
    </row>
    <row r="12">
      <c r="A12" s="14" t="inlineStr">
        <is>
          <t>0.3813 - 0.4976 · DN 3</t>
        </is>
      </c>
      <c r="B12" s="32" t="n">
        <v>52.9188</v>
      </c>
      <c r="C12" s="31">
        <f>ROUND(B12/$B$15*100,2)</f>
        <v/>
      </c>
      <c r="D12" s="15" t="inlineStr">
        <is>
          <t>Vigor bajo</t>
        </is>
      </c>
      <c r="E12" s="15" t="inlineStr">
        <is>
          <t>BAJO umbral 0.4976</t>
        </is>
      </c>
    </row>
    <row r="13">
      <c r="A13" s="12" t="inlineStr">
        <is>
          <t>0.2650 - 0.3813 · DN 2</t>
        </is>
      </c>
      <c r="B13" s="20" t="n">
        <v>2.3459</v>
      </c>
      <c r="C13" s="21">
        <f>ROUND(B13/$B$15*100,2)</f>
        <v/>
      </c>
      <c r="D13" s="13" t="inlineStr">
        <is>
          <t>Vigor muy bajo</t>
        </is>
      </c>
      <c r="E13" s="13"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242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75.36</v>
      </c>
      <c r="C18" s="49" t="inlineStr">
        <is>
          <t>—</t>
        </is>
      </c>
      <c r="D18" s="46" t="inlineStr">
        <is>
          <t>Desviación planimétrica frente al catálogo</t>
        </is>
      </c>
      <c r="E18" s="46" t="inlineStr">
        <is>
          <t>+0.00 %</t>
        </is>
      </c>
    </row>
    <row r="19">
      <c r="A19" s="16" t="inlineStr">
        <is>
          <t>MSAVI 2024 — MEDIA DEL BLOQUE</t>
        </is>
      </c>
      <c r="B19" s="17" t="n">
        <v>0.472466</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242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(0.4725)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22.0201</v>
      </c>
      <c r="C25" s="19" t="n">
        <v>29.2</v>
      </c>
      <c r="D25" s="11" t="inlineStr">
        <is>
          <t>Dosel continuo, matorral denso o mosaico agroforestal</t>
        </is>
      </c>
      <c r="E25" s="11" t="inlineStr"/>
    </row>
    <row r="26">
      <c r="A26" s="12" t="inlineStr">
        <is>
          <t>Vegetación mediana</t>
        </is>
      </c>
      <c r="B26" s="20" t="n">
        <v>50.0521</v>
      </c>
      <c r="C26" s="21" t="n">
        <v>66.38</v>
      </c>
      <c r="D26" s="13" t="inlineStr">
        <is>
          <t>Pastizal cultivado, matorral ralo, parcelas agrícolas</t>
        </is>
      </c>
      <c r="E26" s="13" t="inlineStr"/>
    </row>
    <row r="27">
      <c r="A27" s="7" t="inlineStr">
        <is>
          <t>Vegetación ligera</t>
        </is>
      </c>
      <c r="B27" s="18" t="n">
        <v>3.3305</v>
      </c>
      <c r="C27" s="19" t="n">
        <v>4.42</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75.36</v>
      </c>
      <c r="C29" s="25" t="inlineStr">
        <is>
          <t>—</t>
        </is>
      </c>
      <c r="D29" s="25" t="inlineStr">
        <is>
          <t>Desviación planimétrica frente al catálogo</t>
        </is>
      </c>
      <c r="E29" s="25" t="inlineStr">
        <is>
          <t>+0.06 %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29.20 % del polígono clasificado como «Vegetación alta» por el NDVI 2025; la observación de campo corresponde a una parcela o recorrido puntual y no es estadísticamente representativa de las 75.360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M17B10</t>
        </is>
      </c>
    </row>
    <row r="6" ht="24" customHeight="1">
      <c r="A6" s="4" t="inlineStr">
        <is>
          <t>Levantamiento del 2026-07-15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606815</v>
      </c>
      <c r="D10" s="26" t="n">
        <v>9446991</v>
      </c>
      <c r="E10" s="11" t="n">
        <v>741</v>
      </c>
      <c r="F10" s="11" t="inlineStr"/>
      <c r="G10" s="11" t="inlineStr">
        <is>
          <t>Coordenada consignada en F-DT-01</t>
        </is>
      </c>
    </row>
    <row r="11">
      <c r="A11" s="12" t="inlineStr">
        <is>
          <t>F-01/F-07 (estación única)</t>
        </is>
      </c>
      <c r="B11" s="13" t="inlineStr">
        <is>
          <t>Estación fotográfica</t>
        </is>
      </c>
      <c r="C11" s="27" t="n">
        <v>606815</v>
      </c>
      <c r="D11" s="27" t="n">
        <v>9446991</v>
      </c>
      <c r="E11" s="13" t="n">
        <v>741</v>
      </c>
      <c r="F11" s="13" t="inlineStr"/>
      <c r="G11" s="13" t="inlineStr">
        <is>
          <t>Registro fotográfico georreferenciado</t>
        </is>
      </c>
    </row>
    <row r="12">
      <c r="A12" s="7" t="inlineStr">
        <is>
          <t>H-01</t>
        </is>
      </c>
      <c r="B12" s="11" t="inlineStr">
        <is>
          <t>Fuente de agua — Quebrada estacional</t>
        </is>
      </c>
      <c r="C12" s="26" t="inlineStr">
        <is>
          <t>Por determinar</t>
        </is>
      </c>
      <c r="D12" s="26" t="inlineStr">
        <is>
          <t>Por determinar</t>
        </is>
      </c>
      <c r="E12" s="11" t="inlineStr"/>
      <c r="F12" s="11" t="inlineStr">
        <is>
          <t>Estacional</t>
        </is>
      </c>
      <c r="G12" s="11" t="inlineStr">
        <is>
          <t>Cauce torrencial del flanco oriental</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606173</v>
      </c>
      <c r="C15" s="6" t="inlineStr">
        <is>
          <t>Centroide del bloque — UTM NORTE (m)</t>
        </is>
      </c>
      <c r="D15" s="7" t="n">
        <v>9447361</v>
      </c>
      <c r="E15" s="8" t="n"/>
      <c r="F15" s="8" t="n"/>
      <c r="G15" s="8" t="n"/>
      <c r="H15" s="8" t="n"/>
    </row>
    <row r="16">
      <c r="A16" s="6" t="inlineStr">
        <is>
          <t>N.° de estaciones fotográficas declaradas</t>
        </is>
      </c>
      <c r="B16" s="7" t="n">
        <v>7</v>
      </c>
      <c r="C16" s="6" t="inlineStr">
        <is>
          <t>Estaciones dentro del polígono</t>
        </is>
      </c>
      <c r="D16" s="7" t="n">
        <v>0</v>
      </c>
      <c r="E16" s="8" t="n"/>
      <c r="F16" s="8" t="n"/>
      <c r="G16" s="8" t="n"/>
      <c r="H16" s="8" t="n"/>
    </row>
    <row r="18" ht="192"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EXTERNA. LAS 7 TOMAS GEORREFERENCIADAS DEL 15/07/2026 SE CONCENTRAN EN UNA ESTACIÓN ÚNICA DE LA CARRETERA CHULUCANAS-FRÍAS (606 809-606 820 E / 9 446 959-9 447 025 N; dispersión 11 m E × 66 m N). EL INTERIOR DEL POLÍGONO NO FUE RECORRIDO; LA COMPLETITUD DEL LEVANTAMIENTO FÍSICO SE ESTIMA &lt;10%. Los azimuts 294 NO y 318 NO encuadran el núcleo del bloque, cuyo centroide de catálogo se ubica a ≈741 m al ONO de la estación. AFLORAMIENTOS: cornisas y escarpes rocosos claros en el tercio superior. ESCARPES: rasgos lineales descendentes desde la cresta, COMPATIBLES CON CANALETAS DE CAÍDA DE ROCAS. DESLIZAMIENTOS ANTIGUOS: cicatriz de talud desnudo con bloques dispersos en ladera media. REMOCIONES: no observadas; el fondo de valle presenta BOLONES MÉTRICOS DISPERSOS SOBRE PASTIZAL, COMPATIBLES CON FLUJOS TORRENCIALES PASADOS. DISCREPANCIAS DE CATÁLOGO: área 75.363 ha (Bloques V5) vs. 75.403 ha (CP-Bloques V5) vs. 924.365 ha (Centroides Bloques.xls); centroide V4 (606 173 · 9 447 361) vs. Centroides.xls (606 234 · 9 448 179), SEPARACIÓN 820 m; el rótulo de la app indica «Morropón» en F-01 y «Ayabaca» en F-02 PARA PUNTOS SEPARADOS 13 m.</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M17B10</t>
        </is>
      </c>
    </row>
    <row r="6" ht="24" customHeight="1">
      <c r="A6" s="4" t="inlineStr">
        <is>
          <t>Distrito de Frias · Provincia de Ayabaca · Comparación de los bloques preliminares de intervención de la misma microcuenca</t>
        </is>
      </c>
    </row>
    <row r="7"/>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8" t="n">
        <v>258.84</v>
      </c>
      <c r="C10" s="19" t="n">
        <v>29.57</v>
      </c>
      <c r="D10" s="11" t="inlineStr">
        <is>
          <t>553 – 1517</t>
        </is>
      </c>
      <c r="E10" s="11" t="n">
        <v>964</v>
      </c>
      <c r="F10" s="11" t="n">
        <v>29.82</v>
      </c>
      <c r="G10" s="18" t="n">
        <v>0.5087</v>
      </c>
      <c r="H10" s="19" t="n">
        <v>58.63</v>
      </c>
      <c r="I10" s="19" t="n">
        <v>48.4</v>
      </c>
    </row>
    <row r="11">
      <c r="A11" s="12" t="inlineStr">
        <is>
          <t>M17B4</t>
        </is>
      </c>
      <c r="B11" s="29" t="n">
        <v>124.71</v>
      </c>
      <c r="C11" s="21" t="n">
        <v>14.25</v>
      </c>
      <c r="D11" s="13" t="inlineStr">
        <is>
          <t>294 – 629</t>
        </is>
      </c>
      <c r="E11" s="13" t="n">
        <v>335</v>
      </c>
      <c r="F11" s="13" t="n">
        <v>18.69</v>
      </c>
      <c r="G11" s="20" t="n">
        <v>0.4235</v>
      </c>
      <c r="H11" s="21" t="n">
        <v>3.97</v>
      </c>
      <c r="I11" s="21" t="n">
        <v>91.94</v>
      </c>
    </row>
    <row r="12">
      <c r="A12" s="7" t="inlineStr">
        <is>
          <t>M17B6</t>
        </is>
      </c>
      <c r="B12" s="28" t="n">
        <v>106.54</v>
      </c>
      <c r="C12" s="19" t="n">
        <v>12.17</v>
      </c>
      <c r="D12" s="11" t="inlineStr">
        <is>
          <t>403 – 1049</t>
        </is>
      </c>
      <c r="E12" s="11" t="n">
        <v>646</v>
      </c>
      <c r="F12" s="11" t="n">
        <v>23.42</v>
      </c>
      <c r="G12" s="18" t="n">
        <v>0.4464</v>
      </c>
      <c r="H12" s="19" t="n">
        <v>18.53</v>
      </c>
      <c r="I12" s="19" t="n">
        <v>81.81999999999999</v>
      </c>
    </row>
    <row r="13">
      <c r="A13" s="12" t="inlineStr">
        <is>
          <t>22</t>
        </is>
      </c>
      <c r="B13" s="29" t="n">
        <v>79.33</v>
      </c>
      <c r="C13" s="21" t="n">
        <v>9.06</v>
      </c>
      <c r="D13" s="13" t="inlineStr">
        <is>
          <t>235 – 596</t>
        </is>
      </c>
      <c r="E13" s="13" t="n">
        <v>361</v>
      </c>
      <c r="F13" s="13" t="n">
        <v>22.51</v>
      </c>
      <c r="G13" s="20" t="n">
        <v>0.4232</v>
      </c>
      <c r="H13" s="21" t="n">
        <v>0.32</v>
      </c>
      <c r="I13" s="21" t="n">
        <v>93.29000000000001</v>
      </c>
    </row>
    <row r="14">
      <c r="A14" s="7" t="inlineStr">
        <is>
          <t>27</t>
        </is>
      </c>
      <c r="B14" s="28" t="n">
        <v>78.15000000000001</v>
      </c>
      <c r="C14" s="19" t="n">
        <v>8.93</v>
      </c>
      <c r="D14" s="11" t="inlineStr">
        <is>
          <t>1518 – 1895</t>
        </is>
      </c>
      <c r="E14" s="11" t="n">
        <v>377</v>
      </c>
      <c r="F14" s="11" t="n">
        <v>30.25</v>
      </c>
      <c r="G14" s="18" t="n">
        <v>0.5323</v>
      </c>
      <c r="H14" s="19" t="n">
        <v>64.75</v>
      </c>
      <c r="I14" s="19" t="n">
        <v>37.5</v>
      </c>
    </row>
    <row r="15">
      <c r="A15" s="14" t="inlineStr">
        <is>
          <t>► M17B10</t>
        </is>
      </c>
      <c r="B15" s="30" t="n">
        <v>75.36</v>
      </c>
      <c r="C15" s="31" t="n">
        <v>8.609999999999999</v>
      </c>
      <c r="D15" s="15" t="inlineStr">
        <is>
          <t>466 – 902</t>
        </is>
      </c>
      <c r="E15" s="15" t="n">
        <v>436</v>
      </c>
      <c r="F15" s="15" t="n">
        <v>25.94</v>
      </c>
      <c r="G15" s="32" t="n">
        <v>0.4725</v>
      </c>
      <c r="H15" s="31" t="n">
        <v>29.2</v>
      </c>
      <c r="I15" s="31" t="n">
        <v>73.33</v>
      </c>
    </row>
    <row r="16">
      <c r="A16" s="7" t="inlineStr">
        <is>
          <t>M17B5</t>
        </is>
      </c>
      <c r="B16" s="28" t="n">
        <v>74.03</v>
      </c>
      <c r="C16" s="19" t="n">
        <v>8.460000000000001</v>
      </c>
      <c r="D16" s="11" t="inlineStr">
        <is>
          <t>794 – 1317</t>
        </is>
      </c>
      <c r="E16" s="11" t="n">
        <v>523</v>
      </c>
      <c r="F16" s="11" t="n">
        <v>27.42</v>
      </c>
      <c r="G16" s="18" t="n">
        <v>0.5482</v>
      </c>
      <c r="H16" s="19" t="n">
        <v>61.34</v>
      </c>
      <c r="I16" s="19" t="n">
        <v>28.94</v>
      </c>
    </row>
    <row r="17">
      <c r="A17" s="12" t="inlineStr">
        <is>
          <t>M17B1</t>
        </is>
      </c>
      <c r="B17" s="29" t="n">
        <v>42.45</v>
      </c>
      <c r="C17" s="21" t="n">
        <v>4.85</v>
      </c>
      <c r="D17" s="13" t="inlineStr">
        <is>
          <t>177 – 313</t>
        </is>
      </c>
      <c r="E17" s="13" t="n">
        <v>136</v>
      </c>
      <c r="F17" s="13" t="n">
        <v>14.73</v>
      </c>
      <c r="G17" s="20" t="n">
        <v>0.3323</v>
      </c>
      <c r="H17" s="21" t="n">
        <v>0</v>
      </c>
      <c r="I17" s="21" t="n">
        <v>99.84</v>
      </c>
    </row>
    <row r="18">
      <c r="A18" s="7" t="inlineStr">
        <is>
          <t>32</t>
        </is>
      </c>
      <c r="B18" s="28"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1" t="n"/>
      <c r="C20" s="41" t="n"/>
      <c r="D20" s="41" t="n"/>
      <c r="E20" s="41" t="n"/>
      <c r="F20" s="41" t="n"/>
      <c r="G20" s="41" t="n"/>
      <c r="H20" s="42" t="n"/>
    </row>
    <row r="21"/>
    <row r="22" ht="84" customHeight="1">
      <c r="A22" s="9" t="inlineStr">
        <is>
          <t>LECTURA INTRAMICROCUENCA. El bloque M17B10 ocupa el puesto 6 de 9 por superficie dentro de la microcuenca C1096-Q9556 (8.61 % de las 875.24 ha preliminares de la microcuenca). Su pendiente promedio (25.94 %, clase «25-50% (Mod. escarpado)») es la 6.ª más baja de 9 y se sitúa por encima del promedio de la microcuenca (22.85 %). Su MSAVI 2024 (0.4725) es el 4.º de 9 y queda por encima del promedio local (0.4510). Amplitud altitudinal del bloque: 436 m (466–902 msnm). El cuadro conserva todos los bloques catalogados en la microcuenca, incluidos los descartados en el tamizaje, para referencia del conjunto. Los bloques sin ficha DT figuran con sus parámetros de gabinete. BRECHA ESPECTRAL. El 73.33 % de la superficie del bloque (55.265 ha de 75.363 ha) se sitúa bajo el umbral MSAVI 0.4976, por encima del promedio local de la microcuenca (69.38 %)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M17B10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741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(75.403 ha) coincide con la de catálogo (75.36 ha) dentro del ±2 % (+0.06 %)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80 % de cobertura vegetal en campo; el NDVI mediana 2025 clasifica 100.00 %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7"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4" t="inlineStr">
        <is>
          <t>D-07</t>
        </is>
      </c>
      <c r="B16" s="34" t="inlineStr">
        <is>
          <t>F-DT-01</t>
        </is>
      </c>
      <c r="C16" s="34" t="inlineStr">
        <is>
          <t>VERIFICACIÓN EXTERNA desde una ESTACIÓN ÚNICA sobre la vía; completitud física &lt;10%; el interior no fue recorrido</t>
        </is>
      </c>
      <c r="D16" s="37" t="inlineStr">
        <is>
          <t>SUSTANTIVA</t>
        </is>
      </c>
      <c r="E16" s="34" t="inlineStr">
        <is>
          <t>Recorrido interno pendiente</t>
        </is>
      </c>
    </row>
    <row r="17" ht="48" customHeight="1">
      <c r="A17" s="36" t="inlineStr">
        <is>
          <t>D-08</t>
        </is>
      </c>
      <c r="B17" s="36" t="inlineStr">
        <is>
          <t>F-DT-01</t>
        </is>
      </c>
      <c r="C17" s="36" t="inlineStr">
        <is>
          <t>DISCREPANCIA DE ÁREA: 75.363 ha (Bloques V5) vs. 75.403 ha (CP-Bloques V5) vs. 924.365 ha (Centroides Bloques.xls)</t>
        </is>
      </c>
      <c r="D17" s="37" t="inlineStr">
        <is>
          <t>SUSTANTIVA</t>
        </is>
      </c>
      <c r="E17" s="36" t="inlineStr">
        <is>
          <t>El valor de 924.365 ha es un error grosero de catálogo: conciliar</t>
        </is>
      </c>
    </row>
    <row r="18" ht="48" customHeight="1">
      <c r="A18" s="34" t="inlineStr">
        <is>
          <t>D-09</t>
        </is>
      </c>
      <c r="B18" s="34" t="inlineStr">
        <is>
          <t>F-DT-01</t>
        </is>
      </c>
      <c r="C18" s="34" t="inlineStr">
        <is>
          <t>DISCREPANCIA DE CENTROIDE: V4 (606 173 · 9 447 361) vs. Centroides.xls (606 234 · 9 448 179), separación 820 m</t>
        </is>
      </c>
      <c r="D18" s="37" t="inlineStr">
        <is>
          <t>SUSTANTIVA</t>
        </is>
      </c>
      <c r="E18" s="34" t="inlineStr">
        <is>
          <t>Conciliar catálogo de centroides</t>
        </is>
      </c>
    </row>
    <row r="19" ht="48" customHeight="1">
      <c r="A19" s="36" t="inlineStr">
        <is>
          <t>D-10</t>
        </is>
      </c>
      <c r="B19" s="36" t="inlineStr">
        <is>
          <t>F-DT-01</t>
        </is>
      </c>
      <c r="C19" s="36" t="inlineStr">
        <is>
          <t>El rótulo de la app indica «Morropón» en F-01 y «Ayabaca» en F-02 para puntos separados 13 m</t>
        </is>
      </c>
      <c r="D19" s="15" t="inlineStr">
        <is>
          <t>NO SUSTANTIVA</t>
        </is>
      </c>
      <c r="E19" s="36" t="inlineStr">
        <is>
          <t>Error de la aplicación; el bloque pertenece a Ayabaca / Frías</t>
        </is>
      </c>
    </row>
    <row r="20" ht="48" customHeight="1">
      <c r="A20" s="34" t="inlineStr">
        <is>
          <t>D-11</t>
        </is>
      </c>
      <c r="B20" s="34" t="inlineStr">
        <is>
          <t>F-DT-02</t>
        </is>
      </c>
      <c r="C20" s="34" t="inlineStr">
        <is>
          <t>Inventario de cárcavas no ejecutado; sellamiento, compactación y raíces expuestas en blanco</t>
        </is>
      </c>
      <c r="D20" s="37" t="inlineStr">
        <is>
          <t>SUSTANTIVA</t>
        </is>
      </c>
      <c r="E20" s="34" t="inlineStr">
        <is>
          <t>No observables desde la distancia de toma</t>
        </is>
      </c>
    </row>
    <row r="21" ht="48" customHeight="1">
      <c r="A21" s="36" t="inlineStr">
        <is>
          <t>D-12</t>
        </is>
      </c>
      <c r="B21" s="36" t="inlineStr">
        <is>
          <t>F-DT-02</t>
        </is>
      </c>
      <c r="C21" s="36" t="inlineStr">
        <is>
          <t>MSAVI 0.4725 no debe interpretarse como degradación sin corrección por estacionalidad (Bes-cm caducifolio)</t>
        </is>
      </c>
      <c r="D21" s="37" t="inlineStr">
        <is>
          <t>SUSTANTIVA</t>
        </is>
      </c>
      <c r="E21" s="36" t="inlineStr">
        <is>
          <t>Contraste documentado: imagen 09/2023 con defoliación total vs. tomas 07/2026 con dosel verde continuo</t>
        </is>
      </c>
    </row>
    <row r="22" ht="48" customHeight="1">
      <c r="A22" s="34" t="inlineStr">
        <is>
          <t>D-13</t>
        </is>
      </c>
      <c r="B22" s="34" t="inlineStr">
        <is>
          <t>F-DT-03</t>
        </is>
      </c>
      <c r="C22" s="34" t="inlineStr">
        <is>
          <t>Columna de abundancia deliberadamente en blanco; coberturas por estimación ocular externa</t>
        </is>
      </c>
      <c r="D22" s="15" t="inlineStr">
        <is>
          <t>NO SUSTANTIVA</t>
        </is>
      </c>
      <c r="E22" s="34" t="inlineStr">
        <is>
          <t>Criterio de no fabricación correctamente aplicado</t>
        </is>
      </c>
    </row>
    <row r="23" ht="48" customHeight="1">
      <c r="A23" s="36" t="inlineStr">
        <is>
          <t>D-14</t>
        </is>
      </c>
      <c r="B23" s="36" t="inlineStr">
        <is>
          <t>F-DT-03</t>
        </is>
      </c>
      <c r="C23" s="36" t="inlineStr">
        <is>
          <t>Estado «Levemente alterado» contrasta con el supuesto de bloque degradado del modelamiento de mesolocalización</t>
        </is>
      </c>
      <c r="D23" s="37" t="inlineStr">
        <is>
          <t>SUSTANTIVA</t>
        </is>
      </c>
      <c r="E23" s="36" t="inlineStr">
        <is>
          <t>Recomendación de REDELIMITACIÓN o estrategia de conservación-enriquecimiento</t>
        </is>
      </c>
    </row>
    <row r="24" ht="48" customHeight="1">
      <c r="A24" s="34" t="inlineStr">
        <is>
          <t>D-15</t>
        </is>
      </c>
      <c r="B24" s="34" t="inlineStr">
        <is>
          <t>F-DT-04</t>
        </is>
      </c>
      <c r="C24" s="34" t="inlineStr">
        <is>
          <t>Solo 1 de las 16 causas cuenta con evidencia directa; el resto queda con presencia en blanco</t>
        </is>
      </c>
      <c r="D24" s="37" t="inlineStr">
        <is>
          <t>SUSTANTIVA</t>
        </is>
      </c>
      <c r="E24" s="34" t="inlineStr">
        <is>
          <t>Criterio de no fabricación correctamente aplicado</t>
        </is>
      </c>
    </row>
    <row r="25" ht="48" customHeight="1">
      <c r="A25" s="34" t="inlineStr">
        <is>
          <t>D-16</t>
        </is>
      </c>
      <c r="B25" s="34" t="inlineStr">
        <is>
          <t>Distribución areal MSAVI 2024</t>
        </is>
      </c>
      <c r="C25" s="34" t="inlineStr">
        <is>
          <t>La distribución por clase de MSAVI no figuraba en los insumos del entregable y se consignaba «Por determinar»; se incorpora la estadística zonal del ráster MSAVI clasificado (242 polígonos, 75.363 ha)</t>
        </is>
      </c>
      <c r="D25" s="37" t="inlineStr">
        <is>
          <t>CORREGIDO</t>
        </is>
      </c>
      <c r="E25"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4" t="inlineStr">
        <is>
          <t>D-17</t>
        </is>
      </c>
      <c r="B26" s="34" t="inlineStr">
        <is>
          <t>Superficie MSAVI vs. catálogo</t>
        </is>
      </c>
      <c r="C26" s="34" t="inlineStr">
        <is>
          <t>La superficie total clasificada por el MSAVI 2024 (75.363 ha) frente a la de catálogo V5/V6 (75.360 ha): desviación de +0.00 %</t>
        </is>
      </c>
      <c r="D26" s="37" t="inlineStr">
        <is>
          <t>CONFORME</t>
        </is>
      </c>
      <c r="E26" s="34" t="inlineStr">
        <is>
          <t>Sin acción: la segmentación del ráster valida la geometría del bloque dentro del ±2 %.</t>
        </is>
      </c>
    </row>
    <row r="27" ht="48" customHeight="1">
      <c r="A27" s="34" t="inlineStr">
        <is>
          <t>D-18</t>
        </is>
      </c>
      <c r="B27" s="34" t="inlineStr">
        <is>
          <t>Media MSAVI vs. clase DN dominante</t>
        </is>
      </c>
      <c r="C27" s="34" t="inlineStr">
        <is>
          <t>La media del bloque (0.4725) cae en la clase «DN 3 · 0.3813 - 0.4976 (Vigor bajo)»; la clase de mayor superficie es «DN 3 · 0.3813 - 0.4976 (Vigor bajo)», con 70.22 % del bloque. Superficie bajo el umbral 0.4976: 55.265 ha (73.33 %)</t>
        </is>
      </c>
      <c r="D27" s="37" t="inlineStr">
        <is>
          <t>CONFORME</t>
        </is>
      </c>
      <c r="E27" s="34" t="inlineStr">
        <is>
          <t>Sin acción: la media del bloque y la clase de mayor superficie coinciden.</t>
        </is>
      </c>
    </row>
    <row r="28"/>
    <row r="29">
      <c r="A29" s="16" t="inlineStr">
        <is>
          <t>RESUMEN</t>
        </is>
      </c>
      <c r="B29" s="17" t="inlineStr">
        <is>
          <t>18 verificaciones</t>
        </is>
      </c>
      <c r="C29" s="17" t="inlineStr">
        <is>
          <t>CONFORME: 5 · CORREGIDO: 1 · NO SUSTANTIVA: 3 · SUSTANTIVA: 9</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1" t="n"/>
      <c r="C31" s="41" t="n"/>
      <c r="D31" s="41" t="n"/>
      <c r="E31" s="42"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M17B10 — IN Piura</dc:title>
  <dc:subject>Diagnóstico Territorial por bloque de intervención</dc:subject>
  <dcterms:created xsi:type="dcterms:W3CDTF">2026-09-08T03:39:59Z</dcterms:created>
  <dcterms:modified xsi:type="dcterms:W3CDTF">2026-09-09T23:30:54Z</dcterms:modified>
</cp:coreProperties>
</file>