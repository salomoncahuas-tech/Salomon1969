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28</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Abalque</t>
        </is>
      </c>
      <c r="C13" s="6" t="inlineStr">
        <is>
          <t>Comunidad campesina</t>
        </is>
      </c>
      <c r="D13" s="7" t="inlineStr">
        <is>
          <t>Por verificar</t>
        </is>
      </c>
      <c r="E13" s="8" t="n"/>
      <c r="F13" s="8" t="n"/>
    </row>
    <row r="14">
      <c r="A14" s="6" t="inlineStr">
        <is>
          <t>Superficie de catálogo (V5/V6), ha</t>
        </is>
      </c>
      <c r="B14" s="7" t="n">
        <v>52.97</v>
      </c>
      <c r="C14" s="6" t="inlineStr">
        <is>
          <t>Fuente de superficie</t>
        </is>
      </c>
      <c r="D14" s="7" t="inlineStr">
        <is>
          <t>Catálogo maestro Bloques V5/V6</t>
        </is>
      </c>
      <c r="E14" s="8" t="n"/>
      <c r="F14" s="8" t="n"/>
    </row>
    <row r="15">
      <c r="A15" s="6" t="inlineStr">
        <is>
          <t>Centroide UTM ESTE (m)</t>
        </is>
      </c>
      <c r="B15" s="7" t="n">
        <v>654188</v>
      </c>
      <c r="C15" s="6" t="inlineStr">
        <is>
          <t>Centroide UTM NORTE (m)</t>
        </is>
      </c>
      <c r="D15" s="7" t="n">
        <v>9422849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1462</v>
      </c>
      <c r="C19" s="6" t="inlineStr">
        <is>
          <t>Altitud máxima (msnm)</t>
        </is>
      </c>
      <c r="D19" s="7" t="n">
        <v>1856</v>
      </c>
      <c r="E19" s="8" t="n"/>
      <c r="F19" s="8" t="n"/>
    </row>
    <row r="20">
      <c r="A20" s="6" t="inlineStr">
        <is>
          <t>Amplitud altitudinal (m)</t>
        </is>
      </c>
      <c r="B20" s="7" t="n">
        <v>394</v>
      </c>
      <c r="C20" s="6" t="inlineStr">
        <is>
          <t>Piso altitudinal dominante</t>
        </is>
      </c>
      <c r="D20" s="7" t="inlineStr">
        <is>
          <t>1500-2000 m (Quechua media)</t>
        </is>
      </c>
      <c r="E20" s="8" t="n"/>
      <c r="F20" s="8" t="n"/>
    </row>
    <row r="21">
      <c r="A21" s="6" t="inlineStr">
        <is>
          <t>Pendiente promedio (%)</t>
        </is>
      </c>
      <c r="B21" s="7" t="n">
        <v>30.36</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0.6394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(96.64 %)</t>
        </is>
      </c>
      <c r="E29" s="8" t="n"/>
      <c r="F29" s="8" t="n"/>
    </row>
    <row r="30">
      <c r="A30" s="6" t="inlineStr">
        <is>
          <t>Superficie clasificada NDVI 2025 (ha)</t>
        </is>
      </c>
      <c r="B30" s="7" t="n">
        <v>52.977</v>
      </c>
      <c r="C30" s="6" t="inlineStr">
        <is>
          <t>Desviación frente al catálogo (%)</t>
        </is>
      </c>
      <c r="D30" s="7" t="n">
        <v>0.01</v>
      </c>
      <c r="E30" s="8" t="n"/>
      <c r="F30" s="8" t="n"/>
    </row>
    <row r="31">
      <c r="A31" s="6" t="inlineStr">
        <is>
          <t>Superficie clasificada MSAVI 2024 (ha)</t>
        </is>
      </c>
      <c r="B31" s="38" t="n">
        <v>52.966</v>
      </c>
      <c r="C31" s="6" t="inlineStr">
        <is>
          <t>Desviación MSAVI frente al catálogo (%)</t>
        </is>
      </c>
      <c r="D31" s="39" t="n">
        <v>-0.01</v>
      </c>
      <c r="E31" s="8" t="n"/>
      <c r="F31" s="8" t="n"/>
    </row>
    <row r="32">
      <c r="A32" s="6" t="inlineStr">
        <is>
          <t>Superficie bajo umbral MSAVI 0.4976 (ha)</t>
        </is>
      </c>
      <c r="B32" s="38" t="n">
        <v>0.495</v>
      </c>
      <c r="C32" s="6" t="inlineStr">
        <is>
          <t>% del bloque bajo umbral (brecha espectral)</t>
        </is>
      </c>
      <c r="D32" s="39" t="n">
        <v>0.93</v>
      </c>
      <c r="E32" s="8" t="n"/>
      <c r="F32" s="8" t="n"/>
    </row>
    <row r="33">
      <c r="A33" s="6" t="inlineStr">
        <is>
          <t>Clase DN dominante (MSAVI 2024)</t>
        </is>
      </c>
      <c r="B33" s="7" t="inlineStr">
        <is>
          <t>DN 5 · &gt; 0.6139 (Vigor alto)</t>
        </is>
      </c>
      <c r="C33" s="6" t="inlineStr">
        <is>
          <t>N.° de polígonos MSAVI del bloque</t>
        </is>
      </c>
      <c r="D33" s="40" t="n">
        <v>120</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e Ing. Pedro Talledo</t>
        </is>
      </c>
      <c r="C44" s="6" t="inlineStr">
        <is>
          <t>Fecha de evaluación</t>
        </is>
      </c>
      <c r="D44" s="7" t="inlineStr">
        <is>
          <t>2026-08-03</t>
        </is>
      </c>
      <c r="E44" s="8" t="n"/>
      <c r="F44" s="8" t="n"/>
    </row>
    <row r="45">
      <c r="A45" s="6" t="inlineStr">
        <is>
          <t>Hora de registro</t>
        </is>
      </c>
      <c r="B45" s="7" t="inlineStr">
        <is>
          <t>Por registrar</t>
        </is>
      </c>
      <c r="C45" s="6" t="inlineStr">
        <is>
          <t>Correlativo de ficha</t>
        </is>
      </c>
      <c r="D45" s="7" t="inlineStr">
        <is>
          <t>F-DT-01-28</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33.2785</v>
      </c>
      <c r="C10" s="31">
        <f>ROUND(B10/$B$15*100,2)</f>
        <v>62.83</v>
      </c>
      <c r="D10" s="12" t="inlineStr">
        <is>
          <t>Vigor alto</t>
        </is>
      </c>
      <c r="E10" s="12" t="inlineStr">
        <is>
          <t>Sobre umbral</t>
        </is>
      </c>
    </row>
    <row r="11">
      <c r="A11" s="13" t="inlineStr">
        <is>
          <t>0.4976 - 0.6139 · DN 4</t>
        </is>
      </c>
      <c r="B11" s="20" t="n">
        <v>19.1924</v>
      </c>
      <c r="C11" s="21">
        <f>ROUND(B11/$B$15*100,2)</f>
        <v>36.24</v>
      </c>
      <c r="D11" s="14" t="inlineStr">
        <is>
          <t>Vigor moderado</t>
        </is>
      </c>
      <c r="E11" s="14" t="inlineStr">
        <is>
          <t>Sobre umbral</t>
        </is>
      </c>
    </row>
    <row r="12">
      <c r="A12" s="7" t="inlineStr">
        <is>
          <t>0.3813 - 0.4976 · DN 3</t>
        </is>
      </c>
      <c r="B12" s="18" t="n">
        <v>0.4949</v>
      </c>
      <c r="C12" s="19">
        <f>ROUND(B12/$B$15*100,2)</f>
        <v>0.93</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52.9658</v>
      </c>
      <c r="C15" s="45">
        <f>SUM(C10:C14)</f>
        <v>100.0</v>
      </c>
      <c r="D15" s="43" t="inlineStr">
        <is>
          <t>Suma de la distribución areal · 120 polígonos</t>
        </is>
      </c>
      <c r="E15" s="43" t="inlineStr">
        <is>
          <t>—</t>
        </is>
      </c>
    </row>
    <row r="16" ht="30" customHeight="1">
      <c r="A16" s="46" t="inlineStr">
        <is>
          <t>Superficie SOBRE umbral 0.4976 (ha)</t>
        </is>
      </c>
      <c r="B16" s="47">
        <f>SUM(B10:B11)</f>
        <v>52.4709</v>
      </c>
      <c r="C16" s="48">
        <f>ROUND(B16/B15*100,2)</f>
        <v>99.07</v>
      </c>
      <c r="D16" s="46" t="inlineStr">
        <is>
          <t>Vigor alto y moderado (DN 4 y DN 5)</t>
        </is>
      </c>
      <c r="E16" s="46" t="inlineStr">
        <is>
          <t>Sobre umbral 0.4976</t>
        </is>
      </c>
    </row>
    <row r="17" ht="30" customHeight="1">
      <c r="A17" s="46" t="inlineStr">
        <is>
          <t>Superficie BAJO umbral 0.4976 (ha) — brecha</t>
        </is>
      </c>
      <c r="B17" s="47">
        <f>SUM(B12:B14)</f>
        <v>0.4949</v>
      </c>
      <c r="C17" s="48">
        <f>ROUND(B17/B15*100,2)</f>
        <v>0.93</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52.97</v>
      </c>
      <c r="C18" s="49" t="inlineStr">
        <is>
          <t>—</t>
        </is>
      </c>
      <c r="D18" s="46" t="inlineStr">
        <is>
          <t>Desviación planimétrica frente al catálogo</t>
        </is>
      </c>
      <c r="E18" s="46" t="inlineStr">
        <is>
          <t>-0.01 %</t>
        </is>
      </c>
    </row>
    <row r="19">
      <c r="A19" s="16" t="inlineStr">
        <is>
          <t>MSAVI 2024 — MEDIA DEL BLOQUE</t>
        </is>
      </c>
      <c r="B19" s="17" t="n">
        <v>0.639425</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(0.6394)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51.1954</v>
      </c>
      <c r="C25" s="19" t="n">
        <v>96.64</v>
      </c>
      <c r="D25" s="15" t="inlineStr">
        <is>
          <t>Dosel continuo, matorral denso o mosaico agroforestal</t>
        </is>
      </c>
      <c r="E25" s="15" t="inlineStr"/>
    </row>
    <row r="26">
      <c r="A26" s="13" t="inlineStr">
        <is>
          <t>Vegetación mediana</t>
        </is>
      </c>
      <c r="B26" s="20" t="n">
        <v>1.7815</v>
      </c>
      <c r="C26" s="21" t="n">
        <v>3.36</v>
      </c>
      <c r="D26" s="14" t="inlineStr">
        <is>
          <t>Pastizal cultivado, matorral ralo, parcelas agrícolas</t>
        </is>
      </c>
      <c r="E26" s="14" t="inlineStr"/>
    </row>
    <row r="27">
      <c r="A27" s="16" t="inlineStr">
        <is>
          <t>TOTAL CLASIFICADO</t>
        </is>
      </c>
      <c r="B27" s="22">
        <f>SUM(B25:B26)</f>
        <v>52.9769</v>
      </c>
      <c r="C27" s="23">
        <f>SUM(C25:C26)</f>
        <v>100.0</v>
      </c>
      <c r="D27" s="17" t="inlineStr"/>
      <c r="E27" s="17" t="inlineStr"/>
    </row>
    <row r="28">
      <c r="A28" s="24" t="inlineStr">
        <is>
          <t>Superficie de catálogo (V5/V6)</t>
        </is>
      </c>
      <c r="B28" s="25" t="n">
        <v>52.97</v>
      </c>
      <c r="C28" s="25" t="inlineStr">
        <is>
          <t>—</t>
        </is>
      </c>
      <c r="D28" s="25" t="inlineStr">
        <is>
          <t>Desviación planimétrica frente al catálogo</t>
        </is>
      </c>
      <c r="E28" s="25" t="inlineStr">
        <is>
          <t>+0.01 %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28</t>
        </is>
      </c>
    </row>
    <row r="6" ht="24" customHeight="1">
      <c r="A6" s="4" t="inlineStr">
        <is>
          <t>Levantamiento del 2026-08-03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654188</v>
      </c>
      <c r="D10" s="26" t="n">
        <v>9422849</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3"/>
    <row r="14">
      <c r="A14" s="6" t="inlineStr">
        <is>
          <t>Centroide del bloque — UTM ESTE (m)</t>
        </is>
      </c>
      <c r="B14" s="7" t="n">
        <v>654188</v>
      </c>
      <c r="C14" s="6" t="inlineStr">
        <is>
          <t>Centroide del bloque — UTM NORTE (m)</t>
        </is>
      </c>
      <c r="D14" s="7" t="n">
        <v>9422849</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6"/>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1550 msnm. Rango altitudinal según MDE: 1462-1856 msnm (amplitud 394 m); pendiente promedio 30.36%. Acceso: vía afirmada Los Ranchos – Abalque, margen izquierda de una quebrada s/n.</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28</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1" t="inlineStr">
        <is>
          <t>► 28</t>
        </is>
      </c>
      <c r="B13" s="30" t="n">
        <v>52.97</v>
      </c>
      <c r="C13" s="31" t="n">
        <v>9.59</v>
      </c>
      <c r="D13" s="12" t="inlineStr">
        <is>
          <t>1462 – 1856</t>
        </is>
      </c>
      <c r="E13" s="12" t="n">
        <v>394</v>
      </c>
      <c r="F13" s="12" t="n">
        <v>30.36</v>
      </c>
      <c r="G13" s="32" t="n">
        <v>0.6394</v>
      </c>
      <c r="H13" s="31" t="n">
        <v>96.64</v>
      </c>
      <c r="I13" s="3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552.18</v>
      </c>
      <c r="C20" s="23">
        <f>SUM(C10:C19)</f>
        <v>99.98</v>
      </c>
      <c r="D20" s="17" t="inlineStr">
        <is>
          <t>1171 – 2651</t>
        </is>
      </c>
      <c r="E20" s="17" t="inlineStr"/>
      <c r="F20" s="17">
        <f>ROUND(AVERAGE(F10:F19),2)</f>
        <v>29.09</v>
      </c>
      <c r="G20" s="22">
        <f>ROUND(AVERAGE(G10:G19),4)</f>
        <v>0.6292</v>
      </c>
      <c r="H20" s="23">
        <f>ROUND(AVERAGE(H10:H19),2)</f>
        <v>93.19</v>
      </c>
      <c r="I20" s="23">
        <f>ROUND(AVERAGE(I10:I19),2)</f>
        <v>9.85</v>
      </c>
    </row>
    <row r="21"/>
    <row r="22" ht="84" customHeight="1">
      <c r="A22" s="9" t="inlineStr">
        <is>
          <t>LECTURA INTRAMICROCUENCA. El bloque 28 ocupa el puesto 4 de 10 por superficie dentro de la microcuenca C1081-Q9591 (9.59 % de las 552.18 ha preliminares de la microcuenca). Su pendiente promedio (30.36 %, clase «25-50% (Mod. escarpado)») es la 5.ª más baja de 10 y se sitúa por encima del promedio de la microcuenca (29.09 %). Su MSAVI 2024 (0.6394) es el 7.º de 10 y queda por encima del promedio local (0.6292). Amplitud altitudinal del bloque: 394 m (1462–1856 msnm). El cuadro conserva todos los bloques catalogados en la microcuenca, incluidos los descartados en el tamizaje, para referencia del conjunto. Los bloques sin ficha DT figuran con sus parámetros de gabinete. BRECHA ESPECTRAL. El 0.93 % de la superficie del bloque (0.495 ha de 52.966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(52.977 ha) coincide con la de catálogo (52.97 ha) dentro del ±2 % (+0.01 %)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10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«Abalque»; el cruce INEI-Bloques V5 identifica 1 centro(s) poblado(s) en el bloque: ABALQUE</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(120 polígonos, 52.966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(52.966 ha) frente a la de catálogo V5/V6 (52.970 ha): desviación de -0.01 %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(0.6394) cae en la clase «DN 5 · &gt; 0.6139 (Vigor alto)»; la clase de mayor superficie es «DN 5 · &gt; 0.6139 (Vigor alto)», con 62.83 % del bloque. Superficie bajo el umbral 0.4976: 0.495 ha (0.93 %)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6 · CORREGIDO: 1 · SUSTANTIVA: 2</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28 — IN Piura</dc:title>
  <dc:subject>Diagnóstico Territorial por bloque de intervención</dc:subject>
  <dcterms:created xsi:type="dcterms:W3CDTF">2026-09-08T03:39:55Z</dcterms:created>
  <dcterms:modified xsi:type="dcterms:W3CDTF">2026-09-10T00:28:27Z</dcterms:modified>
</cp:coreProperties>
</file>