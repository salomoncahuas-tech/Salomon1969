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28</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28</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Abalque</t>
        </is>
      </c>
      <c r="C13" s="6" t="inlineStr">
        <is>
          <t>Comunidad campesina</t>
        </is>
      </c>
      <c r="D13" s="7" t="inlineStr">
        <is>
          <t>Por verificar</t>
        </is>
      </c>
      <c r="E13" s="8" t="n"/>
      <c r="F13" s="8" t="n"/>
    </row>
    <row r="14">
      <c r="A14" s="6" t="inlineStr">
        <is>
          <t>Superficie de catálogo (V5/V6), ha</t>
        </is>
      </c>
      <c r="B14" s="7" t="n">
        <v>52.97</v>
      </c>
      <c r="C14" s="6" t="inlineStr">
        <is>
          <t>Fuente de superficie</t>
        </is>
      </c>
      <c r="D14" s="7" t="inlineStr">
        <is>
          <t>Catálogo maestro Bloques V5/V6</t>
        </is>
      </c>
      <c r="E14" s="8" t="n"/>
      <c r="F14" s="8" t="n"/>
    </row>
    <row r="15">
      <c r="A15" s="6" t="inlineStr">
        <is>
          <t>Centroide UTM ESTE (m)</t>
        </is>
      </c>
      <c r="B15" s="7" t="n">
        <v>654188</v>
      </c>
      <c r="C15" s="6" t="inlineStr">
        <is>
          <t>Centroide UTM NORTE (m)</t>
        </is>
      </c>
      <c r="D15" s="7" t="n">
        <v>9422849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1462</v>
      </c>
      <c r="C19" s="6" t="inlineStr">
        <is>
          <t>Altitud máxima (msnm)</t>
        </is>
      </c>
      <c r="D19" s="7" t="n">
        <v>1856</v>
      </c>
      <c r="E19" s="8" t="n"/>
      <c r="F19" s="8" t="n"/>
    </row>
    <row r="20">
      <c r="A20" s="6" t="inlineStr">
        <is>
          <t>Amplitud altitudinal (m)</t>
        </is>
      </c>
      <c r="B20" s="7" t="n">
        <v>394</v>
      </c>
      <c r="C20" s="6" t="inlineStr">
        <is>
          <t>Piso altitudinal dominante</t>
        </is>
      </c>
      <c r="D20" s="7" t="inlineStr">
        <is>
          <t>1500-2000 m (Quechua media)</t>
        </is>
      </c>
      <c r="E20" s="8" t="n"/>
      <c r="F20" s="8" t="n"/>
    </row>
    <row r="21">
      <c r="A21" s="6" t="inlineStr">
        <is>
          <t>Pendiente promedio (%)</t>
        </is>
      </c>
      <c r="B21" s="7" t="n">
        <v>30.36</v>
      </c>
      <c r="C21" s="6" t="inlineStr">
        <is>
          <t>Pendiente promedio (grados)</t>
        </is>
      </c>
      <c r="D21" s="7" t="n">
        <v>16.9</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0.6394</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(96.64 %)</t>
        </is>
      </c>
      <c r="E29" s="8" t="n"/>
      <c r="F29" s="8" t="n"/>
    </row>
    <row r="30">
      <c r="A30" s="6" t="inlineStr">
        <is>
          <t>Superficie clasificada NDVI 2025 (ha)</t>
        </is>
      </c>
      <c r="B30" s="7" t="n">
        <v>52.977</v>
      </c>
      <c r="C30" s="6" t="inlineStr">
        <is>
          <t>Desviación frente al catálogo (%)</t>
        </is>
      </c>
      <c r="D30" s="7" t="n">
        <v>0.01</v>
      </c>
      <c r="E30" s="8" t="n"/>
      <c r="F30" s="8" t="n"/>
    </row>
    <row r="31">
      <c r="A31" s="6" t="inlineStr">
        <is>
          <t>Superficie clasificada MSAVI 2024 (ha)</t>
        </is>
      </c>
      <c r="B31" s="38" t="n">
        <v>52.966</v>
      </c>
      <c r="C31" s="6" t="inlineStr">
        <is>
          <t>Desviación MSAVI frente al catálogo (%)</t>
        </is>
      </c>
      <c r="D31" s="39" t="n">
        <v>-0.01</v>
      </c>
      <c r="E31" s="8" t="n"/>
      <c r="F31" s="8" t="n"/>
    </row>
    <row r="32">
      <c r="A32" s="6" t="inlineStr">
        <is>
          <t>Superficie bajo umbral MSAVI 0.4976 (ha)</t>
        </is>
      </c>
      <c r="B32" s="38" t="n">
        <v>0.495</v>
      </c>
      <c r="C32" s="6" t="inlineStr">
        <is>
          <t>% del bloque bajo umbral (brecha espectral)</t>
        </is>
      </c>
      <c r="D32" s="39" t="n">
        <v>0.93</v>
      </c>
      <c r="E32" s="8" t="n"/>
      <c r="F32" s="8" t="n"/>
    </row>
    <row r="33">
      <c r="A33" s="6" t="inlineStr">
        <is>
          <t>Clase DN dominante (MSAVI 2024)</t>
        </is>
      </c>
      <c r="B33" s="7" t="inlineStr">
        <is>
          <t>DN 5 · &gt; 0.6139 (Vigor alto)</t>
        </is>
      </c>
      <c r="C33" s="6" t="inlineStr">
        <is>
          <t>N.° de polígonos MSAVI del bloque</t>
        </is>
      </c>
      <c r="D33" s="40" t="n">
        <v>120</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Por determinar</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 e Ing. Pedro Talledo</t>
        </is>
      </c>
      <c r="C44" s="6" t="inlineStr">
        <is>
          <t>Fecha de evaluación</t>
        </is>
      </c>
      <c r="D44" s="7" t="inlineStr">
        <is>
          <t>2026-08-03</t>
        </is>
      </c>
      <c r="E44" s="8" t="n"/>
      <c r="F44" s="8" t="n"/>
    </row>
    <row r="45">
      <c r="A45" s="6" t="inlineStr">
        <is>
          <t>Hora de registro</t>
        </is>
      </c>
      <c r="B45" s="7" t="inlineStr">
        <is>
          <t>Por registrar</t>
        </is>
      </c>
      <c r="C45" s="6" t="inlineStr">
        <is>
          <t>Correlativo de ficha</t>
        </is>
      </c>
      <c r="D45" s="7" t="inlineStr">
        <is>
          <t>F-DT-01-28</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Por determinar</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de laderas de fuerte pendiente sin prácticas de conservación de suelos, favorecida por la accesibilidad vial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28</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33.2785</v>
      </c>
      <c r="C10" s="31">
        <f>ROUND(B10/$B$15*100,2)</f>
        <v/>
      </c>
      <c r="D10" s="12" t="inlineStr">
        <is>
          <t>Vigor alto</t>
        </is>
      </c>
      <c r="E10" s="12" t="inlineStr">
        <is>
          <t>Sobre umbral</t>
        </is>
      </c>
    </row>
    <row r="11">
      <c r="A11" s="13" t="inlineStr">
        <is>
          <t>0.4976 - 0.6139 · DN 4</t>
        </is>
      </c>
      <c r="B11" s="20" t="n">
        <v>19.1924</v>
      </c>
      <c r="C11" s="21">
        <f>ROUND(B11/$B$15*100,2)</f>
        <v/>
      </c>
      <c r="D11" s="14" t="inlineStr">
        <is>
          <t>Vigor moderado</t>
        </is>
      </c>
      <c r="E11" s="14" t="inlineStr">
        <is>
          <t>Sobre umbral</t>
        </is>
      </c>
    </row>
    <row r="12">
      <c r="A12" s="7" t="inlineStr">
        <is>
          <t>0.3813 - 0.4976 · DN 3</t>
        </is>
      </c>
      <c r="B12" s="18" t="n">
        <v>0.4949</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120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52.97</v>
      </c>
      <c r="C18" s="49" t="inlineStr">
        <is>
          <t>—</t>
        </is>
      </c>
      <c r="D18" s="46" t="inlineStr">
        <is>
          <t>Desviación planimétrica frente al catálogo</t>
        </is>
      </c>
      <c r="E18" s="46" t="inlineStr">
        <is>
          <t>-0.01 %</t>
        </is>
      </c>
    </row>
    <row r="19">
      <c r="A19" s="16" t="inlineStr">
        <is>
          <t>MSAVI 2024 — MEDIA DEL BLOQUE</t>
        </is>
      </c>
      <c r="B19" s="17" t="n">
        <v>0.639425</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120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(0.6394)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51.1954</v>
      </c>
      <c r="C25" s="19" t="n">
        <v>96.64</v>
      </c>
      <c r="D25" s="15" t="inlineStr">
        <is>
          <t>Dosel continuo, matorral denso o mosaico agroforestal</t>
        </is>
      </c>
      <c r="E25" s="15" t="inlineStr"/>
    </row>
    <row r="26">
      <c r="A26" s="13" t="inlineStr">
        <is>
          <t>Vegetación mediana</t>
        </is>
      </c>
      <c r="B26" s="20" t="n">
        <v>1.7815</v>
      </c>
      <c r="C26" s="21" t="n">
        <v>3.36</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52.97</v>
      </c>
      <c r="C28" s="25" t="inlineStr">
        <is>
          <t>—</t>
        </is>
      </c>
      <c r="D28" s="25" t="inlineStr">
        <is>
          <t>Desviación planimétrica frente al catálogo</t>
        </is>
      </c>
      <c r="E28" s="25" t="inlineStr">
        <is>
          <t>+0.01 %</t>
        </is>
      </c>
    </row>
    <row r="29"/>
    <row r="30" ht="72"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28</t>
        </is>
      </c>
    </row>
    <row r="6" ht="24" customHeight="1">
      <c r="A6" s="4" t="inlineStr">
        <is>
          <t>Levantamiento del 2026-08-03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654188</v>
      </c>
      <c r="D10" s="26" t="n">
        <v>9422849</v>
      </c>
      <c r="E10" s="15" t="n">
        <v>0</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Estacional</t>
        </is>
      </c>
      <c r="G11" s="14" t="inlineStr">
        <is>
          <t>Quebrada s/n colindante</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654188</v>
      </c>
      <c r="C14" s="6" t="inlineStr">
        <is>
          <t>Centroide del bloque — UTM NORTE (m)</t>
        </is>
      </c>
      <c r="D14" s="7" t="n">
        <v>9422849</v>
      </c>
      <c r="E14" s="8" t="n"/>
      <c r="F14" s="8" t="n"/>
      <c r="G14" s="8" t="n"/>
      <c r="H14" s="8" t="n"/>
    </row>
    <row r="15">
      <c r="A15" s="6" t="inlineStr">
        <is>
          <t>N.° de estaciones fotográficas declaradas</t>
        </is>
      </c>
      <c r="B15" s="7" t="inlineStr">
        <is>
          <t>Sin registro en la ficha DT</t>
        </is>
      </c>
      <c r="C15" s="6" t="inlineStr">
        <is>
          <t>Estaciones dentro del polígono</t>
        </is>
      </c>
      <c r="D15" s="7" t="inlineStr">
        <is>
          <t>Por determinar</t>
        </is>
      </c>
      <c r="E15" s="8" t="n"/>
      <c r="F15" s="8" t="n"/>
      <c r="G15" s="8" t="n"/>
      <c r="H15" s="8" t="n"/>
    </row>
    <row r="17" ht="10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Altitud GPS de campo 1550 msnm. Rango altitudinal según MDE: 1462-1856 msnm (amplitud 394 m); pendiente promedio 30.36%. Acceso: vía afirmada Los Ranchos – Abalque, margen izquierda de una quebrada s/n.</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28</t>
        </is>
      </c>
    </row>
    <row r="6" ht="24" customHeight="1">
      <c r="A6" s="4" t="inlineStr">
        <is>
          <t>Distrito de Canchaque · Provincia de Huancabamba · Comparación de los bloques preliminares de intervención de la misma microcuenca</t>
        </is>
      </c>
    </row>
    <row r="7"/>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5" t="inlineStr">
        <is>
          <t>1171 – 1769</t>
        </is>
      </c>
      <c r="E10" s="15" t="n">
        <v>598</v>
      </c>
      <c r="F10" s="15" t="n">
        <v>31.55</v>
      </c>
      <c r="G10" s="18" t="n">
        <v>0.6403</v>
      </c>
      <c r="H10" s="19" t="n">
        <v>94.08</v>
      </c>
      <c r="I10" s="19" t="n">
        <v>8.84</v>
      </c>
    </row>
    <row r="11">
      <c r="A11" s="13" t="inlineStr">
        <is>
          <t>M30B5</t>
        </is>
      </c>
      <c r="B11" s="29" t="n">
        <v>90.90000000000001</v>
      </c>
      <c r="C11" s="21" t="n">
        <v>16.46</v>
      </c>
      <c r="D11" s="14" t="inlineStr">
        <is>
          <t>1782 – 2307</t>
        </is>
      </c>
      <c r="E11" s="14" t="n">
        <v>525</v>
      </c>
      <c r="F11" s="14" t="n">
        <v>21.23</v>
      </c>
      <c r="G11" s="20" t="n">
        <v>0.5564</v>
      </c>
      <c r="H11" s="21" t="n">
        <v>79.45999999999999</v>
      </c>
      <c r="I11" s="21" t="n">
        <v>33.03</v>
      </c>
    </row>
    <row r="12">
      <c r="A12" s="7" t="inlineStr">
        <is>
          <t>21</t>
        </is>
      </c>
      <c r="B12" s="28" t="n">
        <v>84.23</v>
      </c>
      <c r="C12" s="19" t="n">
        <v>15.25</v>
      </c>
      <c r="D12" s="15" t="inlineStr">
        <is>
          <t>1353 – 2004</t>
        </is>
      </c>
      <c r="E12" s="15" t="n">
        <v>651</v>
      </c>
      <c r="F12" s="15" t="n">
        <v>31.71</v>
      </c>
      <c r="G12" s="18" t="n">
        <v>0.6201</v>
      </c>
      <c r="H12" s="19" t="n">
        <v>89.39</v>
      </c>
      <c r="I12" s="19" t="n">
        <v>5.17</v>
      </c>
    </row>
    <row r="13">
      <c r="A13" s="11" t="inlineStr">
        <is>
          <t>► 28</t>
        </is>
      </c>
      <c r="B13" s="30" t="n">
        <v>52.97</v>
      </c>
      <c r="C13" s="31" t="n">
        <v>9.59</v>
      </c>
      <c r="D13" s="12" t="inlineStr">
        <is>
          <t>1462 – 1856</t>
        </is>
      </c>
      <c r="E13" s="12" t="n">
        <v>394</v>
      </c>
      <c r="F13" s="12" t="n">
        <v>30.36</v>
      </c>
      <c r="G13" s="32" t="n">
        <v>0.6394</v>
      </c>
      <c r="H13" s="31" t="n">
        <v>96.64</v>
      </c>
      <c r="I13" s="31" t="n">
        <v>0.93</v>
      </c>
    </row>
    <row r="14">
      <c r="A14" s="7" t="inlineStr">
        <is>
          <t>26</t>
        </is>
      </c>
      <c r="B14" s="28" t="n">
        <v>46.96</v>
      </c>
      <c r="C14" s="19" t="n">
        <v>8.5</v>
      </c>
      <c r="D14" s="15" t="inlineStr">
        <is>
          <t>1260 – 1855</t>
        </is>
      </c>
      <c r="E14" s="15" t="n">
        <v>595</v>
      </c>
      <c r="F14" s="15" t="n">
        <v>32.26</v>
      </c>
      <c r="G14" s="18" t="n">
        <v>0.6733</v>
      </c>
      <c r="H14" s="19" t="n">
        <v>97.29000000000001</v>
      </c>
      <c r="I14" s="19" t="n">
        <v>2.35</v>
      </c>
    </row>
    <row r="15">
      <c r="A15" s="13" t="inlineStr">
        <is>
          <t>60</t>
        </is>
      </c>
      <c r="B15" s="29" t="n">
        <v>40.13</v>
      </c>
      <c r="C15" s="21" t="n">
        <v>7.27</v>
      </c>
      <c r="D15" s="14" t="inlineStr">
        <is>
          <t>1638 – 2073</t>
        </is>
      </c>
      <c r="E15" s="14" t="n">
        <v>435</v>
      </c>
      <c r="F15" s="14" t="n">
        <v>32.67</v>
      </c>
      <c r="G15" s="20" t="n">
        <v>0.6745</v>
      </c>
      <c r="H15" s="21" t="n">
        <v>99.90000000000001</v>
      </c>
      <c r="I15" s="21" t="n">
        <v>0.61</v>
      </c>
    </row>
    <row r="16">
      <c r="A16" s="7" t="inlineStr">
        <is>
          <t>64</t>
        </is>
      </c>
      <c r="B16" s="28" t="n">
        <v>35.77</v>
      </c>
      <c r="C16" s="19" t="n">
        <v>6.48</v>
      </c>
      <c r="D16" s="15" t="inlineStr">
        <is>
          <t>2412 – 2651</t>
        </is>
      </c>
      <c r="E16" s="15" t="n">
        <v>239</v>
      </c>
      <c r="F16" s="15" t="n">
        <v>28.18</v>
      </c>
      <c r="G16" s="18" t="n">
        <v>0.5254</v>
      </c>
      <c r="H16" s="19" t="n">
        <v>78.22</v>
      </c>
      <c r="I16" s="19" t="n">
        <v>41.48</v>
      </c>
    </row>
    <row r="17">
      <c r="A17" s="13" t="inlineStr">
        <is>
          <t>37</t>
        </is>
      </c>
      <c r="B17" s="29" t="n">
        <v>35.49</v>
      </c>
      <c r="C17" s="21" t="n">
        <v>6.43</v>
      </c>
      <c r="D17" s="14" t="inlineStr">
        <is>
          <t>1184 – 1455</t>
        </is>
      </c>
      <c r="E17" s="14" t="n">
        <v>271</v>
      </c>
      <c r="F17" s="14" t="n">
        <v>23.59</v>
      </c>
      <c r="G17" s="20" t="n">
        <v>0.6588000000000001</v>
      </c>
      <c r="H17" s="21" t="n">
        <v>98.02</v>
      </c>
      <c r="I17" s="21" t="n">
        <v>1.92</v>
      </c>
    </row>
    <row r="18">
      <c r="A18" s="7" t="inlineStr">
        <is>
          <t>30</t>
        </is>
      </c>
      <c r="B18" s="28" t="n">
        <v>34.87</v>
      </c>
      <c r="C18" s="19" t="n">
        <v>6.31</v>
      </c>
      <c r="D18" s="15" t="inlineStr">
        <is>
          <t>1216 – 1541</t>
        </is>
      </c>
      <c r="E18" s="15" t="n">
        <v>325</v>
      </c>
      <c r="F18" s="15" t="n">
        <v>27.91</v>
      </c>
      <c r="G18" s="18" t="n">
        <v>0.6637999999999999</v>
      </c>
      <c r="H18" s="19" t="n">
        <v>99.38</v>
      </c>
      <c r="I18" s="19" t="n">
        <v>1.31</v>
      </c>
    </row>
    <row r="19">
      <c r="A19" s="13" t="inlineStr">
        <is>
          <t>40</t>
        </is>
      </c>
      <c r="B19" s="29" t="n">
        <v>28.52</v>
      </c>
      <c r="C19" s="21" t="n">
        <v>5.16</v>
      </c>
      <c r="D19" s="14" t="inlineStr">
        <is>
          <t>1407 – 1656</t>
        </is>
      </c>
      <c r="E19" s="14" t="n">
        <v>249</v>
      </c>
      <c r="F19" s="14" t="n">
        <v>31.4</v>
      </c>
      <c r="G19" s="20" t="n">
        <v>0.6401</v>
      </c>
      <c r="H19" s="21" t="n">
        <v>99.55</v>
      </c>
      <c r="I19" s="21" t="n">
        <v>2.9</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c r="I20" s="23">
        <f>ROUND(AVERAGE(I10:I19),2)</f>
        <v/>
      </c>
    </row>
    <row r="21"/>
    <row r="22" ht="84" customHeight="1">
      <c r="A22" s="9" t="inlineStr">
        <is>
          <t>LECTURA INTRAMICROCUENCA. El bloque 28 ocupa el puesto 4 de 10 por superficie dentro de la microcuenca C1081-Q9591 (9.59 % de las 552.18 ha preliminares de la microcuenca). Su pendiente promedio (30.36 %, clase «25-50% (Mod. escarpado)») es la 5.ª más baja de 10 y se sitúa por encima del promedio de la microcuenca (29.09 %). Su MSAVI 2024 (0.6394) es el 7.º de 10 y queda por encima del promedio local (0.6292). Amplitud altitudinal del bloque: 394 m (1462–1856 msnm). El cuadro conserva todos los bloques catalogados en la microcuenca, incluidos los descartados en el tamizaje, para referencia del conjunto. Los bloques sin ficha DT figuran con sus parámetros de gabinete. BRECHA ESPECTRAL. El 0.93 % de la superficie del bloque (0.495 ha de 52.966 ha) se sitúa bajo el umbral MSAVI 0.4976, por debajo del promedio local de la microcuenca (9.85 %)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9">
    <mergeCell ref="A1:I1"/>
    <mergeCell ref="A4:I4"/>
    <mergeCell ref="A3:I3"/>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28</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(52.977 ha) coincide con la de catálogo (52.97 ha) dentro del ±2 % (+0.01 %)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10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Centro poblado asociado</t>
        </is>
      </c>
      <c r="C14" s="34" t="inlineStr">
        <is>
          <t>La ficha DT declara «Abalque»; el cruce INEI-Bloques V5 identifica 1 centro(s) poblado(s) en el bloque: ABALQUE</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ht="48" customHeight="1">
      <c r="A16" s="36" t="inlineStr">
        <is>
          <t>D-07</t>
        </is>
      </c>
      <c r="B16" s="36" t="inlineStr">
        <is>
          <t>Distribución areal MSAVI 2024</t>
        </is>
      </c>
      <c r="C16" s="36" t="inlineStr">
        <is>
          <t>La distribución por clase de MSAVI no figuraba en los insumos del entregable y se consignaba «Por determinar»; se incorpora la estadística zonal del ráster MSAVI clasificado (120 polígonos, 52.966 ha)</t>
        </is>
      </c>
      <c r="D16" s="37" t="inlineStr">
        <is>
          <t>CORREGIDO</t>
        </is>
      </c>
      <c r="E1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7" ht="48" customHeight="1">
      <c r="A17" s="36" t="inlineStr">
        <is>
          <t>D-08</t>
        </is>
      </c>
      <c r="B17" s="36" t="inlineStr">
        <is>
          <t>Superficie MSAVI vs. catálogo</t>
        </is>
      </c>
      <c r="C17" s="36" t="inlineStr">
        <is>
          <t>La superficie total clasificada por el MSAVI 2024 (52.966 ha) frente a la de catálogo V5/V6 (52.970 ha): desviación de -0.01 %</t>
        </is>
      </c>
      <c r="D17" s="37" t="inlineStr">
        <is>
          <t>CONFORME</t>
        </is>
      </c>
      <c r="E17" s="36" t="inlineStr">
        <is>
          <t>Sin acción: la segmentación del ráster valida la geometría del bloque dentro del ±2 %.</t>
        </is>
      </c>
    </row>
    <row r="18" ht="48" customHeight="1">
      <c r="A18" s="36" t="inlineStr">
        <is>
          <t>D-09</t>
        </is>
      </c>
      <c r="B18" s="36" t="inlineStr">
        <is>
          <t>Media MSAVI vs. clase DN dominante</t>
        </is>
      </c>
      <c r="C18" s="36" t="inlineStr">
        <is>
          <t>La media del bloque (0.6394) cae en la clase «DN 5 · &gt; 0.6139 (Vigor alto)»; la clase de mayor superficie es «DN 5 · &gt; 0.6139 (Vigor alto)», con 62.83 % del bloque. Superficie bajo el umbral 0.4976: 0.495 ha (0.93 %)</t>
        </is>
      </c>
      <c r="D18" s="37" t="inlineStr">
        <is>
          <t>CONFORME</t>
        </is>
      </c>
      <c r="E18" s="36" t="inlineStr">
        <is>
          <t>Sin acción: la media del bloque y la clase de mayor superficie coinciden.</t>
        </is>
      </c>
    </row>
    <row r="19"/>
    <row r="20">
      <c r="A20" s="16" t="inlineStr">
        <is>
          <t>RESUMEN</t>
        </is>
      </c>
      <c r="B20" s="17" t="inlineStr">
        <is>
          <t>9 verificaciones</t>
        </is>
      </c>
      <c r="C20" s="17" t="inlineStr">
        <is>
          <t>CONFORME: 6 · CORREGIDO: 1 · SUSTANTIVA: 2</t>
        </is>
      </c>
      <c r="D20" s="17" t="inlineStr"/>
      <c r="E20" s="17" t="inlineStr"/>
    </row>
    <row r="21"/>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41" t="n"/>
      <c r="C22" s="41" t="n"/>
      <c r="D22" s="41" t="n"/>
      <c r="E22" s="42"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28 — IN Piura</dc:title>
  <dc:subject>Diagnóstico Territorial por bloque de intervención</dc:subject>
  <dcterms:created xsi:type="dcterms:W3CDTF">2026-09-08T03:39:55Z</dcterms:created>
  <dcterms:modified xsi:type="dcterms:W3CDTF">2026-09-09T23:30:51Z</dcterms:modified>
</cp:coreProperties>
</file>