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57</t>
        </is>
      </c>
      <c r="C9" s="6" t="inlineStr">
        <is>
          <t>Microcuenca (catálogo)</t>
        </is>
      </c>
      <c r="D9" s="7" t="inlineStr">
        <is>
          <t>C1086-Q9576</t>
        </is>
      </c>
      <c r="E9" s="8" t="n"/>
      <c r="F9" s="8" t="n"/>
    </row>
    <row r="10">
      <c r="A10" s="6" t="inlineStr">
        <is>
          <t>Zona de planificación</t>
        </is>
      </c>
      <c r="B10" s="7" t="inlineStr">
        <is>
          <t>Z04</t>
        </is>
      </c>
      <c r="C10" s="6" t="inlineStr">
        <is>
          <t>Microcuenca declarada en ficha DT</t>
        </is>
      </c>
      <c r="D10" s="7" t="inlineStr">
        <is>
          <t>C1086-Q9576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Chalaco</t>
        </is>
      </c>
      <c r="C12" s="6" t="inlineStr">
        <is>
          <t>Capital distrital</t>
        </is>
      </c>
      <c r="D12" s="7" t="inlineStr">
        <is>
          <t>Chalaco</t>
        </is>
      </c>
      <c r="E12" s="8" t="n"/>
      <c r="F12" s="8" t="n"/>
    </row>
    <row r="13">
      <c r="A13" s="6" t="inlineStr">
        <is>
          <t>Centro poblado asociado</t>
        </is>
      </c>
      <c r="B13" s="7" t="inlineStr">
        <is>
          <t>Taspa (631 621 E · 9 440 841 N; 250 hab.) / San Lorenzo (126 hab.) — ref. Los Lúcumos</t>
        </is>
      </c>
      <c r="C13" s="6" t="inlineStr">
        <is>
          <t>Comunidad campesina</t>
        </is>
      </c>
      <c r="D13" s="7" t="inlineStr">
        <is>
          <t>Comunidad Campesina Chalaco - Trigopampa (según F-DS-03)</t>
        </is>
      </c>
      <c r="E13" s="8" t="n"/>
      <c r="F13" s="8" t="n"/>
    </row>
    <row r="14">
      <c r="A14" s="6" t="inlineStr">
        <is>
          <t>Superficie de catálogo (V5/V6), ha</t>
        </is>
      </c>
      <c r="B14" s="7" t="n">
        <v>25.67</v>
      </c>
      <c r="C14" s="6" t="inlineStr">
        <is>
          <t>Fuente de superficie</t>
        </is>
      </c>
      <c r="D14" s="7" t="inlineStr">
        <is>
          <t>Catálogo maestro Bloques V5/V6</t>
        </is>
      </c>
      <c r="E14" s="8" t="n"/>
      <c r="F14" s="8" t="n"/>
    </row>
    <row r="15">
      <c r="A15" s="6" t="inlineStr">
        <is>
          <t>Centroide UTM ESTE (m)</t>
        </is>
      </c>
      <c r="B15" s="7" t="n">
        <v>631195</v>
      </c>
      <c r="C15" s="6" t="inlineStr">
        <is>
          <t>Centroide UTM NORTE (m)</t>
        </is>
      </c>
      <c r="D15" s="7" t="n">
        <v>9441777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2306</v>
      </c>
      <c r="C19" s="6" t="inlineStr">
        <is>
          <t>Altitud máxima (msnm)</t>
        </is>
      </c>
      <c r="D19" s="7" t="n">
        <v>2624</v>
      </c>
      <c r="E19" s="8" t="n"/>
      <c r="F19" s="8" t="n"/>
    </row>
    <row r="20">
      <c r="A20" s="6" t="inlineStr">
        <is>
          <t>Amplitud altitudinal (m)</t>
        </is>
      </c>
      <c r="B20" s="7" t="n">
        <v>318</v>
      </c>
      <c r="C20" s="6" t="inlineStr">
        <is>
          <t>Piso altitudinal dominante</t>
        </is>
      </c>
      <c r="D20" s="7" t="inlineStr">
        <is>
          <t>2000-2500 m (Quechua alta)</t>
        </is>
      </c>
      <c r="E20" s="8" t="n"/>
      <c r="F20" s="8" t="n"/>
    </row>
    <row r="21">
      <c r="A21" s="6" t="inlineStr">
        <is>
          <t>Pendiente promedio (%)</t>
        </is>
      </c>
      <c r="B21" s="7" t="n">
        <v>30.44</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0.6031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(82.90 %)</t>
        </is>
      </c>
      <c r="E29" s="8" t="n"/>
      <c r="F29" s="8" t="n"/>
    </row>
    <row r="30">
      <c r="A30" s="6" t="inlineStr">
        <is>
          <t>Superficie clasificada NDVI 2025 (ha)</t>
        </is>
      </c>
      <c r="B30" s="7" t="n">
        <v>25.677</v>
      </c>
      <c r="C30" s="6" t="inlineStr">
        <is>
          <t>Desviación frente al catálogo (%)</t>
        </is>
      </c>
      <c r="D30" s="7" t="n">
        <v>0.03</v>
      </c>
      <c r="E30" s="8" t="n"/>
      <c r="F30" s="8" t="n"/>
    </row>
    <row r="31">
      <c r="A31" s="6" t="inlineStr">
        <is>
          <t>Superficie clasificada MSAVI 2024 (ha)</t>
        </is>
      </c>
      <c r="B31" s="37" t="n">
        <v>25.668</v>
      </c>
      <c r="C31" s="6" t="inlineStr">
        <is>
          <t>Desviación MSAVI frente al catálogo (%)</t>
        </is>
      </c>
      <c r="D31" s="38" t="n">
        <v>-0.01</v>
      </c>
      <c r="E31" s="8" t="n"/>
      <c r="F31" s="8" t="n"/>
    </row>
    <row r="32">
      <c r="A32" s="6" t="inlineStr">
        <is>
          <t>Superficie bajo umbral MSAVI 0.4976 (ha)</t>
        </is>
      </c>
      <c r="B32" s="37" t="n">
        <v>1.176</v>
      </c>
      <c r="C32" s="6" t="inlineStr">
        <is>
          <t>% del bloque bajo umbral (brecha espectral)</t>
        </is>
      </c>
      <c r="D32" s="38" t="n">
        <v>4.58</v>
      </c>
      <c r="E32" s="8" t="n"/>
      <c r="F32" s="8" t="n"/>
    </row>
    <row r="33">
      <c r="A33" s="6" t="inlineStr">
        <is>
          <t>Clase DN dominante (MSAVI 2024)</t>
        </is>
      </c>
      <c r="B33" s="7" t="inlineStr">
        <is>
          <t>DN 4 · 0.4976 - 0.6139 (Vigor moderado)</t>
        </is>
      </c>
      <c r="C33" s="6" t="inlineStr">
        <is>
          <t>N.° de polígonos MSAVI del bloque</t>
        </is>
      </c>
      <c r="D33" s="39" t="n">
        <v>88</v>
      </c>
      <c r="E33" s="8" t="n"/>
      <c r="F33" s="8" t="n"/>
    </row>
    <row r="34"/>
    <row r="35" ht="18" customHeight="1">
      <c r="A35" s="5" t="inlineStr">
        <is>
          <t>4. ECOSISTEMA Y ESTADO DE CONSERVACIÓN</t>
        </is>
      </c>
    </row>
    <row r="36">
      <c r="A36" s="6" t="inlineStr">
        <is>
          <t>Tipo de ecosistema (UP)</t>
        </is>
      </c>
      <c r="B36" s="7" t="inlineStr">
        <is>
          <t>Matorral Andino húmedo</t>
        </is>
      </c>
      <c r="C36" s="6" t="inlineStr">
        <is>
          <t>Superficie de ecosistema (ha)</t>
        </is>
      </c>
      <c r="D36" s="7" t="inlineStr">
        <is>
          <t>21.26 ha de matorral andino húmedo (de 25.67 ha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Por determinar</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2026-07-01</t>
        </is>
      </c>
      <c r="E44" s="8" t="n"/>
      <c r="F44" s="8" t="n"/>
    </row>
    <row r="45">
      <c r="A45" s="6" t="inlineStr">
        <is>
          <t>Hora de registro</t>
        </is>
      </c>
      <c r="B45" s="7" t="inlineStr">
        <is>
          <t>10:27 - 11:30 h</t>
        </is>
      </c>
      <c r="C45" s="6" t="inlineStr">
        <is>
          <t>Correlativo de ficha</t>
        </is>
      </c>
      <c r="D45" s="7" t="inlineStr">
        <is>
          <t>DT-57</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sostenida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10.1498</v>
      </c>
      <c r="C10" s="19">
        <f>ROUND(B10/$B$15*100,2)</f>
        <v>39.54</v>
      </c>
      <c r="D10" s="11" t="inlineStr">
        <is>
          <t>Vigor alto</t>
        </is>
      </c>
      <c r="E10" s="11" t="inlineStr">
        <is>
          <t>Sobre umbral</t>
        </is>
      </c>
    </row>
    <row r="11">
      <c r="A11" s="12" t="inlineStr">
        <is>
          <t>0.4976 - 0.6139 · DN 4</t>
        </is>
      </c>
      <c r="B11" s="31" t="n">
        <v>14.342</v>
      </c>
      <c r="C11" s="30">
        <f>ROUND(B11/$B$15*100,2)</f>
        <v>55.88</v>
      </c>
      <c r="D11" s="13" t="inlineStr">
        <is>
          <t>Vigor moderado</t>
        </is>
      </c>
      <c r="E11" s="13" t="inlineStr">
        <is>
          <t>Sobre umbral</t>
        </is>
      </c>
    </row>
    <row r="12">
      <c r="A12" s="7" t="inlineStr">
        <is>
          <t>0.3813 - 0.4976 · DN 3</t>
        </is>
      </c>
      <c r="B12" s="18" t="n">
        <v>1.1762</v>
      </c>
      <c r="C12" s="19">
        <f>ROUND(B12/$B$15*100,2)</f>
        <v>4.58</v>
      </c>
      <c r="D12" s="11" t="inlineStr">
        <is>
          <t>Vigor bajo</t>
        </is>
      </c>
      <c r="E12" s="11" t="inlineStr">
        <is>
          <t>BAJO umbral 0.4976</t>
        </is>
      </c>
    </row>
    <row r="13">
      <c r="A13" s="14" t="inlineStr">
        <is>
          <t>0.2650 - 0.3813 · DN 2</t>
        </is>
      </c>
      <c r="B13" s="20" t="n">
        <v>0</v>
      </c>
      <c r="C13" s="21">
        <f>ROUND(B13/$B$15*100,2)</f>
        <v>0.0</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2" t="inlineStr">
        <is>
          <t>TOTAL CLASIFICADO MSAVI 2024</t>
        </is>
      </c>
      <c r="B15" s="43">
        <f>SUM(B10:B14)</f>
        <v>25.668</v>
      </c>
      <c r="C15" s="44">
        <f>SUM(C10:C14)</f>
        <v>100.0</v>
      </c>
      <c r="D15" s="42" t="inlineStr">
        <is>
          <t>Suma de la distribución areal · 88 polígonos</t>
        </is>
      </c>
      <c r="E15" s="42" t="inlineStr">
        <is>
          <t>—</t>
        </is>
      </c>
    </row>
    <row r="16" ht="30" customHeight="1">
      <c r="A16" s="45" t="inlineStr">
        <is>
          <t>Superficie SOBRE umbral 0.4976 (ha)</t>
        </is>
      </c>
      <c r="B16" s="46">
        <f>SUM(B10:B11)</f>
        <v>24.4918</v>
      </c>
      <c r="C16" s="47">
        <f>ROUND(B16/B15*100,2)</f>
        <v>95.42</v>
      </c>
      <c r="D16" s="45" t="inlineStr">
        <is>
          <t>Vigor alto y moderado (DN 4 y DN 5)</t>
        </is>
      </c>
      <c r="E16" s="45" t="inlineStr">
        <is>
          <t>Sobre umbral 0.4976</t>
        </is>
      </c>
    </row>
    <row r="17" ht="30" customHeight="1">
      <c r="A17" s="45" t="inlineStr">
        <is>
          <t>Superficie BAJO umbral 0.4976 (ha) — brecha</t>
        </is>
      </c>
      <c r="B17" s="46">
        <f>SUM(B12:B14)</f>
        <v>1.1762</v>
      </c>
      <c r="C17" s="47">
        <f>ROUND(B17/B15*100,2)</f>
        <v>4.58</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25.67</v>
      </c>
      <c r="C18" s="48" t="inlineStr">
        <is>
          <t>—</t>
        </is>
      </c>
      <c r="D18" s="45" t="inlineStr">
        <is>
          <t>Desviación planimétrica frente al catálogo</t>
        </is>
      </c>
      <c r="E18" s="45" t="inlineStr">
        <is>
          <t>-0.01 %</t>
        </is>
      </c>
    </row>
    <row r="19">
      <c r="A19" s="16" t="inlineStr">
        <is>
          <t>MSAVI 2024 — MEDIA DEL BLOQUE</t>
        </is>
      </c>
      <c r="B19" s="17" t="n">
        <v>0.603055</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(0.6031)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21.2854</v>
      </c>
      <c r="C25" s="19" t="n">
        <v>82.90000000000001</v>
      </c>
      <c r="D25" s="11" t="inlineStr">
        <is>
          <t>Dosel continuo, matorral denso o mosaico agroforestal</t>
        </is>
      </c>
      <c r="E25" s="11" t="inlineStr"/>
    </row>
    <row r="26">
      <c r="A26" s="14" t="inlineStr">
        <is>
          <t>Vegetación mediana</t>
        </is>
      </c>
      <c r="B26" s="20" t="n">
        <v>4.3623</v>
      </c>
      <c r="C26" s="21" t="n">
        <v>16.99</v>
      </c>
      <c r="D26" s="15" t="inlineStr">
        <is>
          <t>Pastizal cultivado, matorral ralo, parcelas agrícolas</t>
        </is>
      </c>
      <c r="E26" s="15" t="inlineStr"/>
    </row>
    <row r="27">
      <c r="A27" s="7" t="inlineStr">
        <is>
          <t>Vegetación ligera</t>
        </is>
      </c>
      <c r="B27" s="18" t="n">
        <v>0.0297</v>
      </c>
      <c r="C27" s="19" t="n">
        <v>0.12</v>
      </c>
      <c r="D27" s="11" t="inlineStr">
        <is>
          <t>Cobertura discontinua, suelo parcialmente expuesto</t>
        </is>
      </c>
      <c r="E27" s="11" t="inlineStr"/>
    </row>
    <row r="28">
      <c r="A28" s="16" t="inlineStr">
        <is>
          <t>TOTAL CLASIFICADO</t>
        </is>
      </c>
      <c r="B28" s="22">
        <f>SUM(B25:B27)</f>
        <v>25.6774</v>
      </c>
      <c r="C28" s="23">
        <f>SUM(C25:C27)</f>
        <v>100.01</v>
      </c>
      <c r="D28" s="17" t="inlineStr"/>
      <c r="E28" s="17" t="inlineStr"/>
    </row>
    <row r="29">
      <c r="A29" s="24" t="inlineStr">
        <is>
          <t>Superficie de catálogo (V5/V6)</t>
        </is>
      </c>
      <c r="B29" s="25" t="n">
        <v>25.67</v>
      </c>
      <c r="C29" s="25" t="inlineStr">
        <is>
          <t>—</t>
        </is>
      </c>
      <c r="D29" s="25" t="inlineStr">
        <is>
          <t>Desviación planimétrica frente al catálogo</t>
        </is>
      </c>
      <c r="E29" s="25" t="inlineStr">
        <is>
          <t>+0.03 %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82.90 % del polígono clasificado como «Vegetación alta» por el NDVI 2025; la observación de campo corresponde a una parcela o recorrido puntual y no es estadísticamente representativa de las 25.670 ha del bloque.</t>
        </is>
      </c>
      <c r="B31" s="40" t="n"/>
      <c r="C31" s="40" t="n"/>
      <c r="D31" s="40" t="n"/>
      <c r="E31" s="41"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57</t>
        </is>
      </c>
    </row>
    <row r="6" ht="24" customHeight="1">
      <c r="A6" s="4" t="inlineStr">
        <is>
          <t>Levantamiento del 2026-07-01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631723</v>
      </c>
      <c r="D10" s="26" t="n">
        <v>9439702</v>
      </c>
      <c r="E10" s="11" t="n">
        <v>2141.1</v>
      </c>
      <c r="F10" s="11" t="inlineStr"/>
      <c r="G10" s="11" t="inlineStr">
        <is>
          <t>Coordenada consignada en F-DT-01</t>
        </is>
      </c>
    </row>
    <row r="11">
      <c r="A11" s="14" t="inlineStr">
        <is>
          <t>H-01</t>
        </is>
      </c>
      <c r="B11" s="15" t="inlineStr">
        <is>
          <t>Fuente de agua — Manantial / Puquio</t>
        </is>
      </c>
      <c r="C11" s="27" t="n">
        <v>631909</v>
      </c>
      <c r="D11" s="27" t="n">
        <v>9440083</v>
      </c>
      <c r="E11" s="15" t="n">
        <v>1838.3</v>
      </c>
      <c r="F11" s="15" t="inlineStr">
        <is>
          <t>Permanente</t>
        </is>
      </c>
      <c r="G11" s="15" t="inlineStr">
        <is>
          <t>Pileta/reservorio de captación dentro del bloque</t>
        </is>
      </c>
    </row>
    <row r="12">
      <c r="A12" s="7" t="inlineStr">
        <is>
          <t>H-02</t>
        </is>
      </c>
      <c r="B12" s="11" t="inlineStr">
        <is>
          <t>Fuente de agua — Quebrada estacional</t>
        </is>
      </c>
      <c r="C12" s="26" t="inlineStr">
        <is>
          <t>Por verificar</t>
        </is>
      </c>
      <c r="D12" s="26" t="inlineStr">
        <is>
          <t>Por verificar</t>
        </is>
      </c>
      <c r="E12" s="11" t="inlineStr"/>
      <c r="F12" s="11" t="inlineStr">
        <is>
          <t>Estacional</t>
        </is>
      </c>
      <c r="G12" s="11" t="inlineStr">
        <is>
          <t>Quebrada tributaria</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631195</v>
      </c>
      <c r="C15" s="6" t="inlineStr">
        <is>
          <t>Centroide del bloque — UTM NORTE (m)</t>
        </is>
      </c>
      <c r="D15" s="7" t="n">
        <v>9441777</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7"/>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media 42.7% y máxima 65.0% (perfil Google Earth). Se observó reptación de suelo en laderas de pastoreo y un parche de suelo expuesto rojizo (631 809 E · 9 440 087 N) cuya naturaleza (remoción incipiente vs. desbroce) queda por verificar. NOTA DE CATÁLOGO: el centroide de campo (631 723 E · 9 439 702 N, Centroides_V5) coincide con la evidencia GPS; el registro este/norte de «Bloques V4» (631 195 E · 9 441 777 N) difiere ≈2.1 km al N y debe revisarse.</t>
        </is>
      </c>
      <c r="B18" s="40" t="n"/>
      <c r="C18" s="40" t="n"/>
      <c r="D18" s="40" t="n"/>
      <c r="E18" s="40" t="n"/>
      <c r="F18" s="40" t="n"/>
      <c r="G18" s="41"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C1086-Q9576 — BLOQUE 57</t>
        </is>
      </c>
    </row>
    <row r="6" ht="24" customHeight="1">
      <c r="A6" s="4" t="inlineStr">
        <is>
          <t>Distrito de Chalaco · Provincia de Morropon · Comparación de los bloques preliminares de intervención de la misma microcuenca</t>
        </is>
      </c>
    </row>
    <row r="7"/>
    <row r="8" ht="18" customHeight="1">
      <c r="A8" s="5" t="inlineStr">
        <is>
          <t>BLOQUES DE LA MICROCUENCA C1086-Q9576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M36B2</t>
        </is>
      </c>
      <c r="B10" s="28" t="n">
        <v>28.19</v>
      </c>
      <c r="C10" s="19" t="n">
        <v>52.34</v>
      </c>
      <c r="D10" s="11" t="inlineStr">
        <is>
          <t>1331 – 1533</t>
        </is>
      </c>
      <c r="E10" s="11" t="n">
        <v>202</v>
      </c>
      <c r="F10" s="11" t="n">
        <v>29.67</v>
      </c>
      <c r="G10" s="18" t="n">
        <v>0.5974</v>
      </c>
      <c r="H10" s="19" t="n">
        <v>82.34999999999999</v>
      </c>
      <c r="I10" s="19" t="n">
        <v>4.97</v>
      </c>
    </row>
    <row r="11">
      <c r="A11" s="12" t="inlineStr">
        <is>
          <t>► 57</t>
        </is>
      </c>
      <c r="B11" s="29" t="n">
        <v>25.67</v>
      </c>
      <c r="C11" s="30" t="n">
        <v>47.66</v>
      </c>
      <c r="D11" s="13" t="inlineStr">
        <is>
          <t>2306 – 2624</t>
        </is>
      </c>
      <c r="E11" s="13" t="n">
        <v>318</v>
      </c>
      <c r="F11" s="13" t="n">
        <v>30.44</v>
      </c>
      <c r="G11" s="31" t="n">
        <v>0.6031</v>
      </c>
      <c r="H11" s="30" t="n">
        <v>82.90000000000001</v>
      </c>
      <c r="I11" s="30" t="n">
        <v>4.58</v>
      </c>
    </row>
    <row r="12">
      <c r="A12" s="16" t="inlineStr">
        <is>
          <t>TOTAL / PROMEDIO</t>
        </is>
      </c>
      <c r="B12" s="32">
        <f>SUM(B10:B11)</f>
        <v>53.86</v>
      </c>
      <c r="C12" s="23">
        <f>SUM(C10:C11)</f>
        <v>100.0</v>
      </c>
      <c r="D12" s="17" t="inlineStr">
        <is>
          <t>1331 – 2624</t>
        </is>
      </c>
      <c r="E12" s="17" t="inlineStr"/>
      <c r="F12" s="17">
        <f>ROUND(AVERAGE(F10:F11),2)</f>
        <v>30.05</v>
      </c>
      <c r="G12" s="22">
        <f>ROUND(AVERAGE(G10:G11),4)</f>
        <v>0.6002</v>
      </c>
      <c r="H12" s="23">
        <f>ROUND(AVERAGE(H10:H11),2)</f>
        <v>82.62</v>
      </c>
      <c r="I12" s="23">
        <f>ROUND(AVERAGE(I10:I11),2)</f>
        <v>4.78</v>
      </c>
    </row>
    <row r="13"/>
    <row r="14" ht="84" customHeight="1">
      <c r="A14" s="9" t="inlineStr">
        <is>
          <t>LECTURA INTRAMICROCUENCA. El bloque 57 ocupa el puesto 2 de 2 por superficie dentro de la microcuenca C1086-Q9576 (47.66 % de las 53.86 ha preliminares de la microcuenca). Su pendiente promedio (30.44 %, clase «25-50% (Mod. escarpado)») es la 2.ª más baja de 2 y se sitúa por encima del promedio de la microcuenca (30.05 %). Su MSAVI 2024 (0.6031) es el 1.º de 2 y queda por encima del promedio local (0.6002). Amplitud altitudinal del bloque: 318 m (2306–2624 msnm). El cuadro conserva todos los bloques catalogados en la microcuenca, incluidos los descartados en el tamizaje, para referencia del conjunto. Los bloques sin ficha DT figuran con sus parámetros de gabinete. BRECHA ESPECTRAL. El 4.58 % de la superficie del bloque (1.176 ha de 25.668 ha) se sitúa bajo el umbral MSAVI 0.4976, por debajo del promedio local de la microcuenca (4.78 %) calculado sobre los bloques con dato MSAVI disponible.</t>
        </is>
      </c>
      <c r="B14" s="40" t="n"/>
      <c r="C14" s="40" t="n"/>
      <c r="D14" s="40" t="n"/>
      <c r="E14" s="40" t="n"/>
      <c r="F14" s="40" t="n"/>
      <c r="G14" s="40" t="n"/>
      <c r="H14" s="41"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1"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«C1086-Q9576»</t>
        </is>
      </c>
      <c r="D10" s="34" t="inlineStr">
        <is>
          <t>CONFORME</t>
        </is>
      </c>
      <c r="E10" s="33" t="inlineStr">
        <is>
          <t>Sin acción.</t>
        </is>
      </c>
    </row>
    <row r="11" ht="48" customHeight="1">
      <c r="A11" s="35" t="inlineStr">
        <is>
          <t>D-02</t>
        </is>
      </c>
      <c r="B11" s="35" t="inlineStr">
        <is>
          <t>UTM del punto de muestreo</t>
        </is>
      </c>
      <c r="C11" s="35" t="inlineStr">
        <is>
          <t>El punto de muestreo declarado (631723 E / 9439702 N) dista 2,141 m del centroide de catálogo (631195 E / 9441777 N), distancia incompatible con la superficie del bloque (25.67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(25.677 ha) coincide con la de catálogo (25.67 ha) dentro del ±2 % (+0.03 %)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85 % de cobertura vegetal en campo; el NDVI mediana 2025 clasifica 100.01 % del polígono en clases de vegetación</t>
        </is>
      </c>
      <c r="D13" s="13"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Altitud GPS del punto de muestreo</t>
        </is>
      </c>
      <c r="C14" s="33" t="inlineStr">
        <is>
          <t>La aplicación de captura no registró altitud GPS en campo</t>
        </is>
      </c>
      <c r="D14" s="13" t="inlineStr">
        <is>
          <t>NO SUSTANTIVA</t>
        </is>
      </c>
      <c r="E14" s="33" t="inlineStr">
        <is>
          <t>El rango altitudinal del bloque (2306–2624 msnm) y la pendiente promedio (30.44 %) se toman de la estadística zonal sobre el MDE, no de medición de campo. Se declara la fuente.</t>
        </is>
      </c>
    </row>
    <row r="15" ht="48" customHeight="1">
      <c r="A15" s="35" t="inlineStr">
        <is>
          <t>D-06</t>
        </is>
      </c>
      <c r="B15" s="35" t="inlineStr">
        <is>
          <t>Inventario georreferenciado de cárcavas</t>
        </is>
      </c>
      <c r="C15" s="35" t="inlineStr">
        <is>
          <t>El inventario de cárcavas no fue ejecutado o no consta en la ficha DT</t>
        </is>
      </c>
      <c r="D15" s="36" t="inlineStr">
        <is>
          <t>SUSTANTIVA</t>
        </is>
      </c>
      <c r="E15" s="35" t="inlineStr">
        <is>
          <t>La ausencia de registros NO equivale a ausencia verificada de cárcavas. Queda pendiente el levantamiento instrumental a cargo del especialista de Infraestructura Marrón antes de fijar metas físicas de infraestructura gris.</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«Taspa (631 621 E · 9 440 841 N; 250 hab.) / San Lorenzo (126 hab.) — ref. Los Lúcumos»; el cruce INEI-Bloques V5 identifica 2 centro(s) poblado(s) en el bloque: SAN LORENZO, TASPA</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Catálogo</t>
        </is>
      </c>
      <c r="C19" s="35" t="inlineStr">
        <is>
          <t>El registro este/norte de «Bloques V4» (631 195 E · 9 441 777 N) difiere ≈2.1 km al N del centroide de campo/Centroides_V5 (631 723 E · 9 439 702 N)</t>
        </is>
      </c>
      <c r="D19" s="36" t="inlineStr">
        <is>
          <t>SUSTANTIVA</t>
        </is>
      </c>
      <c r="E19" s="35" t="inlineStr">
        <is>
          <t>Documentada en la propia ficha; conciliar catálogo maestro</t>
        </is>
      </c>
    </row>
    <row r="20" ht="48" customHeight="1">
      <c r="A20" s="33" t="inlineStr">
        <is>
          <t>D-11</t>
        </is>
      </c>
      <c r="B20" s="33" t="inlineStr">
        <is>
          <t>Plan de Ingreso</t>
        </is>
      </c>
      <c r="C20" s="33" t="inlineStr">
        <is>
          <t>Altitud = 0 msnm (captura por defecto del aplicativo)</t>
        </is>
      </c>
      <c r="D20" s="13" t="inlineStr">
        <is>
          <t>NO SUSTANTIVA</t>
        </is>
      </c>
      <c r="E20" s="33" t="inlineStr">
        <is>
          <t>Se sustituye por el rango del MDE 2306-2624 msnm</t>
        </is>
      </c>
    </row>
    <row r="21" ht="48" customHeight="1">
      <c r="A21" s="35" t="inlineStr">
        <is>
          <t>D-12</t>
        </is>
      </c>
      <c r="B21" s="35" t="inlineStr">
        <is>
          <t>F-DS-03</t>
        </is>
      </c>
      <c r="C21" s="35" t="inlineStr">
        <is>
          <t>Las fichas sociales del C.P. San Lorenzo/Taspa consignan microcuenca C1076-Q9584 y UTM 631 195 · 9 441 780 (valores heredados de plantilla)</t>
        </is>
      </c>
      <c r="D21" s="13" t="inlineStr">
        <is>
          <t>NO SUSTANTIVA</t>
        </is>
      </c>
      <c r="E21" s="35" t="inlineStr">
        <is>
          <t>Se conserva la microcuenca del catálogo C1086-Q9576</t>
        </is>
      </c>
    </row>
    <row r="22" ht="48" customHeight="1">
      <c r="A22" s="35" t="inlineStr">
        <is>
          <t>D-13</t>
        </is>
      </c>
      <c r="B22" s="35" t="inlineStr">
        <is>
          <t>Distribución areal MSAVI 2024</t>
        </is>
      </c>
      <c r="C22" s="35" t="inlineStr">
        <is>
          <t>La distribución por clase de MSAVI no figuraba en los insumos del entregable y se consignaba «Por determinar»; se incorpora la estadística zonal del ráster MSAVI clasificado (88 polígonos, 25.668 ha)</t>
        </is>
      </c>
      <c r="D22" s="13" t="inlineStr">
        <is>
          <t>CORREGIDO</t>
        </is>
      </c>
      <c r="E22"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3" ht="48" customHeight="1">
      <c r="A23" s="35" t="inlineStr">
        <is>
          <t>D-14</t>
        </is>
      </c>
      <c r="B23" s="35" t="inlineStr">
        <is>
          <t>Superficie MSAVI vs. catálogo</t>
        </is>
      </c>
      <c r="C23" s="35" t="inlineStr">
        <is>
          <t>La superficie total clasificada por el MSAVI 2024 (25.668 ha) frente a la de catálogo V5/V6 (25.670 ha): desviación de -0.01 %</t>
        </is>
      </c>
      <c r="D23" s="13" t="inlineStr">
        <is>
          <t>CONFORME</t>
        </is>
      </c>
      <c r="E23" s="35" t="inlineStr">
        <is>
          <t>Sin acción: la segmentación del ráster valida la geometría del bloque dentro del ±2 %.</t>
        </is>
      </c>
    </row>
    <row r="24" ht="48" customHeight="1">
      <c r="A24" s="35" t="inlineStr">
        <is>
          <t>D-15</t>
        </is>
      </c>
      <c r="B24" s="35" t="inlineStr">
        <is>
          <t>Media MSAVI vs. clase DN dominante</t>
        </is>
      </c>
      <c r="C24" s="35" t="inlineStr">
        <is>
          <t>La media del bloque (0.6031) cae en la clase «DN 4 · 0.4976 - 0.6139 (Vigor moderado)»; la clase de mayor superficie es «DN 4 · 0.4976 - 0.6139 (Vigor moderado)», con 55.88 % del bloque. Superficie bajo el umbral 0.4976: 1.176 ha (4.58 %)</t>
        </is>
      </c>
      <c r="D24" s="13" t="inlineStr">
        <is>
          <t>CONFORME</t>
        </is>
      </c>
      <c r="E24" s="35" t="inlineStr">
        <is>
          <t>Sin acción: la media del bloque y la clase de mayor superficie coinciden.</t>
        </is>
      </c>
    </row>
    <row r="25"/>
    <row r="26">
      <c r="A26" s="16" t="inlineStr">
        <is>
          <t>RESUMEN</t>
        </is>
      </c>
      <c r="B26" s="17" t="inlineStr">
        <is>
          <t>15 verificaciones</t>
        </is>
      </c>
      <c r="C26" s="17" t="inlineStr">
        <is>
          <t>CONFORME: 5 · CORREGIDO: 1 · NO SUSTANTIVA: 4 · SUSTANTIVA: 5</t>
        </is>
      </c>
      <c r="D26" s="17" t="inlineStr"/>
      <c r="E26" s="17" t="inlineStr"/>
    </row>
    <row r="27"/>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40" t="n"/>
      <c r="C28" s="40" t="n"/>
      <c r="D28" s="40" t="n"/>
      <c r="E28" s="41"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57 — IN Piura</dc:title>
  <dc:subject>Diagnóstico Territorial por bloque de intervención</dc:subject>
  <dcterms:created xsi:type="dcterms:W3CDTF">2026-09-08T03:39:56Z</dcterms:created>
  <dcterms:modified xsi:type="dcterms:W3CDTF">2026-09-10T00:28:28Z</dcterms:modified>
</cp:coreProperties>
</file>