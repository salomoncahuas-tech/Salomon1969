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M2B8</t>
        </is>
      </c>
      <c r="C9" s="6" t="inlineStr">
        <is>
          <t>Microcuenca (catálogo)</t>
        </is>
      </c>
      <c r="D9" s="7" t="inlineStr">
        <is>
          <t>C1076-Q9584</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Huacas Baja</t>
        </is>
      </c>
      <c r="C13" s="6" t="inlineStr">
        <is>
          <t>Comunidad campesina</t>
        </is>
      </c>
      <c r="D13" s="7" t="inlineStr">
        <is>
          <t>No consignada</t>
        </is>
      </c>
      <c r="E13" s="8" t="n"/>
      <c r="F13" s="8" t="n"/>
    </row>
    <row r="14">
      <c r="A14" s="6" t="inlineStr">
        <is>
          <t>Superficie de catálogo (V5/V6), ha</t>
        </is>
      </c>
      <c r="B14" s="7" t="n">
        <v>116.1</v>
      </c>
      <c r="C14" s="6" t="inlineStr">
        <is>
          <t>Fuente de superficie</t>
        </is>
      </c>
      <c r="D14" s="7" t="inlineStr">
        <is>
          <t>Catálogo maestro Bloques V5/V6</t>
        </is>
      </c>
      <c r="E14" s="8" t="n"/>
      <c r="F14" s="8" t="n"/>
    </row>
    <row r="15">
      <c r="A15" s="6" t="inlineStr">
        <is>
          <t>Centroide UTM ESTE (m)</t>
        </is>
      </c>
      <c r="B15" s="7" t="n">
        <v>639059</v>
      </c>
      <c r="C15" s="6" t="inlineStr">
        <is>
          <t>Centroide UTM NORTE (m)</t>
        </is>
      </c>
      <c r="D15" s="7" t="n">
        <v>9398295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244</v>
      </c>
      <c r="C19" s="6" t="inlineStr">
        <is>
          <t>Altitud máxima (msnm)</t>
        </is>
      </c>
      <c r="D19" s="7" t="n">
        <v>673</v>
      </c>
      <c r="E19" s="8" t="n"/>
      <c r="F19" s="8" t="n"/>
    </row>
    <row r="20">
      <c r="A20" s="6" t="inlineStr">
        <is>
          <t>Amplitud altitudinal (m)</t>
        </is>
      </c>
      <c r="B20" s="7" t="n">
        <v>429</v>
      </c>
      <c r="C20" s="6" t="inlineStr">
        <is>
          <t>Piso altitudinal dominante</t>
        </is>
      </c>
      <c r="D20" s="7" t="inlineStr">
        <is>
          <t>&lt;1000 m (Yunga)</t>
        </is>
      </c>
      <c r="E20" s="8" t="n"/>
      <c r="F20" s="8" t="n"/>
    </row>
    <row r="21">
      <c r="A21" s="6" t="inlineStr">
        <is>
          <t>Pendiente promedio (%)</t>
        </is>
      </c>
      <c r="B21" s="7" t="n">
        <v>19.24</v>
      </c>
      <c r="C21" s="6" t="inlineStr">
        <is>
          <t>Pendiente promedio (grados)</t>
        </is>
      </c>
      <c r="D21" s="7" t="n">
        <v>10.9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0.3752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(58.83 %)</t>
        </is>
      </c>
      <c r="E29" s="8" t="n"/>
      <c r="F29" s="8" t="n"/>
    </row>
    <row r="30">
      <c r="A30" s="6" t="inlineStr">
        <is>
          <t>Superficie clasificada NDVI 2025 (ha)</t>
        </is>
      </c>
      <c r="B30" s="7" t="n">
        <v>116.136</v>
      </c>
      <c r="C30" s="6" t="inlineStr">
        <is>
          <t>Desviación frente al catálogo (%)</t>
        </is>
      </c>
      <c r="D30" s="7" t="n">
        <v>0.03</v>
      </c>
      <c r="E30" s="8" t="n"/>
      <c r="F30" s="8" t="n"/>
    </row>
    <row r="31">
      <c r="A31" s="6" t="inlineStr">
        <is>
          <t>Superficie clasificada MSAVI 2024 (ha)</t>
        </is>
      </c>
      <c r="B31" s="37" t="n">
        <v>116.099</v>
      </c>
      <c r="C31" s="6" t="inlineStr">
        <is>
          <t>Desviación MSAVI frente al catálogo (%)</t>
        </is>
      </c>
      <c r="D31" s="38" t="n">
        <v>0</v>
      </c>
      <c r="E31" s="8" t="n"/>
      <c r="F31" s="8" t="n"/>
    </row>
    <row r="32">
      <c r="A32" s="6" t="inlineStr">
        <is>
          <t>Superficie bajo umbral MSAVI 0.4976 (ha)</t>
        </is>
      </c>
      <c r="B32" s="37" t="n">
        <v>107.174</v>
      </c>
      <c r="C32" s="6" t="inlineStr">
        <is>
          <t>% del bloque bajo umbral (brecha espectral)</t>
        </is>
      </c>
      <c r="D32" s="38" t="n">
        <v>92.31</v>
      </c>
      <c r="E32" s="8" t="n"/>
      <c r="F32" s="8" t="n"/>
    </row>
    <row r="33">
      <c r="A33" s="6" t="inlineStr">
        <is>
          <t>Clase DN dominante (MSAVI 2024)</t>
        </is>
      </c>
      <c r="B33" s="7" t="inlineStr">
        <is>
          <t>DN 2 · 0.2650 - 0.3813 (Vigor muy bajo)</t>
        </is>
      </c>
      <c r="C33" s="6" t="inlineStr">
        <is>
          <t>N.° de polígonos MSAVI del bloque</t>
        </is>
      </c>
      <c r="D33" s="39" t="n">
        <v>360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80 ha (de 116.10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2026-08-04</t>
        </is>
      </c>
      <c r="E44" s="8" t="n"/>
      <c r="F44" s="8" t="n"/>
    </row>
    <row r="45">
      <c r="A45" s="6" t="inlineStr">
        <is>
          <t>Hora de registro</t>
        </is>
      </c>
      <c r="B45" s="7" t="inlineStr">
        <is>
          <t>15:26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0.0198</v>
      </c>
      <c r="C10" s="19">
        <f>ROUND(B10/$B$15*100,2)</f>
        <v/>
      </c>
      <c r="D10" s="11" t="inlineStr">
        <is>
          <t>Vigor alto</t>
        </is>
      </c>
      <c r="E10" s="11" t="inlineStr">
        <is>
          <t>Sobre umbral</t>
        </is>
      </c>
    </row>
    <row r="11">
      <c r="A11" s="12" t="inlineStr">
        <is>
          <t>0.4976 - 0.6139 · DN 4</t>
        </is>
      </c>
      <c r="B11" s="20" t="n">
        <v>8.9056</v>
      </c>
      <c r="C11" s="21">
        <f>ROUND(B11/$B$15*100,2)</f>
        <v/>
      </c>
      <c r="D11" s="13" t="inlineStr">
        <is>
          <t>Vigor moderado</t>
        </is>
      </c>
      <c r="E11" s="13" t="inlineStr">
        <is>
          <t>Sobre umbral</t>
        </is>
      </c>
    </row>
    <row r="12">
      <c r="A12" s="7" t="inlineStr">
        <is>
          <t>0.3813 - 0.4976 · DN 3</t>
        </is>
      </c>
      <c r="B12" s="18" t="n">
        <v>43.9985</v>
      </c>
      <c r="C12" s="19">
        <f>ROUND(B12/$B$15*100,2)</f>
        <v/>
      </c>
      <c r="D12" s="11" t="inlineStr">
        <is>
          <t>Vigor bajo</t>
        </is>
      </c>
      <c r="E12" s="11" t="inlineStr">
        <is>
          <t>BAJO umbral 0.4976</t>
        </is>
      </c>
    </row>
    <row r="13">
      <c r="A13" s="14" t="inlineStr">
        <is>
          <t>0.2650 - 0.3813 · DN 2</t>
        </is>
      </c>
      <c r="B13" s="31" t="n">
        <v>54.4479</v>
      </c>
      <c r="C13" s="30">
        <f>ROUND(B13/$B$15*100,2)</f>
        <v/>
      </c>
      <c r="D13" s="15" t="inlineStr">
        <is>
          <t>Vigor muy bajo</t>
        </is>
      </c>
      <c r="E13" s="15" t="inlineStr">
        <is>
          <t>BAJO umbral 0.4976</t>
        </is>
      </c>
    </row>
    <row r="14">
      <c r="A14" s="7" t="inlineStr">
        <is>
          <t>&lt;= 0.2650 · DN 1</t>
        </is>
      </c>
      <c r="B14" s="18" t="n">
        <v>8.7272</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360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116.1</v>
      </c>
      <c r="C18" s="48" t="inlineStr">
        <is>
          <t>—</t>
        </is>
      </c>
      <c r="D18" s="45" t="inlineStr">
        <is>
          <t>Desviación planimétrica frente al catálogo</t>
        </is>
      </c>
      <c r="E18" s="45" t="inlineStr">
        <is>
          <t>+0.00 %</t>
        </is>
      </c>
    </row>
    <row r="19">
      <c r="A19" s="16" t="inlineStr">
        <is>
          <t>MSAVI 2024 — MEDIA DEL BLOQUE</t>
        </is>
      </c>
      <c r="B19" s="17" t="n">
        <v>0.375171</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360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(0.3752)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19.3268</v>
      </c>
      <c r="C25" s="19" t="n">
        <v>16.64</v>
      </c>
      <c r="D25" s="11" t="inlineStr">
        <is>
          <t>Dosel continuo, matorral denso o mosaico agroforestal</t>
        </is>
      </c>
      <c r="E25" s="11" t="inlineStr"/>
    </row>
    <row r="26">
      <c r="A26" s="12" t="inlineStr">
        <is>
          <t>Vegetación mediana</t>
        </is>
      </c>
      <c r="B26" s="20" t="n">
        <v>68.3261</v>
      </c>
      <c r="C26" s="21" t="n">
        <v>58.83</v>
      </c>
      <c r="D26" s="13" t="inlineStr">
        <is>
          <t>Pastizal cultivado, matorral ralo, parcelas agrícolas</t>
        </is>
      </c>
      <c r="E26" s="13" t="inlineStr"/>
    </row>
    <row r="27">
      <c r="A27" s="7" t="inlineStr">
        <is>
          <t>Vegetación ligera</t>
        </is>
      </c>
      <c r="B27" s="18" t="n">
        <v>28.4833</v>
      </c>
      <c r="C27" s="19" t="n">
        <v>24.53</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116.1</v>
      </c>
      <c r="C29" s="25" t="inlineStr">
        <is>
          <t>—</t>
        </is>
      </c>
      <c r="D29" s="25" t="inlineStr">
        <is>
          <t>Desviación planimétrica frente al catálogo</t>
        </is>
      </c>
      <c r="E29" s="25" t="inlineStr">
        <is>
          <t>+0.03 %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16.64 % del polígono clasificado como «Vegetación alta» por el NDVI 2025; la observación de campo corresponde a una parcela o recorrido puntual y no es estadísticamente representativa de las 116.100 ha del bloque.</t>
        </is>
      </c>
      <c r="B31" s="40" t="n"/>
      <c r="C31" s="40" t="n"/>
      <c r="D31" s="40" t="n"/>
      <c r="E31" s="41"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M2B8</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638286</v>
      </c>
      <c r="D10" s="26" t="n">
        <v>9398789</v>
      </c>
      <c r="E10" s="11" t="n">
        <v>917.4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639059</v>
      </c>
      <c r="C13" s="6" t="inlineStr">
        <is>
          <t>Centroide del bloque — UTM NORTE (m)</t>
        </is>
      </c>
      <c r="D13" s="7" t="n">
        <v>9398295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≈250 msnm. LA LADERA ES EMPLEADA PARA EL PASTOREO EXTENSIVO DE GANADO CAPRINO Y VACUNO del centro poblado asentado al pie del bloque. Se ubica cerca de una VÍA ASFALTADA y de ÁREAS DE CULTIVO. Se ha evidenciado LEÑA APILADA en viviendas próximas. El suelo presenta erosión eólica e hídrica; en la ladera se observan estrías y surcos dejados por el tránsito habitual del ganado. Existen caminos de herradura dentro del bloque y áreas de suelo desprovistas de vegetación expuestas a lluvia. ES EL ÚNICO DE LOS SEIS BLOQUES DEL GRUPO EN EL QUE SE REGISTRA REPTACIÓN DE SUELO.</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M2B8</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t>
        </is>
      </c>
      <c r="B10" s="27" t="n">
        <v>1370.96</v>
      </c>
      <c r="C10" s="19" t="n">
        <v>77.31999999999999</v>
      </c>
      <c r="D10" s="11" t="inlineStr">
        <is>
          <t>291 – 1204</t>
        </is>
      </c>
      <c r="E10" s="11" t="n">
        <v>913</v>
      </c>
      <c r="F10" s="11" t="n">
        <v>21.39</v>
      </c>
      <c r="G10" s="18" t="n">
        <v>0.4545</v>
      </c>
      <c r="H10" s="19" t="inlineStr">
        <is>
          <t>Por determinar</t>
        </is>
      </c>
      <c r="I10" s="11" t="inlineStr">
        <is>
          <t>s/d</t>
        </is>
      </c>
    </row>
    <row r="11">
      <c r="A11" s="12" t="inlineStr">
        <is>
          <t>7</t>
        </is>
      </c>
      <c r="B11" s="28" t="n">
        <v>173.43</v>
      </c>
      <c r="C11" s="21" t="n">
        <v>9.779999999999999</v>
      </c>
      <c r="D11" s="13" t="inlineStr">
        <is>
          <t>257 – 577</t>
        </is>
      </c>
      <c r="E11" s="13" t="n">
        <v>320</v>
      </c>
      <c r="F11" s="13" t="n">
        <v>18.59</v>
      </c>
      <c r="G11" s="20" t="n">
        <v>0.3753</v>
      </c>
      <c r="H11" s="21" t="inlineStr">
        <is>
          <t>Por determinar</t>
        </is>
      </c>
      <c r="I11" s="13" t="inlineStr">
        <is>
          <t>s/d</t>
        </is>
      </c>
    </row>
    <row r="12">
      <c r="A12" s="14" t="inlineStr">
        <is>
          <t>► M2B8</t>
        </is>
      </c>
      <c r="B12" s="29" t="n">
        <v>116.1</v>
      </c>
      <c r="C12" s="30" t="n">
        <v>6.55</v>
      </c>
      <c r="D12" s="15" t="inlineStr">
        <is>
          <t>244 – 673</t>
        </is>
      </c>
      <c r="E12" s="15" t="n">
        <v>429</v>
      </c>
      <c r="F12" s="15" t="n">
        <v>19.24</v>
      </c>
      <c r="G12" s="31" t="n">
        <v>0.3752</v>
      </c>
      <c r="H12" s="30" t="n">
        <v>16.64</v>
      </c>
      <c r="I12" s="30" t="n">
        <v>92.31</v>
      </c>
    </row>
    <row r="13">
      <c r="A13" s="12" t="inlineStr">
        <is>
          <t>M2B1</t>
        </is>
      </c>
      <c r="B13" s="28" t="n">
        <v>81.79000000000001</v>
      </c>
      <c r="C13" s="21" t="n">
        <v>4.61</v>
      </c>
      <c r="D13" s="13" t="inlineStr">
        <is>
          <t>235 – 446</t>
        </is>
      </c>
      <c r="E13" s="13" t="n">
        <v>211</v>
      </c>
      <c r="F13" s="13" t="n">
        <v>17.48</v>
      </c>
      <c r="G13" s="20" t="n">
        <v>0.2984</v>
      </c>
      <c r="H13" s="21" t="n">
        <v>0.04</v>
      </c>
      <c r="I13" s="21" t="n">
        <v>100</v>
      </c>
    </row>
    <row r="14">
      <c r="A14" s="7" t="inlineStr">
        <is>
          <t>M2B5</t>
        </is>
      </c>
      <c r="B14" s="27" t="n">
        <v>30.91</v>
      </c>
      <c r="C14" s="19" t="n">
        <v>1.74</v>
      </c>
      <c r="D14" s="11" t="inlineStr">
        <is>
          <t>68 – 322</t>
        </is>
      </c>
      <c r="E14" s="11" t="n">
        <v>254</v>
      </c>
      <c r="F14" s="11" t="n">
        <v>8.32</v>
      </c>
      <c r="G14" s="18" t="n">
        <v>0.3047</v>
      </c>
      <c r="H14" s="19" t="n">
        <v>5.14</v>
      </c>
      <c r="I14" s="19" t="n">
        <v>99.03</v>
      </c>
    </row>
    <row r="15">
      <c r="A15" s="16" t="inlineStr">
        <is>
          <t>TOTAL / PROMEDIO</t>
        </is>
      </c>
      <c r="B15" s="32">
        <f>SUM(B10:B14)</f>
        <v/>
      </c>
      <c r="C15" s="23">
        <f>SUM(C10:C14)</f>
        <v/>
      </c>
      <c r="D15" s="17" t="inlineStr">
        <is>
          <t>68 – 1204</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40" t="n"/>
      <c r="C16" s="40" t="n"/>
      <c r="D16" s="40" t="n"/>
      <c r="E16" s="40" t="n"/>
      <c r="F16" s="40" t="n"/>
      <c r="G16" s="40" t="n"/>
      <c r="H16" s="41" t="n"/>
    </row>
    <row r="17"/>
    <row r="18" ht="84" customHeight="1">
      <c r="A18" s="9" t="inlineStr">
        <is>
          <t>LECTURA INTRAMICROCUENCA. El bloque M2B8 ocupa el puesto 3 de 5 por superficie dentro de la microcuenca C1076-Q9584 (6.55 % de las 1773.19 ha preliminares de la microcuenca). Su pendiente promedio (19.24 %, clase «15-25% (Fuert. inclinado)») es la 4.ª más baja de 5 y se sitúa por encima del promedio de la microcuenca (17.00 %). Su MSAVI 2024 (0.3752) es el 3.º de 5 y queda por encima del promedio local (0.3616). Amplitud altitudinal del bloque: 429 m (244–673 msnm). El cuadro conserva todos los bloques catalogados en la microcuenca, incluidos los descartados en el tamizaje, para referencia del conjunto. Los bloques sin ficha DT figuran con sus parámetros de gabinete. BRECHA ESPECTRAL. El 92.31 % de la superficie del bloque (107.174 ha de 116.099 ha) se sitúa bajo el umbral MSAVI 0.4976, por debajo del promedio local de la microcuenca (97.12 %) calculado sobre los bloques con dato MSAVI disponible.</t>
        </is>
      </c>
      <c r="B18" s="40" t="n"/>
      <c r="C18" s="40" t="n"/>
      <c r="D18" s="40" t="n"/>
      <c r="E18" s="40" t="n"/>
      <c r="F18" s="40" t="n"/>
      <c r="G18" s="40" t="n"/>
      <c r="H18" s="41" t="n"/>
    </row>
    <row r="19"/>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0" t="n"/>
      <c r="C20" s="40" t="n"/>
      <c r="D20" s="40" t="n"/>
      <c r="E20" s="40" t="n"/>
      <c r="F20" s="40" t="n"/>
      <c r="G20" s="40" t="n"/>
      <c r="H20" s="41" t="n"/>
    </row>
  </sheetData>
  <mergeCells count="10">
    <mergeCell ref="A18:I18"/>
    <mergeCell ref="A4:I4"/>
    <mergeCell ref="A1:I1"/>
    <mergeCell ref="A3:I3"/>
    <mergeCell ref="A20:I20"/>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«C1076-Q9584»</t>
        </is>
      </c>
      <c r="D10" s="34" t="inlineStr">
        <is>
          <t>CONFORME</t>
        </is>
      </c>
      <c r="E10" s="33" t="inlineStr">
        <is>
          <t>Sin acción.</t>
        </is>
      </c>
    </row>
    <row r="11" ht="48" customHeight="1">
      <c r="A11" s="35" t="inlineStr">
        <is>
          <t>D-02</t>
        </is>
      </c>
      <c r="B11" s="35" t="inlineStr">
        <is>
          <t>UTM del punto de muestreo</t>
        </is>
      </c>
      <c r="C11" s="35" t="inlineStr">
        <is>
          <t>El punto de muestreo declarado (638286 E / 9398789 N) dista 917 m del centroide de catálogo (639059 E / 9398295 N), distancia incompatible con la superficie del bloque (116.1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(116.136 ha) coincide con la de catálogo (116.1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19.24 %,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80 % de cobertura vegetal en campo; el NDVI mediana 2025 clasifica 100.00 %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7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«Huacas Baja»; el cruce INEI-Bloques V5 identifica 2 centro(s) poblado(s) en el bloque: HUACAS BAJA, LAS HUACAS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F-DT-02</t>
        </is>
      </c>
      <c r="C19" s="35" t="inlineStr">
        <is>
          <t>Sin ficha F-DT-02 firmada en el ANEXO 01; inventario georreferenciado de cárcavas pendiente</t>
        </is>
      </c>
      <c r="D19" s="36" t="inlineStr">
        <is>
          <t>SUSTANTIVA</t>
        </is>
      </c>
      <c r="E19" s="35" t="inlineStr">
        <is>
          <t>Levantamiento pendiente</t>
        </is>
      </c>
    </row>
    <row r="20" ht="48" customHeight="1">
      <c r="A20" s="33" t="inlineStr">
        <is>
          <t>D-11</t>
        </is>
      </c>
      <c r="B20" s="33" t="inlineStr">
        <is>
          <t>F-DT-02 / F-DT-04</t>
        </is>
      </c>
      <c r="C20" s="33" t="inlineStr">
        <is>
          <t>Densidad de cárcavas: F-DT-02 consigna 0 cárcavas y F-DT-04 declara 1 N.°/ha</t>
        </is>
      </c>
      <c r="D20" s="36" t="inlineStr">
        <is>
          <t>SUSTANTIVA</t>
        </is>
      </c>
      <c r="E20" s="33" t="inlineStr">
        <is>
          <t>Inconsistencia interna a resolver</t>
        </is>
      </c>
    </row>
    <row r="21" ht="48" customHeight="1">
      <c r="A21" s="35" t="inlineStr">
        <is>
          <t>D-12</t>
        </is>
      </c>
      <c r="B21" s="35" t="inlineStr">
        <is>
          <t>F-DT-03</t>
        </is>
      </c>
      <c r="C21" s="35" t="inlineStr">
        <is>
          <t>D-07: las observaciones señalan que «abundan ceibos» pero la tabla florística registró solo 7 especies</t>
        </is>
      </c>
      <c r="D21" s="36" t="inlineStr">
        <is>
          <t>SUSTANTIVA</t>
        </is>
      </c>
      <c r="E21" s="35" t="inlineStr">
        <is>
          <t>Inventario florístico incompleto (mínimo exigido: 15)</t>
        </is>
      </c>
    </row>
    <row r="22" ht="48" customHeight="1">
      <c r="A22" s="33" t="inlineStr">
        <is>
          <t>D-13</t>
        </is>
      </c>
      <c r="B22" s="33" t="inlineStr">
        <is>
          <t>F-DT-03</t>
        </is>
      </c>
      <c r="C22" s="33" t="inlineStr">
        <is>
          <t>Cobertura de dosel 80% incompatible con el tipo de cobertura dominante «Bosque ralo (30-70%)»</t>
        </is>
      </c>
      <c r="D22" s="36" t="inlineStr">
        <is>
          <t>SUSTANTIVA</t>
        </is>
      </c>
      <c r="E22" s="33" t="inlineStr">
        <is>
          <t>Inconsistencia interna a resolver</t>
        </is>
      </c>
    </row>
    <row r="23" ht="48" customHeight="1">
      <c r="A23" s="35" t="inlineStr">
        <is>
          <t>D-14</t>
        </is>
      </c>
      <c r="B23" s="35" t="inlineStr">
        <is>
          <t>F-DT-03</t>
        </is>
      </c>
      <c r="C23" s="35" t="inlineStr">
        <is>
          <t>Categoría UICN del Palo santo consignada «No aplica» pese a declararse amenazada por el D.S. 043</t>
        </is>
      </c>
      <c r="D23" s="15" t="inlineStr">
        <is>
          <t>NO SUSTANTIVA</t>
        </is>
      </c>
      <c r="E23" s="35" t="inlineStr">
        <is>
          <t>Completar categoría</t>
        </is>
      </c>
    </row>
    <row r="24" ht="48" customHeight="1">
      <c r="A24" s="33" t="inlineStr">
        <is>
          <t>D-15</t>
        </is>
      </c>
      <c r="B24" s="33" t="inlineStr">
        <is>
          <t>F-DT-05</t>
        </is>
      </c>
      <c r="C24" s="33" t="inlineStr">
        <is>
          <t>Sin ficha F-DT-05 en el ANEXO 01: inventario hídrico, JASS, tiempos, señal y Ronda por completar</t>
        </is>
      </c>
      <c r="D24" s="36" t="inlineStr">
        <is>
          <t>SUSTANTIVA</t>
        </is>
      </c>
      <c r="E24" s="33" t="inlineStr">
        <is>
          <t>Levantamiento pendiente</t>
        </is>
      </c>
    </row>
    <row r="25" ht="48" customHeight="1">
      <c r="A25" s="35" t="inlineStr">
        <is>
          <t>D-16</t>
        </is>
      </c>
      <c r="B25" s="35" t="inlineStr">
        <is>
          <t>F-DT-04</t>
        </is>
      </c>
      <c r="C25" s="35" t="inlineStr">
        <is>
          <t>Recomendación de campo de redelimitar el bloque excluyendo las áreas conservadas</t>
        </is>
      </c>
      <c r="D25" s="36" t="inlineStr">
        <is>
          <t>SUSTANTIVA</t>
        </is>
      </c>
      <c r="E25" s="35" t="inlineStr">
        <is>
          <t>Elevar a la Subdirección; el terreno está cercado y requiere gestión con titulares</t>
        </is>
      </c>
    </row>
    <row r="26" ht="48" customHeight="1">
      <c r="A26" s="35" t="inlineStr">
        <is>
          <t>D-17</t>
        </is>
      </c>
      <c r="B26" s="35" t="inlineStr">
        <is>
          <t>Distribución areal MSAVI 2024</t>
        </is>
      </c>
      <c r="C26" s="35" t="inlineStr">
        <is>
          <t>La distribución por clase de MSAVI no figuraba en los insumos del entregable y se consignaba «Por determinar»; se incorpora la estadística zonal del ráster MSAVI clasificado (360 polígonos, 116.099 ha)</t>
        </is>
      </c>
      <c r="D26" s="36" t="inlineStr">
        <is>
          <t>CORREGIDO</t>
        </is>
      </c>
      <c r="E26"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5" t="inlineStr">
        <is>
          <t>D-18</t>
        </is>
      </c>
      <c r="B27" s="35" t="inlineStr">
        <is>
          <t>Superficie MSAVI vs. catálogo</t>
        </is>
      </c>
      <c r="C27" s="35" t="inlineStr">
        <is>
          <t>La superficie total clasificada por el MSAVI 2024 (116.099 ha) frente a la de catálogo V5/V6 (116.100 ha): desviación de +0.00 %</t>
        </is>
      </c>
      <c r="D27" s="36" t="inlineStr">
        <is>
          <t>CONFORME</t>
        </is>
      </c>
      <c r="E27" s="35" t="inlineStr">
        <is>
          <t>Sin acción: la segmentación del ráster valida la geometría del bloque dentro del ±2 %.</t>
        </is>
      </c>
    </row>
    <row r="28" ht="48" customHeight="1">
      <c r="A28" s="35" t="inlineStr">
        <is>
          <t>D-19</t>
        </is>
      </c>
      <c r="B28" s="35" t="inlineStr">
        <is>
          <t>Media MSAVI vs. clase DN dominante</t>
        </is>
      </c>
      <c r="C28" s="35" t="inlineStr">
        <is>
          <t>La media del bloque (0.3752) cae en la clase «DN 2 · 0.2650 - 0.3813 (Vigor muy bajo)»; la clase de mayor superficie es «DN 2 · 0.2650 - 0.3813 (Vigor muy bajo)», con 46.90 % del bloque. Superficie bajo el umbral 0.4976: 107.174 ha (92.31 %)</t>
        </is>
      </c>
      <c r="D28" s="36" t="inlineStr">
        <is>
          <t>CONFORME</t>
        </is>
      </c>
      <c r="E28" s="35" t="inlineStr">
        <is>
          <t>Sin acción: la media del bloque y la clase de mayor superficie coinciden.</t>
        </is>
      </c>
    </row>
    <row r="29"/>
    <row r="30">
      <c r="A30" s="16" t="inlineStr">
        <is>
          <t>RESUMEN</t>
        </is>
      </c>
      <c r="B30" s="17" t="inlineStr">
        <is>
          <t>19 verificaciones</t>
        </is>
      </c>
      <c r="C30" s="17" t="inlineStr">
        <is>
          <t>CONFORME: 5 · CORREGIDO: 1 · NO SUSTANTIVA: 3 · SUSTANTIVA: 10</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0" t="n"/>
      <c r="C32" s="40" t="n"/>
      <c r="D32" s="40" t="n"/>
      <c r="E32" s="41"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M2B8 — IN Piura</dc:title>
  <dc:subject>Diagnóstico Territorial por bloque de intervención</dc:subject>
  <dcterms:created xsi:type="dcterms:W3CDTF">2026-09-08T03:39:54Z</dcterms:created>
  <dcterms:modified xsi:type="dcterms:W3CDTF">2026-09-09T23:30:55Z</dcterms:modified>
</cp:coreProperties>
</file>