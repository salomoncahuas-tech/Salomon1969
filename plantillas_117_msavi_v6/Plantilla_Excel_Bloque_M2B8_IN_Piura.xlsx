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49">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M2B8</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M2B8</t>
        </is>
      </c>
      <c r="C9" s="6" t="inlineStr">
        <is>
          <t>Microcuenca (catálogo)</t>
        </is>
      </c>
      <c r="D9" s="7" t="inlineStr">
        <is>
          <t>C1076-Q9584</t>
        </is>
      </c>
      <c r="E9" s="8" t="n"/>
      <c r="F9" s="8" t="n"/>
    </row>
    <row r="10">
      <c r="A10" s="6" t="inlineStr">
        <is>
          <t>Zona de planificación</t>
        </is>
      </c>
      <c r="B10" s="7" t="inlineStr">
        <is>
          <t>Z12</t>
        </is>
      </c>
      <c r="C10" s="6" t="inlineStr">
        <is>
          <t>Microcuenca declarada en ficha DT</t>
        </is>
      </c>
      <c r="D10" s="7" t="inlineStr">
        <is>
          <t>C1076-Q9584</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San Miguel de El Faique</t>
        </is>
      </c>
      <c r="C12" s="6" t="inlineStr">
        <is>
          <t>Capital distrital</t>
        </is>
      </c>
      <c r="D12" s="7" t="inlineStr">
        <is>
          <t>San Miguel de El Faique</t>
        </is>
      </c>
      <c r="E12" s="8" t="n"/>
      <c r="F12" s="8" t="n"/>
    </row>
    <row r="13">
      <c r="A13" s="6" t="inlineStr">
        <is>
          <t>Centro poblado asociado</t>
        </is>
      </c>
      <c r="B13" s="7" t="inlineStr">
        <is>
          <t>Huacas Baja</t>
        </is>
      </c>
      <c r="C13" s="6" t="inlineStr">
        <is>
          <t>Comunidad campesina</t>
        </is>
      </c>
      <c r="D13" s="7" t="inlineStr">
        <is>
          <t>No consignada</t>
        </is>
      </c>
      <c r="E13" s="8" t="n"/>
      <c r="F13" s="8" t="n"/>
    </row>
    <row r="14">
      <c r="A14" s="6" t="inlineStr">
        <is>
          <t>Superficie de catálogo (V5/V6), ha</t>
        </is>
      </c>
      <c r="B14" s="7" t="n">
        <v>116.1</v>
      </c>
      <c r="C14" s="6" t="inlineStr">
        <is>
          <t>Fuente de superficie</t>
        </is>
      </c>
      <c r="D14" s="7" t="inlineStr">
        <is>
          <t>Catálogo maestro Bloques V5/V6</t>
        </is>
      </c>
      <c r="E14" s="8" t="n"/>
      <c r="F14" s="8" t="n"/>
    </row>
    <row r="15">
      <c r="A15" s="6" t="inlineStr">
        <is>
          <t>Centroide UTM ESTE (m)</t>
        </is>
      </c>
      <c r="B15" s="7" t="n">
        <v>639059</v>
      </c>
      <c r="C15" s="6" t="inlineStr">
        <is>
          <t>Centroide UTM NORTE (m)</t>
        </is>
      </c>
      <c r="D15" s="7" t="n">
        <v>9398295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244</v>
      </c>
      <c r="C19" s="6" t="inlineStr">
        <is>
          <t>Altitud máxima (msnm)</t>
        </is>
      </c>
      <c r="D19" s="7" t="n">
        <v>673</v>
      </c>
      <c r="E19" s="8" t="n"/>
      <c r="F19" s="8" t="n"/>
    </row>
    <row r="20">
      <c r="A20" s="6" t="inlineStr">
        <is>
          <t>Amplitud altitudinal (m)</t>
        </is>
      </c>
      <c r="B20" s="7" t="n">
        <v>429</v>
      </c>
      <c r="C20" s="6" t="inlineStr">
        <is>
          <t>Piso altitudinal dominante</t>
        </is>
      </c>
      <c r="D20" s="7" t="inlineStr">
        <is>
          <t>&lt;1000 m (Yunga)</t>
        </is>
      </c>
      <c r="E20" s="8" t="n"/>
      <c r="F20" s="8" t="n"/>
    </row>
    <row r="21">
      <c r="A21" s="6" t="inlineStr">
        <is>
          <t>Pendiente promedio (%)</t>
        </is>
      </c>
      <c r="B21" s="7" t="n">
        <v>19.24</v>
      </c>
      <c r="C21" s="6" t="inlineStr">
        <is>
          <t>Pendiente promedio (grados)</t>
        </is>
      </c>
      <c r="D21" s="7" t="n">
        <v>10.9</v>
      </c>
      <c r="E21" s="8" t="n"/>
      <c r="F21" s="8" t="n"/>
    </row>
    <row r="22">
      <c r="A22" s="6" t="inlineStr">
        <is>
          <t>Clase de pendiente equivalente</t>
        </is>
      </c>
      <c r="B22" s="7" t="inlineStr">
        <is>
          <t>15-25% (Fuert. inclinado)</t>
        </is>
      </c>
      <c r="C22" s="6" t="inlineStr">
        <is>
          <t>Rango de pendiente declarado en campo</t>
        </is>
      </c>
      <c r="D22" s="7" t="inlineStr">
        <is>
          <t>25-50% (Mod. escarpado)</t>
        </is>
      </c>
      <c r="E22" s="8" t="n"/>
      <c r="F22" s="8" t="n"/>
    </row>
    <row r="23">
      <c r="A23" s="6" t="inlineStr">
        <is>
          <t>Forma predominante del terreno</t>
        </is>
      </c>
      <c r="B23" s="7" t="inlineStr">
        <is>
          <t>Colinoso</t>
        </is>
      </c>
      <c r="C23" s="6" t="inlineStr">
        <is>
          <t>Posición fisiográfica</t>
        </is>
      </c>
      <c r="D23" s="7" t="inlineStr">
        <is>
          <t>Ladera baja</t>
        </is>
      </c>
      <c r="E23" s="8" t="n"/>
      <c r="F23" s="8" t="n"/>
    </row>
    <row r="24">
      <c r="A24" s="6" t="inlineStr">
        <is>
          <t>Exposición / orientación</t>
        </is>
      </c>
      <c r="B24" s="7" t="inlineStr">
        <is>
          <t>Suroeste</t>
        </is>
      </c>
      <c r="C24" s="6" t="inlineStr">
        <is>
          <t>Afloramientos rocosos</t>
        </is>
      </c>
      <c r="D24" s="7" t="inlineStr">
        <is>
          <t>No</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0.3752</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mediana (58.83 %)</t>
        </is>
      </c>
      <c r="E29" s="8" t="n"/>
      <c r="F29" s="8" t="n"/>
    </row>
    <row r="30">
      <c r="A30" s="6" t="inlineStr">
        <is>
          <t>Superficie clasificada NDVI 2025 (ha)</t>
        </is>
      </c>
      <c r="B30" s="7" t="n">
        <v>116.136</v>
      </c>
      <c r="C30" s="6" t="inlineStr">
        <is>
          <t>Desviación frente al catálogo (%)</t>
        </is>
      </c>
      <c r="D30" s="7" t="n">
        <v>0.03</v>
      </c>
      <c r="E30" s="8" t="n"/>
      <c r="F30" s="8" t="n"/>
    </row>
    <row r="31">
      <c r="A31" s="6" t="inlineStr">
        <is>
          <t>Superficie clasificada MSAVI 2024 (ha)</t>
        </is>
      </c>
      <c r="B31" s="37" t="n">
        <v>116.099</v>
      </c>
      <c r="C31" s="6" t="inlineStr">
        <is>
          <t>Desviación MSAVI frente al catálogo (%)</t>
        </is>
      </c>
      <c r="D31" s="38" t="n">
        <v>0</v>
      </c>
      <c r="E31" s="8" t="n"/>
      <c r="F31" s="8" t="n"/>
    </row>
    <row r="32">
      <c r="A32" s="6" t="inlineStr">
        <is>
          <t>Superficie bajo umbral MSAVI 0.4976 (ha)</t>
        </is>
      </c>
      <c r="B32" s="37" t="n">
        <v>107.174</v>
      </c>
      <c r="C32" s="6" t="inlineStr">
        <is>
          <t>% del bloque bajo umbral (brecha espectral)</t>
        </is>
      </c>
      <c r="D32" s="38" t="n">
        <v>92.31</v>
      </c>
      <c r="E32" s="8" t="n"/>
      <c r="F32" s="8" t="n"/>
    </row>
    <row r="33">
      <c r="A33" s="6" t="inlineStr">
        <is>
          <t>Clase DN dominante (MSAVI 2024)</t>
        </is>
      </c>
      <c r="B33" s="7" t="inlineStr">
        <is>
          <t>DN 2 · 0.2650 - 0.3813 (Vigor muy bajo)</t>
        </is>
      </c>
      <c r="C33" s="6" t="inlineStr">
        <is>
          <t>N.° de polígonos MSAVI del bloque</t>
        </is>
      </c>
      <c r="D33" s="39" t="n">
        <v>360</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80 ha (de 116.10 ha del bloque)</t>
        </is>
      </c>
      <c r="E36" s="8" t="n"/>
      <c r="F36" s="8" t="n"/>
    </row>
    <row r="37">
      <c r="A37" s="6" t="inlineStr">
        <is>
          <t>Estado de conservación</t>
        </is>
      </c>
      <c r="B37" s="7" t="inlineStr">
        <is>
          <t>Medianamente alterado</t>
        </is>
      </c>
      <c r="C37" s="6" t="inlineStr">
        <is>
          <t>Uso actual dominante del suelo</t>
        </is>
      </c>
      <c r="D37" s="7" t="inlineStr">
        <is>
          <t>Pastoreo extensivo</t>
        </is>
      </c>
      <c r="E37" s="8" t="n"/>
      <c r="F37" s="8" t="n"/>
    </row>
    <row r="38">
      <c r="A38" s="6" t="inlineStr">
        <is>
          <t>Tipo de cobertura dominante</t>
        </is>
      </c>
      <c r="B38" s="7" t="inlineStr">
        <is>
          <t>Bosque ralo (30-70%)</t>
        </is>
      </c>
      <c r="C38" s="6" t="inlineStr">
        <is>
          <t>Cobertura vegetal total — campo (%)</t>
        </is>
      </c>
      <c r="D38" s="7" t="n">
        <v>80</v>
      </c>
      <c r="E38" s="8" t="n"/>
      <c r="F38" s="8" t="n"/>
    </row>
    <row r="39">
      <c r="A39" s="6" t="inlineStr">
        <is>
          <t>Suelo desnudo — campo (%)</t>
        </is>
      </c>
      <c r="B39" s="7" t="n">
        <v>10</v>
      </c>
      <c r="C39" s="6" t="inlineStr">
        <is>
          <t>Regeneración natural</t>
        </is>
      </c>
      <c r="D39" s="7" t="inlineStr">
        <is>
          <t>Regular (10-50 pl./100m²)</t>
        </is>
      </c>
      <c r="E39" s="8" t="n"/>
      <c r="F39" s="8" t="n"/>
    </row>
    <row r="40">
      <c r="A40" s="6" t="inlineStr">
        <is>
          <t>Nivel general de erosión</t>
        </is>
      </c>
      <c r="B40" s="7" t="inlineStr">
        <is>
          <t>Moderada (surcos)</t>
        </is>
      </c>
      <c r="C40" s="6" t="inlineStr">
        <is>
          <t>N.° de cárcavas registradas</t>
        </is>
      </c>
      <c r="D40" s="7" t="n">
        <v>0</v>
      </c>
      <c r="E40" s="8" t="n"/>
      <c r="F40" s="8" t="n"/>
    </row>
    <row r="41">
      <c r="A41" s="6" t="inlineStr">
        <is>
          <t>Elenco florístico (n.° de taxones)</t>
        </is>
      </c>
      <c r="B41" s="7" t="n">
        <v>7</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Juan Domínguez</t>
        </is>
      </c>
      <c r="C44" s="6" t="inlineStr">
        <is>
          <t>Fecha de evaluación</t>
        </is>
      </c>
      <c r="D44" s="7" t="inlineStr">
        <is>
          <t>2026-08-04</t>
        </is>
      </c>
      <c r="E44" s="8" t="n"/>
      <c r="F44" s="8" t="n"/>
    </row>
    <row r="45">
      <c r="A45" s="6" t="inlineStr">
        <is>
          <t>Hora de registro</t>
        </is>
      </c>
      <c r="B45" s="7" t="inlineStr">
        <is>
          <t>15:26 h</t>
        </is>
      </c>
      <c r="C45" s="6" t="inlineStr">
        <is>
          <t>Correlativo de ficha</t>
        </is>
      </c>
      <c r="D45" s="7" t="inlineStr">
        <is>
          <t>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Sin registro en ficha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No consignada en la ficha</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Baja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0" t="n"/>
      <c r="C57" s="40" t="n"/>
      <c r="D57" s="40" t="n"/>
      <c r="E57" s="40" t="n"/>
      <c r="F57" s="41"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1"/>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M2B8</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0.0198</v>
      </c>
      <c r="C10" s="19">
        <f>ROUND(B10/$B$15*100,2)</f>
        <v>0.02</v>
      </c>
      <c r="D10" s="11" t="inlineStr">
        <is>
          <t>Vigor alto</t>
        </is>
      </c>
      <c r="E10" s="11" t="inlineStr">
        <is>
          <t>Sobre umbral</t>
        </is>
      </c>
    </row>
    <row r="11">
      <c r="A11" s="12" t="inlineStr">
        <is>
          <t>0.4976 - 0.6139 · DN 4</t>
        </is>
      </c>
      <c r="B11" s="20" t="n">
        <v>8.9056</v>
      </c>
      <c r="C11" s="21">
        <f>ROUND(B11/$B$15*100,2)</f>
        <v>7.67</v>
      </c>
      <c r="D11" s="13" t="inlineStr">
        <is>
          <t>Vigor moderado</t>
        </is>
      </c>
      <c r="E11" s="13" t="inlineStr">
        <is>
          <t>Sobre umbral</t>
        </is>
      </c>
    </row>
    <row r="12">
      <c r="A12" s="7" t="inlineStr">
        <is>
          <t>0.3813 - 0.4976 · DN 3</t>
        </is>
      </c>
      <c r="B12" s="18" t="n">
        <v>43.9985</v>
      </c>
      <c r="C12" s="19">
        <f>ROUND(B12/$B$15*100,2)</f>
        <v>37.9</v>
      </c>
      <c r="D12" s="11" t="inlineStr">
        <is>
          <t>Vigor bajo</t>
        </is>
      </c>
      <c r="E12" s="11" t="inlineStr">
        <is>
          <t>BAJO umbral 0.4976</t>
        </is>
      </c>
    </row>
    <row r="13">
      <c r="A13" s="14" t="inlineStr">
        <is>
          <t>0.2650 - 0.3813 · DN 2</t>
        </is>
      </c>
      <c r="B13" s="31" t="n">
        <v>54.4479</v>
      </c>
      <c r="C13" s="30">
        <f>ROUND(B13/$B$15*100,2)</f>
        <v>46.9</v>
      </c>
      <c r="D13" s="15" t="inlineStr">
        <is>
          <t>Vigor muy bajo</t>
        </is>
      </c>
      <c r="E13" s="15" t="inlineStr">
        <is>
          <t>BAJO umbral 0.4976</t>
        </is>
      </c>
    </row>
    <row r="14">
      <c r="A14" s="7" t="inlineStr">
        <is>
          <t>&lt;= 0.2650 · DN 1</t>
        </is>
      </c>
      <c r="B14" s="18" t="n">
        <v>8.7272</v>
      </c>
      <c r="C14" s="19">
        <f>ROUND(B14/$B$15*100,2)</f>
        <v>7.52</v>
      </c>
      <c r="D14" s="11" t="inlineStr">
        <is>
          <t>Suelo desnudo / no vegetal</t>
        </is>
      </c>
      <c r="E14" s="11" t="inlineStr">
        <is>
          <t>BAJO umbral 0.4976</t>
        </is>
      </c>
    </row>
    <row r="15" ht="30" customHeight="1">
      <c r="A15" s="42" t="inlineStr">
        <is>
          <t>TOTAL CLASIFICADO MSAVI 2024</t>
        </is>
      </c>
      <c r="B15" s="43">
        <f>SUM(B10:B14)</f>
        <v>116.099</v>
      </c>
      <c r="C15" s="44">
        <f>SUM(C10:C14)</f>
        <v>100.01</v>
      </c>
      <c r="D15" s="42" t="inlineStr">
        <is>
          <t>Suma de la distribución areal · 360 polígonos</t>
        </is>
      </c>
      <c r="E15" s="42" t="inlineStr">
        <is>
          <t>—</t>
        </is>
      </c>
    </row>
    <row r="16" ht="30" customHeight="1">
      <c r="A16" s="45" t="inlineStr">
        <is>
          <t>Superficie SOBRE umbral 0.4976 (ha)</t>
        </is>
      </c>
      <c r="B16" s="46">
        <f>SUM(B10:B11)</f>
        <v>8.9254</v>
      </c>
      <c r="C16" s="47">
        <f>ROUND(B16/B15*100,2)</f>
        <v>7.69</v>
      </c>
      <c r="D16" s="45" t="inlineStr">
        <is>
          <t>Vigor alto y moderado (DN 4 y DN 5)</t>
        </is>
      </c>
      <c r="E16" s="45" t="inlineStr">
        <is>
          <t>Sobre umbral 0.4976</t>
        </is>
      </c>
    </row>
    <row r="17" ht="30" customHeight="1">
      <c r="A17" s="45" t="inlineStr">
        <is>
          <t>Superficie BAJO umbral 0.4976 (ha) — brecha</t>
        </is>
      </c>
      <c r="B17" s="46">
        <f>SUM(B12:B14)</f>
        <v>107.1736</v>
      </c>
      <c r="C17" s="47">
        <f>ROUND(B17/B15*100,2)</f>
        <v>92.31</v>
      </c>
      <c r="D17" s="45" t="inlineStr">
        <is>
          <t>Vigor bajo, muy bajo y suelo desnudo (DN 1 a DN 3)</t>
        </is>
      </c>
      <c r="E17" s="45" t="inlineStr">
        <is>
          <t>Base para el indicador de brecha (R.M. N.° 00213-2024-MINAM)</t>
        </is>
      </c>
    </row>
    <row r="18" ht="30" customHeight="1">
      <c r="A18" s="45" t="inlineStr">
        <is>
          <t>Superficie de catálogo (V5/V6) — contraste MSAVI</t>
        </is>
      </c>
      <c r="B18" s="46" t="n">
        <v>116.1</v>
      </c>
      <c r="C18" s="48" t="inlineStr">
        <is>
          <t>—</t>
        </is>
      </c>
      <c r="D18" s="45" t="inlineStr">
        <is>
          <t>Desviación planimétrica frente al catálogo</t>
        </is>
      </c>
      <c r="E18" s="45" t="inlineStr">
        <is>
          <t>+0.00 %</t>
        </is>
      </c>
    </row>
    <row r="19">
      <c r="A19" s="16" t="inlineStr">
        <is>
          <t>MSAVI 2024 — MEDIA DEL BLOQUE</t>
        </is>
      </c>
      <c r="B19" s="17" t="n">
        <v>0.375171</v>
      </c>
      <c r="C19" s="17" t="inlineStr">
        <is>
          <t>—</t>
        </is>
      </c>
      <c r="D19" s="17" t="inlineStr">
        <is>
          <t>Vigor muy bajo · clase 0.2650 - 0.3813</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360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(0.3752) se conserva del catálogo maestro y es dato oficial; la fila resaltada indica la clase en la que cae dicha media. Los totales y porcentajes se calculan con fórmulas sobre las filas del cuadro.</t>
        </is>
      </c>
      <c r="B21" s="40" t="n"/>
      <c r="C21" s="40" t="n"/>
      <c r="D21" s="40" t="n"/>
      <c r="E21" s="41"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19.3268</v>
      </c>
      <c r="C25" s="19" t="n">
        <v>16.64</v>
      </c>
      <c r="D25" s="11" t="inlineStr">
        <is>
          <t>Dosel continuo, matorral denso o mosaico agroforestal</t>
        </is>
      </c>
      <c r="E25" s="11" t="inlineStr"/>
    </row>
    <row r="26">
      <c r="A26" s="12" t="inlineStr">
        <is>
          <t>Vegetación mediana</t>
        </is>
      </c>
      <c r="B26" s="20" t="n">
        <v>68.3261</v>
      </c>
      <c r="C26" s="21" t="n">
        <v>58.83</v>
      </c>
      <c r="D26" s="13" t="inlineStr">
        <is>
          <t>Pastizal cultivado, matorral ralo, parcelas agrícolas</t>
        </is>
      </c>
      <c r="E26" s="13" t="inlineStr"/>
    </row>
    <row r="27">
      <c r="A27" s="7" t="inlineStr">
        <is>
          <t>Vegetación ligera</t>
        </is>
      </c>
      <c r="B27" s="18" t="n">
        <v>28.4833</v>
      </c>
      <c r="C27" s="19" t="n">
        <v>24.53</v>
      </c>
      <c r="D27" s="11" t="inlineStr">
        <is>
          <t>Cobertura discontinua, suelo parcialmente expuesto</t>
        </is>
      </c>
      <c r="E27" s="11" t="inlineStr"/>
    </row>
    <row r="28">
      <c r="A28" s="16" t="inlineStr">
        <is>
          <t>TOTAL CLASIFICADO</t>
        </is>
      </c>
      <c r="B28" s="22">
        <f>SUM(B25:B27)</f>
        <v>116.1362</v>
      </c>
      <c r="C28" s="23">
        <f>SUM(C25:C27)</f>
        <v>100.0</v>
      </c>
      <c r="D28" s="17" t="inlineStr"/>
      <c r="E28" s="17" t="inlineStr"/>
    </row>
    <row r="29">
      <c r="A29" s="24" t="inlineStr">
        <is>
          <t>Superficie de catálogo (V5/V6)</t>
        </is>
      </c>
      <c r="B29" s="25" t="n">
        <v>116.1</v>
      </c>
      <c r="C29" s="25" t="inlineStr">
        <is>
          <t>—</t>
        </is>
      </c>
      <c r="D29" s="25" t="inlineStr">
        <is>
          <t>Desviación planimétrica frente al catálogo</t>
        </is>
      </c>
      <c r="E29" s="25" t="inlineStr">
        <is>
          <t>+0.03 %</t>
        </is>
      </c>
    </row>
    <row r="30"/>
    <row r="31" ht="108" customHeight="1">
      <c r="A31"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80 % frente a un 16.64 % del polígono clasificado como «Vegetación alta» por el NDVI 2025; la observación de campo corresponde a una parcela o recorrido puntual y no es estadísticamente representativa de las 116.100 ha del bloque.</t>
        </is>
      </c>
      <c r="B31" s="40" t="n"/>
      <c r="C31" s="40" t="n"/>
      <c r="D31" s="40" t="n"/>
      <c r="E31" s="41" t="n"/>
    </row>
  </sheetData>
  <mergeCells count="10">
    <mergeCell ref="A21:E21"/>
    <mergeCell ref="A4:E4"/>
    <mergeCell ref="A2:E2"/>
    <mergeCell ref="A1:E1"/>
    <mergeCell ref="A5:E5"/>
    <mergeCell ref="A23:E23"/>
    <mergeCell ref="A8:E8"/>
    <mergeCell ref="A6:E6"/>
    <mergeCell ref="A31:E3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M2B8</t>
        </is>
      </c>
    </row>
    <row r="6" ht="24" customHeight="1">
      <c r="A6" s="4" t="inlineStr">
        <is>
          <t>Levantamiento del 2026-08-04 · Sistema de referencia UTM WGS 84 Zona 17S (EPSG:32717)</t>
        </is>
      </c>
    </row>
    <row r="7"/>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638286</v>
      </c>
      <c r="D10" s="26" t="n">
        <v>9398789</v>
      </c>
      <c r="E10" s="11" t="n">
        <v>917.4</v>
      </c>
      <c r="F10" s="11" t="inlineStr"/>
      <c r="G10" s="11" t="inlineStr">
        <is>
          <t>Coordenada consignada en F-DT-01</t>
        </is>
      </c>
    </row>
    <row r="11">
      <c r="A11" s="16" t="inlineStr">
        <is>
          <t>TOTAL: 1 puntos</t>
        </is>
      </c>
      <c r="B11" s="17" t="inlineStr"/>
      <c r="C11" s="17" t="inlineStr"/>
      <c r="D11" s="17" t="inlineStr"/>
      <c r="E11" s="17" t="inlineStr"/>
      <c r="F11" s="17" t="inlineStr"/>
      <c r="G11" s="17" t="inlineStr"/>
    </row>
    <row r="12"/>
    <row r="13">
      <c r="A13" s="6" t="inlineStr">
        <is>
          <t>Centroide del bloque — UTM ESTE (m)</t>
        </is>
      </c>
      <c r="B13" s="7" t="n">
        <v>639059</v>
      </c>
      <c r="C13" s="6" t="inlineStr">
        <is>
          <t>Centroide del bloque — UTM NORTE (m)</t>
        </is>
      </c>
      <c r="D13" s="7" t="n">
        <v>9398295</v>
      </c>
      <c r="E13" s="8" t="n"/>
      <c r="F13" s="8" t="n"/>
      <c r="G13" s="8" t="n"/>
      <c r="H13" s="8" t="n"/>
    </row>
    <row r="14">
      <c r="A14" s="6" t="inlineStr">
        <is>
          <t>N.° de estaciones fotográficas declaradas</t>
        </is>
      </c>
      <c r="B14" s="7" t="n">
        <v>0</v>
      </c>
      <c r="C14" s="6" t="inlineStr">
        <is>
          <t>Estaciones dentro del polígono</t>
        </is>
      </c>
      <c r="D14" s="7" t="n">
        <v>0</v>
      </c>
      <c r="E14" s="8" t="n"/>
      <c r="F14" s="8" t="n"/>
      <c r="G14" s="8" t="n"/>
      <c r="H14" s="8" t="n"/>
    </row>
    <row r="15"/>
    <row r="16" ht="144" customHeight="1">
      <c r="A16"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bloque se ubica en una ladera de colina alta, con pendiente menor a 60%; el terreno se inclina más conforme se asciende. Altitud ≈250 msnm. LA LADERA ES EMPLEADA PARA EL PASTOREO EXTENSIVO DE GANADO CAPRINO Y VACUNO del centro poblado asentado al pie del bloque. Se ubica cerca de una VÍA ASFALTADA y de ÁREAS DE CULTIVO. Se ha evidenciado LEÑA APILADA en viviendas próximas. El suelo presenta erosión eólica e hídrica; en la ladera se observan estrías y surcos dejados por el tránsito habitual del ganado. Existen caminos de herradura dentro del bloque y áreas de suelo desprovistas de vegetación expuestas a lluvia. ES EL ÚNICO DE LOS SEIS BLOQUES DEL GRUPO EN EL QUE SE REGISTRA REPTACIÓN DE SUELO.</t>
        </is>
      </c>
      <c r="B16" s="40" t="n"/>
      <c r="C16" s="40" t="n"/>
      <c r="D16" s="40" t="n"/>
      <c r="E16" s="40" t="n"/>
      <c r="F16" s="40" t="n"/>
      <c r="G16" s="41" t="n"/>
    </row>
  </sheetData>
  <mergeCells count="8">
    <mergeCell ref="A1:G1"/>
    <mergeCell ref="A8:G8"/>
    <mergeCell ref="A3:G3"/>
    <mergeCell ref="A6:G6"/>
    <mergeCell ref="A4:G4"/>
    <mergeCell ref="A2:G2"/>
    <mergeCell ref="A16:G16"/>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C1076-Q9584 — BLOQUE M2B8</t>
        </is>
      </c>
    </row>
    <row r="6" ht="24" customHeight="1">
      <c r="A6" s="4" t="inlineStr">
        <is>
          <t>Distrito de San Miguel de El Faique · Provincia de Huancabamba · Comparación de los bloques preliminares de intervención de la misma microcuenca</t>
        </is>
      </c>
    </row>
    <row r="7"/>
    <row r="8" ht="18" customHeight="1">
      <c r="A8" s="5" t="inlineStr">
        <is>
          <t>BLOQUES DE LA MICROCUENCA C1076-Q9584</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1</t>
        </is>
      </c>
      <c r="B10" s="27" t="n">
        <v>1370.96</v>
      </c>
      <c r="C10" s="19" t="n">
        <v>77.31999999999999</v>
      </c>
      <c r="D10" s="11" t="inlineStr">
        <is>
          <t>291 – 1204</t>
        </is>
      </c>
      <c r="E10" s="11" t="n">
        <v>913</v>
      </c>
      <c r="F10" s="11" t="n">
        <v>21.39</v>
      </c>
      <c r="G10" s="18" t="n">
        <v>0.4545</v>
      </c>
      <c r="H10" s="19" t="inlineStr">
        <is>
          <t>Por determinar</t>
        </is>
      </c>
      <c r="I10" s="11" t="inlineStr">
        <is>
          <t>s/d</t>
        </is>
      </c>
    </row>
    <row r="11">
      <c r="A11" s="12" t="inlineStr">
        <is>
          <t>7</t>
        </is>
      </c>
      <c r="B11" s="28" t="n">
        <v>173.43</v>
      </c>
      <c r="C11" s="21" t="n">
        <v>9.779999999999999</v>
      </c>
      <c r="D11" s="13" t="inlineStr">
        <is>
          <t>257 – 577</t>
        </is>
      </c>
      <c r="E11" s="13" t="n">
        <v>320</v>
      </c>
      <c r="F11" s="13" t="n">
        <v>18.59</v>
      </c>
      <c r="G11" s="20" t="n">
        <v>0.3753</v>
      </c>
      <c r="H11" s="21" t="inlineStr">
        <is>
          <t>Por determinar</t>
        </is>
      </c>
      <c r="I11" s="13" t="inlineStr">
        <is>
          <t>s/d</t>
        </is>
      </c>
    </row>
    <row r="12">
      <c r="A12" s="14" t="inlineStr">
        <is>
          <t>► M2B8</t>
        </is>
      </c>
      <c r="B12" s="29" t="n">
        <v>116.1</v>
      </c>
      <c r="C12" s="30" t="n">
        <v>6.55</v>
      </c>
      <c r="D12" s="15" t="inlineStr">
        <is>
          <t>244 – 673</t>
        </is>
      </c>
      <c r="E12" s="15" t="n">
        <v>429</v>
      </c>
      <c r="F12" s="15" t="n">
        <v>19.24</v>
      </c>
      <c r="G12" s="31" t="n">
        <v>0.3752</v>
      </c>
      <c r="H12" s="30" t="n">
        <v>16.64</v>
      </c>
      <c r="I12" s="30" t="n">
        <v>92.31</v>
      </c>
    </row>
    <row r="13">
      <c r="A13" s="12" t="inlineStr">
        <is>
          <t>M2B1</t>
        </is>
      </c>
      <c r="B13" s="28" t="n">
        <v>81.79000000000001</v>
      </c>
      <c r="C13" s="21" t="n">
        <v>4.61</v>
      </c>
      <c r="D13" s="13" t="inlineStr">
        <is>
          <t>235 – 446</t>
        </is>
      </c>
      <c r="E13" s="13" t="n">
        <v>211</v>
      </c>
      <c r="F13" s="13" t="n">
        <v>17.48</v>
      </c>
      <c r="G13" s="20" t="n">
        <v>0.2984</v>
      </c>
      <c r="H13" s="21" t="n">
        <v>0.04</v>
      </c>
      <c r="I13" s="21" t="n">
        <v>100</v>
      </c>
    </row>
    <row r="14">
      <c r="A14" s="7" t="inlineStr">
        <is>
          <t>M2B5</t>
        </is>
      </c>
      <c r="B14" s="27" t="n">
        <v>30.91</v>
      </c>
      <c r="C14" s="19" t="n">
        <v>1.74</v>
      </c>
      <c r="D14" s="11" t="inlineStr">
        <is>
          <t>68 – 322</t>
        </is>
      </c>
      <c r="E14" s="11" t="n">
        <v>254</v>
      </c>
      <c r="F14" s="11" t="n">
        <v>8.32</v>
      </c>
      <c r="G14" s="18" t="n">
        <v>0.3047</v>
      </c>
      <c r="H14" s="19" t="n">
        <v>5.14</v>
      </c>
      <c r="I14" s="19" t="n">
        <v>99.03</v>
      </c>
    </row>
    <row r="15">
      <c r="A15" s="16" t="inlineStr">
        <is>
          <t>TOTAL / PROMEDIO</t>
        </is>
      </c>
      <c r="B15" s="32">
        <f>SUM(B10:B14)</f>
        <v>1773.19</v>
      </c>
      <c r="C15" s="23">
        <f>SUM(C10:C14)</f>
        <v>100.0</v>
      </c>
      <c r="D15" s="17" t="inlineStr">
        <is>
          <t>68 – 1204</t>
        </is>
      </c>
      <c r="E15" s="17" t="inlineStr"/>
      <c r="F15" s="17">
        <f>ROUND(AVERAGE(F10:F14),2)</f>
        <v>17.0</v>
      </c>
      <c r="G15" s="22">
        <f>ROUND(AVERAGE(G10:G14),4)</f>
        <v>0.3616</v>
      </c>
      <c r="H15" s="23">
        <f>ROUND(AVERAGE(H10:H14),2)</f>
        <v>7.27</v>
      </c>
      <c r="I15" s="23">
        <f>ROUND(AVERAGE(I10:I14),2)</f>
        <v>97.11</v>
      </c>
    </row>
    <row r="16" ht="48" customHeight="1">
      <c r="A16" s="9" t="inlineStr">
        <is>
          <t>ALCANCE DE LOS PROMEDIOS. La fila TOTAL / PROMEDIO omite las celdas «Por determinar»: el promedio de VEGETACIÓN ALTA (NDVI 2025) se calcula sobre 3 de los 5 bloques; los 2 bloques restantes carecen de estadística zonal de NDVI. Los totales de ÁREA y % de microcuenca sí comprenden la totalidad de los 5 bloques. No se estima ningún valor ausente.</t>
        </is>
      </c>
      <c r="B16" s="40" t="n"/>
      <c r="C16" s="40" t="n"/>
      <c r="D16" s="40" t="n"/>
      <c r="E16" s="40" t="n"/>
      <c r="F16" s="40" t="n"/>
      <c r="G16" s="40" t="n"/>
      <c r="H16" s="41" t="n"/>
    </row>
    <row r="17"/>
    <row r="18" ht="84" customHeight="1">
      <c r="A18" s="9" t="inlineStr">
        <is>
          <t>LECTURA INTRAMICROCUENCA. El bloque M2B8 ocupa el puesto 3 de 5 por superficie dentro de la microcuenca C1076-Q9584 (6.55 % de las 1773.19 ha preliminares de la microcuenca). Su pendiente promedio (19.24 %, clase «15-25% (Fuert. inclinado)») es la 4.ª más baja de 5 y se sitúa por encima del promedio de la microcuenca (17.00 %). Su MSAVI 2024 (0.3752) es el 3.º de 5 y queda por encima del promedio local (0.3616). Amplitud altitudinal del bloque: 429 m (244–673 msnm). El cuadro conserva todos los bloques catalogados en la microcuenca, incluidos los descartados en el tamizaje, para referencia del conjunto. Los bloques sin ficha DT figuran con sus parámetros de gabinete. BRECHA ESPECTRAL. El 92.31 % de la superficie del bloque (107.174 ha de 116.099 ha) se sitúa bajo el umbral MSAVI 0.4976, por debajo del promedio local de la microcuenca (97.12 %) calculado sobre los bloques con dato MSAVI disponible.</t>
        </is>
      </c>
      <c r="B18" s="40" t="n"/>
      <c r="C18" s="40" t="n"/>
      <c r="D18" s="40" t="n"/>
      <c r="E18" s="40" t="n"/>
      <c r="F18" s="40" t="n"/>
      <c r="G18" s="40" t="n"/>
      <c r="H18" s="41" t="n"/>
    </row>
    <row r="19"/>
    <row r="20" ht="60" customHeight="1">
      <c r="A20"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0" s="40" t="n"/>
      <c r="C20" s="40" t="n"/>
      <c r="D20" s="40" t="n"/>
      <c r="E20" s="40" t="n"/>
      <c r="F20" s="40" t="n"/>
      <c r="G20" s="40" t="n"/>
      <c r="H20" s="41" t="n"/>
    </row>
  </sheetData>
  <mergeCells count="10">
    <mergeCell ref="A18:I18"/>
    <mergeCell ref="A4:I4"/>
    <mergeCell ref="A1:I1"/>
    <mergeCell ref="A3:I3"/>
    <mergeCell ref="A20:I20"/>
    <mergeCell ref="A2:I2"/>
    <mergeCell ref="A16:I16"/>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M2B8</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3" t="inlineStr">
        <is>
          <t>D-01</t>
        </is>
      </c>
      <c r="B10" s="33" t="inlineStr">
        <is>
          <t>Código de microcuenca</t>
        </is>
      </c>
      <c r="C10" s="33" t="inlineStr">
        <is>
          <t>Ficha DT y catálogo maestro coinciden en «C1076-Q9584»</t>
        </is>
      </c>
      <c r="D10" s="34" t="inlineStr">
        <is>
          <t>CONFORME</t>
        </is>
      </c>
      <c r="E10" s="33" t="inlineStr">
        <is>
          <t>Sin acción.</t>
        </is>
      </c>
    </row>
    <row r="11" ht="48" customHeight="1">
      <c r="A11" s="35" t="inlineStr">
        <is>
          <t>D-02</t>
        </is>
      </c>
      <c r="B11" s="35" t="inlineStr">
        <is>
          <t>UTM del punto de muestreo</t>
        </is>
      </c>
      <c r="C11" s="35" t="inlineStr">
        <is>
          <t>El punto de muestreo declarado (638286 E / 9398789 N) dista 917 m del centroide de catálogo (639059 E / 9398295 N), distancia incompatible con la superficie del bloque (116.1 ha)</t>
        </is>
      </c>
      <c r="D11" s="36" t="inlineStr">
        <is>
          <t>SUSTANTIVA</t>
        </is>
      </c>
      <c r="E11" s="35" t="inlineStr">
        <is>
          <t>Se declara la coordenada como POR VERIFICAR: puede corresponder a otro bloque o a un error de digitación. No se corrige de oficio.</t>
        </is>
      </c>
    </row>
    <row r="12" ht="48" customHeight="1">
      <c r="A12" s="33" t="inlineStr">
        <is>
          <t>D-03</t>
        </is>
      </c>
      <c r="B12" s="33" t="inlineStr">
        <is>
          <t>Superficie del polígono</t>
        </is>
      </c>
      <c r="C12" s="33" t="inlineStr">
        <is>
          <t>La superficie clasificada por el NDVI 2025 (116.136 ha) coincide con la de catálogo (116.1 ha) dentro del ±2 % (+0.03 %)</t>
        </is>
      </c>
      <c r="D12" s="34" t="inlineStr">
        <is>
          <t>CONFORME</t>
        </is>
      </c>
      <c r="E12" s="33" t="inlineStr">
        <is>
          <t>Sin acción: la segmentación valida la geometría del bloque.</t>
        </is>
      </c>
    </row>
    <row r="13" ht="48" customHeight="1">
      <c r="A13" s="35" t="inlineStr">
        <is>
          <t>D-04</t>
        </is>
      </c>
      <c r="B13" s="35" t="inlineStr">
        <is>
          <t>Rango de pendiente dominante</t>
        </is>
      </c>
      <c r="C13" s="35" t="inlineStr">
        <is>
          <t>La ficha DT declara «25-50% (Mod. escarpado)»; la estadística zonal sobre el MDE arroja una pendiente promedio de 19.24 %, que corresponde a la clase «15-25% (Fuert. inclinado)»</t>
        </is>
      </c>
      <c r="D13" s="15" t="inlineStr">
        <is>
          <t>NO SUSTANTIVA</t>
        </is>
      </c>
      <c r="E13" s="35" t="inlineStr">
        <is>
          <t>Se conserva el registro de campo como observación de sector y se adopta el valor del MDE para el cálculo intramicrocuenca. La divergencia es esperable: el dato de campo es puntual y el del MDE es promedio del polígono.</t>
        </is>
      </c>
    </row>
    <row r="14" ht="48" customHeight="1">
      <c r="A14" s="33" t="inlineStr">
        <is>
          <t>D-05</t>
        </is>
      </c>
      <c r="B14" s="33" t="inlineStr">
        <is>
          <t>Cobertura vegetal total</t>
        </is>
      </c>
      <c r="C14" s="33" t="inlineStr">
        <is>
          <t>La ficha DT estima 80 % de cobertura vegetal en campo; el NDVI mediana 2025 clasifica 100.00 % del polígono en clases de vegetación</t>
        </is>
      </c>
      <c r="D14" s="15" t="inlineStr">
        <is>
          <t>NO SUSTANTIVA</t>
        </is>
      </c>
      <c r="E14" s="33" t="inlineStr">
        <is>
          <t>Se declaran ambos valores. La observación de campo corresponde a una parcela o recorrido puntual y no es representativa de la totalidad del bloque; el índice espectral no discrimina composición ni integridad ecosistémica.</t>
        </is>
      </c>
    </row>
    <row r="15" ht="48" customHeight="1">
      <c r="A15" s="35" t="inlineStr">
        <is>
          <t>D-06</t>
        </is>
      </c>
      <c r="B15" s="35" t="inlineStr">
        <is>
          <t>Elenco florístico</t>
        </is>
      </c>
      <c r="C15" s="35" t="inlineStr">
        <is>
          <t>La ficha registra 7 taxones, por debajo del mínimo de 15 que exige el formato V5</t>
        </is>
      </c>
      <c r="D15" s="36" t="inlineStr">
        <is>
          <t>SUSTANTIVA</t>
        </is>
      </c>
      <c r="E15" s="35" t="inlineStr">
        <is>
          <t>Registro florístico preliminar, sin colecta ni determinación botánica formal. Debe cerrarse con colecta botánica en la siguiente campaña.</t>
        </is>
      </c>
    </row>
    <row r="16" ht="48" customHeight="1">
      <c r="A16" s="33" t="inlineStr">
        <is>
          <t>D-07</t>
        </is>
      </c>
      <c r="B16" s="33" t="inlineStr">
        <is>
          <t>Representatividad del levantamiento</t>
        </is>
      </c>
      <c r="C16" s="33" t="inlineStr">
        <is>
          <t>Ninguna de las estaciones fotográficas georreferenciadas se localiza dentro del polígono del bloque</t>
        </is>
      </c>
      <c r="D16" s="36" t="inlineStr">
        <is>
          <t>SUSTANTIVA</t>
        </is>
      </c>
      <c r="E16" s="33" t="inlineStr">
        <is>
          <t>La verificación documenta el perímetro y la vista panorámica del bloque, no su interior. Los parámetros que exigen recorrido interno se consignan «Por determinar».</t>
        </is>
      </c>
    </row>
    <row r="17" ht="48" customHeight="1">
      <c r="A17" s="35" t="inlineStr">
        <is>
          <t>D-08</t>
        </is>
      </c>
      <c r="B17" s="35" t="inlineStr">
        <is>
          <t>Centro poblado asociado</t>
        </is>
      </c>
      <c r="C17" s="35" t="inlineStr">
        <is>
          <t>La ficha DT declara «Huacas Baja»; el cruce INEI-Bloques V5 identifica 2 centro(s) poblado(s) en el bloque: HUACAS BAJA, LAS HUACAS</t>
        </is>
      </c>
      <c r="D17" s="34" t="inlineStr">
        <is>
          <t>CONFORME</t>
        </is>
      </c>
      <c r="E17" s="35" t="inlineStr">
        <is>
          <t>Se conserva el registro de campo como referencia y se adopta el listado INEI para el diagnóstico social y el cálculo de población beneficiaria.</t>
        </is>
      </c>
    </row>
    <row r="18" ht="48" customHeight="1">
      <c r="A18" s="33" t="inlineStr">
        <is>
          <t>D-09</t>
        </is>
      </c>
      <c r="B18" s="33" t="inlineStr">
        <is>
          <t>Peligro integrado (MCA-AHP)</t>
        </is>
      </c>
      <c r="C18" s="33" t="inlineStr">
        <is>
          <t>El nivel de peligro integrado no está disponible en los insumos de este entregable</t>
        </is>
      </c>
      <c r="D18" s="36" t="inlineStr">
        <is>
          <t>SUSTANTIVA</t>
        </is>
      </c>
      <c r="E18" s="33" t="inlineStr">
        <is>
          <t>Debe tomarse del modelamiento de mesolocalización (PMM + EPH + PGI ponderados por AHP) antes de fijar la prioridad definitiva de intervención del bloque.</t>
        </is>
      </c>
    </row>
    <row r="19" ht="48" customHeight="1">
      <c r="A19" s="35" t="inlineStr">
        <is>
          <t>D-10</t>
        </is>
      </c>
      <c r="B19" s="35" t="inlineStr">
        <is>
          <t>F-DT-02</t>
        </is>
      </c>
      <c r="C19" s="35" t="inlineStr">
        <is>
          <t>Sin ficha F-DT-02 firmada en el ANEXO 01; inventario georreferenciado de cárcavas pendiente</t>
        </is>
      </c>
      <c r="D19" s="36" t="inlineStr">
        <is>
          <t>SUSTANTIVA</t>
        </is>
      </c>
      <c r="E19" s="35" t="inlineStr">
        <is>
          <t>Levantamiento pendiente</t>
        </is>
      </c>
    </row>
    <row r="20" ht="48" customHeight="1">
      <c r="A20" s="33" t="inlineStr">
        <is>
          <t>D-11</t>
        </is>
      </c>
      <c r="B20" s="33" t="inlineStr">
        <is>
          <t>F-DT-02 / F-DT-04</t>
        </is>
      </c>
      <c r="C20" s="33" t="inlineStr">
        <is>
          <t>Densidad de cárcavas: F-DT-02 consigna 0 cárcavas y F-DT-04 declara 1 N.°/ha</t>
        </is>
      </c>
      <c r="D20" s="36" t="inlineStr">
        <is>
          <t>SUSTANTIVA</t>
        </is>
      </c>
      <c r="E20" s="33" t="inlineStr">
        <is>
          <t>Inconsistencia interna a resolver</t>
        </is>
      </c>
    </row>
    <row r="21" ht="48" customHeight="1">
      <c r="A21" s="35" t="inlineStr">
        <is>
          <t>D-12</t>
        </is>
      </c>
      <c r="B21" s="35" t="inlineStr">
        <is>
          <t>F-DT-03</t>
        </is>
      </c>
      <c r="C21" s="35" t="inlineStr">
        <is>
          <t>D-07: las observaciones señalan que «abundan ceibos» pero la tabla florística registró solo 7 especies</t>
        </is>
      </c>
      <c r="D21" s="36" t="inlineStr">
        <is>
          <t>SUSTANTIVA</t>
        </is>
      </c>
      <c r="E21" s="35" t="inlineStr">
        <is>
          <t>Inventario florístico incompleto (mínimo exigido: 15)</t>
        </is>
      </c>
    </row>
    <row r="22" ht="48" customHeight="1">
      <c r="A22" s="33" t="inlineStr">
        <is>
          <t>D-13</t>
        </is>
      </c>
      <c r="B22" s="33" t="inlineStr">
        <is>
          <t>F-DT-03</t>
        </is>
      </c>
      <c r="C22" s="33" t="inlineStr">
        <is>
          <t>Cobertura de dosel 80% incompatible con el tipo de cobertura dominante «Bosque ralo (30-70%)»</t>
        </is>
      </c>
      <c r="D22" s="36" t="inlineStr">
        <is>
          <t>SUSTANTIVA</t>
        </is>
      </c>
      <c r="E22" s="33" t="inlineStr">
        <is>
          <t>Inconsistencia interna a resolver</t>
        </is>
      </c>
    </row>
    <row r="23" ht="48" customHeight="1">
      <c r="A23" s="35" t="inlineStr">
        <is>
          <t>D-14</t>
        </is>
      </c>
      <c r="B23" s="35" t="inlineStr">
        <is>
          <t>F-DT-03</t>
        </is>
      </c>
      <c r="C23" s="35" t="inlineStr">
        <is>
          <t>Categoría UICN del Palo santo consignada «No aplica» pese a declararse amenazada por el D.S. 043</t>
        </is>
      </c>
      <c r="D23" s="15" t="inlineStr">
        <is>
          <t>NO SUSTANTIVA</t>
        </is>
      </c>
      <c r="E23" s="35" t="inlineStr">
        <is>
          <t>Completar categoría</t>
        </is>
      </c>
    </row>
    <row r="24" ht="48" customHeight="1">
      <c r="A24" s="33" t="inlineStr">
        <is>
          <t>D-15</t>
        </is>
      </c>
      <c r="B24" s="33" t="inlineStr">
        <is>
          <t>F-DT-05</t>
        </is>
      </c>
      <c r="C24" s="33" t="inlineStr">
        <is>
          <t>Sin ficha F-DT-05 en el ANEXO 01: inventario hídrico, JASS, tiempos, señal y Ronda por completar</t>
        </is>
      </c>
      <c r="D24" s="36" t="inlineStr">
        <is>
          <t>SUSTANTIVA</t>
        </is>
      </c>
      <c r="E24" s="33" t="inlineStr">
        <is>
          <t>Levantamiento pendiente</t>
        </is>
      </c>
    </row>
    <row r="25" ht="48" customHeight="1">
      <c r="A25" s="35" t="inlineStr">
        <is>
          <t>D-16</t>
        </is>
      </c>
      <c r="B25" s="35" t="inlineStr">
        <is>
          <t>F-DT-04</t>
        </is>
      </c>
      <c r="C25" s="35" t="inlineStr">
        <is>
          <t>Recomendación de campo de redelimitar el bloque excluyendo las áreas conservadas</t>
        </is>
      </c>
      <c r="D25" s="36" t="inlineStr">
        <is>
          <t>SUSTANTIVA</t>
        </is>
      </c>
      <c r="E25" s="35" t="inlineStr">
        <is>
          <t>Elevar a la Subdirección; el terreno está cercado y requiere gestión con titulares</t>
        </is>
      </c>
    </row>
    <row r="26" ht="48" customHeight="1">
      <c r="A26" s="35" t="inlineStr">
        <is>
          <t>D-17</t>
        </is>
      </c>
      <c r="B26" s="35" t="inlineStr">
        <is>
          <t>Distribución areal MSAVI 2024</t>
        </is>
      </c>
      <c r="C26" s="35" t="inlineStr">
        <is>
          <t>La distribución por clase de MSAVI no figuraba en los insumos del entregable y se consignaba «Por determinar»; se incorpora la estadística zonal del ráster MSAVI clasificado (360 polígonos, 116.099 ha)</t>
        </is>
      </c>
      <c r="D26" s="36" t="inlineStr">
        <is>
          <t>CORREGIDO</t>
        </is>
      </c>
      <c r="E26" s="35"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7" ht="48" customHeight="1">
      <c r="A27" s="35" t="inlineStr">
        <is>
          <t>D-18</t>
        </is>
      </c>
      <c r="B27" s="35" t="inlineStr">
        <is>
          <t>Superficie MSAVI vs. catálogo</t>
        </is>
      </c>
      <c r="C27" s="35" t="inlineStr">
        <is>
          <t>La superficie total clasificada por el MSAVI 2024 (116.099 ha) frente a la de catálogo V5/V6 (116.100 ha): desviación de +0.00 %</t>
        </is>
      </c>
      <c r="D27" s="36" t="inlineStr">
        <is>
          <t>CONFORME</t>
        </is>
      </c>
      <c r="E27" s="35" t="inlineStr">
        <is>
          <t>Sin acción: la segmentación del ráster valida la geometría del bloque dentro del ±2 %.</t>
        </is>
      </c>
    </row>
    <row r="28" ht="48" customHeight="1">
      <c r="A28" s="35" t="inlineStr">
        <is>
          <t>D-19</t>
        </is>
      </c>
      <c r="B28" s="35" t="inlineStr">
        <is>
          <t>Media MSAVI vs. clase DN dominante</t>
        </is>
      </c>
      <c r="C28" s="35" t="inlineStr">
        <is>
          <t>La media del bloque (0.3752) cae en la clase «DN 2 · 0.2650 - 0.3813 (Vigor muy bajo)»; la clase de mayor superficie es «DN 2 · 0.2650 - 0.3813 (Vigor muy bajo)», con 46.90 % del bloque. Superficie bajo el umbral 0.4976: 107.174 ha (92.31 %)</t>
        </is>
      </c>
      <c r="D28" s="36" t="inlineStr">
        <is>
          <t>CONFORME</t>
        </is>
      </c>
      <c r="E28" s="35" t="inlineStr">
        <is>
          <t>Sin acción: la media del bloque y la clase de mayor superficie coinciden.</t>
        </is>
      </c>
    </row>
    <row r="29"/>
    <row r="30">
      <c r="A30" s="16" t="inlineStr">
        <is>
          <t>RESUMEN</t>
        </is>
      </c>
      <c r="B30" s="17" t="inlineStr">
        <is>
          <t>19 verificaciones</t>
        </is>
      </c>
      <c r="C30" s="17" t="inlineStr">
        <is>
          <t>CONFORME: 5 · CORREGIDO: 1 · NO SUSTANTIVA: 3 · SUSTANTIVA: 10</t>
        </is>
      </c>
      <c r="D30" s="17" t="inlineStr"/>
      <c r="E30" s="17" t="inlineStr"/>
    </row>
    <row r="31"/>
    <row r="32" ht="60" customHeight="1">
      <c r="A3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2" s="40" t="n"/>
      <c r="C32" s="40" t="n"/>
      <c r="D32" s="40" t="n"/>
      <c r="E32" s="41" t="n"/>
    </row>
  </sheetData>
  <mergeCells count="8">
    <mergeCell ref="A4:E4"/>
    <mergeCell ref="A2:E2"/>
    <mergeCell ref="A5:E5"/>
    <mergeCell ref="A1:E1"/>
    <mergeCell ref="A32:E32"/>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M2B8 — IN Piura</dc:title>
  <dc:subject>Diagnóstico Territorial por bloque de intervención</dc:subject>
  <dcterms:created xsi:type="dcterms:W3CDTF">2026-09-08T03:39:54Z</dcterms:created>
  <dcterms:modified xsi:type="dcterms:W3CDTF">2026-09-10T00:28:32Z</dcterms:modified>
</cp:coreProperties>
</file>