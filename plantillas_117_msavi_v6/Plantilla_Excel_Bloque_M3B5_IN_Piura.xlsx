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M3B5</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CP San Juan Bautista</t>
        </is>
      </c>
      <c r="C13" s="6" t="inlineStr">
        <is>
          <t>Comunidad campesina</t>
        </is>
      </c>
      <c r="D13" s="7" t="inlineStr">
        <is>
          <t>C.C. San Juan de Bigote</t>
        </is>
      </c>
      <c r="E13" s="8" t="n"/>
      <c r="F13" s="8" t="n"/>
    </row>
    <row r="14">
      <c r="A14" s="6" t="inlineStr">
        <is>
          <t>Superficie de catálogo (V5/V6), ha</t>
        </is>
      </c>
      <c r="B14" s="7" t="n">
        <v>52.74</v>
      </c>
      <c r="C14" s="6" t="inlineStr">
        <is>
          <t>Fuente de superficie</t>
        </is>
      </c>
      <c r="D14" s="7" t="inlineStr">
        <is>
          <t>Catálogo maestro Bloques V5/V6</t>
        </is>
      </c>
      <c r="E14" s="8" t="n"/>
      <c r="F14" s="8" t="n"/>
    </row>
    <row r="15">
      <c r="A15" s="6" t="inlineStr">
        <is>
          <t>Centroide UTM ESTE (m)</t>
        </is>
      </c>
      <c r="B15" s="7" t="n">
        <v>635887</v>
      </c>
      <c r="C15" s="6" t="inlineStr">
        <is>
          <t>Centroide UTM NORTE (m)</t>
        </is>
      </c>
      <c r="D15" s="7" t="n">
        <v>9411738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221</v>
      </c>
      <c r="C19" s="6" t="inlineStr">
        <is>
          <t>Altitud máxima (msnm)</t>
        </is>
      </c>
      <c r="D19" s="7" t="n">
        <v>401</v>
      </c>
      <c r="E19" s="8" t="n"/>
      <c r="F19" s="8" t="n"/>
    </row>
    <row r="20">
      <c r="A20" s="6" t="inlineStr">
        <is>
          <t>Amplitud altitudinal (m)</t>
        </is>
      </c>
      <c r="B20" s="7" t="n">
        <v>180</v>
      </c>
      <c r="C20" s="6" t="inlineStr">
        <is>
          <t>Piso altitudinal dominante</t>
        </is>
      </c>
      <c r="D20" s="7" t="inlineStr">
        <is>
          <t>&lt;1000 m (Yunga)</t>
        </is>
      </c>
      <c r="E20" s="8" t="n"/>
      <c r="F20" s="8" t="n"/>
    </row>
    <row r="21">
      <c r="A21" s="6" t="inlineStr">
        <is>
          <t>Pendiente promedio (%)</t>
        </is>
      </c>
      <c r="B21" s="7" t="n">
        <v>18.94</v>
      </c>
      <c r="C21" s="6" t="inlineStr">
        <is>
          <t>Pendiente promedio (grados)</t>
        </is>
      </c>
      <c r="D21" s="7" t="n">
        <v>10.7</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0.283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(78.78 %)</t>
        </is>
      </c>
      <c r="E29" s="8" t="n"/>
      <c r="F29" s="8" t="n"/>
    </row>
    <row r="30">
      <c r="A30" s="6" t="inlineStr">
        <is>
          <t>Superficie clasificada NDVI 2025 (ha)</t>
        </is>
      </c>
      <c r="B30" s="7" t="n">
        <v>52.761</v>
      </c>
      <c r="C30" s="6" t="inlineStr">
        <is>
          <t>Desviación frente al catálogo (%)</t>
        </is>
      </c>
      <c r="D30" s="7" t="n">
        <v>0.04</v>
      </c>
      <c r="E30" s="8" t="n"/>
      <c r="F30" s="8" t="n"/>
    </row>
    <row r="31">
      <c r="A31" s="6" t="inlineStr">
        <is>
          <t>Superficie clasificada MSAVI 2024 (ha)</t>
        </is>
      </c>
      <c r="B31" s="39" t="n">
        <v>52.743</v>
      </c>
      <c r="C31" s="6" t="inlineStr">
        <is>
          <t>Desviación MSAVI frente al catálogo (%)</t>
        </is>
      </c>
      <c r="D31" s="40" t="n">
        <v>0.01</v>
      </c>
      <c r="E31" s="8" t="n"/>
      <c r="F31" s="8" t="n"/>
    </row>
    <row r="32">
      <c r="A32" s="6" t="inlineStr">
        <is>
          <t>Superficie bajo umbral MSAVI 0.4976 (ha)</t>
        </is>
      </c>
      <c r="B32" s="39" t="n">
        <v>52.684</v>
      </c>
      <c r="C32" s="6" t="inlineStr">
        <is>
          <t>% del bloque bajo umbral (brecha espectral)</t>
        </is>
      </c>
      <c r="D32" s="40" t="n">
        <v>99.89</v>
      </c>
      <c r="E32" s="8" t="n"/>
      <c r="F32" s="8" t="n"/>
    </row>
    <row r="33">
      <c r="A33" s="6" t="inlineStr">
        <is>
          <t>Clase DN dominante (MSAVI 2024)</t>
        </is>
      </c>
      <c r="B33" s="7" t="inlineStr">
        <is>
          <t>DN 2 · 0.2650 - 0.3813 (Vigor muy bajo)</t>
        </is>
      </c>
      <c r="C33" s="6" t="inlineStr">
        <is>
          <t>N.° de polígonos MSAVI del bloque</t>
        </is>
      </c>
      <c r="D33" s="41" t="n">
        <v>152</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52.74 ha (100% del bloque)</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n">
        <v>20</v>
      </c>
      <c r="E38" s="8" t="n"/>
      <c r="F38" s="8" t="n"/>
    </row>
    <row r="39">
      <c r="A39" s="6" t="inlineStr">
        <is>
          <t>Suelo desnudo — campo (%)</t>
        </is>
      </c>
      <c r="B39" s="7" t="n">
        <v>80</v>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inlineStr">
        <is>
          <t>No inventariadas</t>
        </is>
      </c>
      <c r="E40" s="8" t="n"/>
      <c r="F40" s="8" t="n"/>
    </row>
    <row r="41">
      <c r="A41" s="6" t="inlineStr">
        <is>
          <t>Elenco florístico (n.° de taxones)</t>
        </is>
      </c>
      <c r="B41" s="7" t="n">
        <v>6</v>
      </c>
      <c r="C41" s="6" t="inlineStr">
        <is>
          <t>Estado sanitario</t>
        </is>
      </c>
      <c r="D41" s="7" t="inlineStr">
        <is>
          <t>Daño mecánico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2026-05-07</t>
        </is>
      </c>
      <c r="E44" s="8" t="n"/>
      <c r="F44" s="8" t="n"/>
    </row>
    <row r="45">
      <c r="A45" s="6" t="inlineStr">
        <is>
          <t>Hora de registro</t>
        </is>
      </c>
      <c r="B45" s="7" t="inlineStr">
        <is>
          <t>16:17 h</t>
        </is>
      </c>
      <c r="C45" s="6" t="inlineStr">
        <is>
          <t>Correlativo de ficha</t>
        </is>
      </c>
      <c r="D45" s="7" t="inlineStr">
        <is>
          <t>F-DT/M3B5/2026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Crecimiento poblacional y Asociación de Ganaderos local que opera en la zona (presión socio-territorial)</t>
        </is>
      </c>
      <c r="C51" s="6" t="inlineStr">
        <is>
          <t>Velocidad de degradación</t>
        </is>
      </c>
      <c r="D51" s="7" t="inlineStr">
        <is>
          <t>Rápida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0.0594</v>
      </c>
      <c r="C11" s="21">
        <f>ROUND(B11/$B$15*100,2)</f>
        <v/>
      </c>
      <c r="D11" s="13" t="inlineStr">
        <is>
          <t>Vigor moderado</t>
        </is>
      </c>
      <c r="E11" s="13" t="inlineStr">
        <is>
          <t>Sobre umbral</t>
        </is>
      </c>
    </row>
    <row r="12">
      <c r="A12" s="7" t="inlineStr">
        <is>
          <t>0.3813 - 0.4976 · DN 3</t>
        </is>
      </c>
      <c r="B12" s="18" t="n">
        <v>2.1888</v>
      </c>
      <c r="C12" s="19">
        <f>ROUND(B12/$B$15*100,2)</f>
        <v/>
      </c>
      <c r="D12" s="11" t="inlineStr">
        <is>
          <t>Vigor bajo</t>
        </is>
      </c>
      <c r="E12" s="11" t="inlineStr">
        <is>
          <t>BAJO umbral 0.4976</t>
        </is>
      </c>
    </row>
    <row r="13">
      <c r="A13" s="14" t="inlineStr">
        <is>
          <t>0.2650 - 0.3813 · DN 2</t>
        </is>
      </c>
      <c r="B13" s="32" t="n">
        <v>28.9353</v>
      </c>
      <c r="C13" s="31">
        <f>ROUND(B13/$B$15*100,2)</f>
        <v/>
      </c>
      <c r="D13" s="15" t="inlineStr">
        <is>
          <t>Vigor muy bajo</t>
        </is>
      </c>
      <c r="E13" s="15" t="inlineStr">
        <is>
          <t>BAJO umbral 0.4976</t>
        </is>
      </c>
    </row>
    <row r="14">
      <c r="A14" s="7" t="inlineStr">
        <is>
          <t>&lt;= 0.2650 · DN 1</t>
        </is>
      </c>
      <c r="B14" s="18" t="n">
        <v>21.5596</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152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52.74</v>
      </c>
      <c r="C18" s="50" t="inlineStr">
        <is>
          <t>—</t>
        </is>
      </c>
      <c r="D18" s="47" t="inlineStr">
        <is>
          <t>Desviación planimétrica frente al catálogo</t>
        </is>
      </c>
      <c r="E18" s="47" t="inlineStr">
        <is>
          <t>+0.01 %</t>
        </is>
      </c>
    </row>
    <row r="19">
      <c r="A19" s="16" t="inlineStr">
        <is>
          <t>MSAVI 2024 — MEDIA DEL BLOQUE</t>
        </is>
      </c>
      <c r="B19" s="17" t="n">
        <v>0.283016</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152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(0.2830)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0.07049999999999999</v>
      </c>
      <c r="C25" s="19" t="n">
        <v>0.13</v>
      </c>
      <c r="D25" s="11" t="inlineStr">
        <is>
          <t>Dosel continuo, matorral denso o mosaico agroforestal</t>
        </is>
      </c>
      <c r="E25" s="11" t="inlineStr"/>
    </row>
    <row r="26">
      <c r="A26" s="12" t="inlineStr">
        <is>
          <t>Vegetación mediana</t>
        </is>
      </c>
      <c r="B26" s="20" t="n">
        <v>6.7144</v>
      </c>
      <c r="C26" s="21" t="n">
        <v>12.73</v>
      </c>
      <c r="D26" s="13" t="inlineStr">
        <is>
          <t>Pastizal cultivado, matorral ralo, parcelas agrícolas</t>
        </is>
      </c>
      <c r="E26" s="13" t="inlineStr"/>
    </row>
    <row r="27">
      <c r="A27" s="7" t="inlineStr">
        <is>
          <t>Vegetación ligera</t>
        </is>
      </c>
      <c r="B27" s="18" t="n">
        <v>41.5638</v>
      </c>
      <c r="C27" s="19" t="n">
        <v>78.78</v>
      </c>
      <c r="D27" s="11" t="inlineStr">
        <is>
          <t>Cobertura discontinua, suelo parcialmente expuesto</t>
        </is>
      </c>
      <c r="E27" s="11" t="inlineStr"/>
    </row>
    <row r="28">
      <c r="A28" s="12" t="inlineStr">
        <is>
          <t>Tierra desnuda</t>
        </is>
      </c>
      <c r="B28" s="20" t="n">
        <v>4.4123</v>
      </c>
      <c r="C28" s="21" t="n">
        <v>8.359999999999999</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52.74</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20 % frente a un 0.13 % del polígono clasificado como «Vegetación alta» por el NDVI 2025; la observación de campo corresponde a una parcela o recorrido puntual y no es estadísticamente representativa de las 52.740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M3B5</t>
        </is>
      </c>
    </row>
    <row r="6" ht="24" customHeight="1">
      <c r="A6" s="4" t="inlineStr">
        <is>
          <t>Levantamiento del 2026-05-07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635887</v>
      </c>
      <c r="D10" s="26" t="n">
        <v>9411740</v>
      </c>
      <c r="E10" s="11" t="n">
        <v>2</v>
      </c>
      <c r="F10" s="11" t="inlineStr"/>
      <c r="G10" s="11" t="inlineStr">
        <is>
          <t>Coordenada consignada en F-DT-01</t>
        </is>
      </c>
    </row>
    <row r="11">
      <c r="A11" s="12" t="inlineStr">
        <is>
          <t>H-01</t>
        </is>
      </c>
      <c r="B11" s="13" t="inlineStr">
        <is>
          <t>Fuente de agua — Quebrada estacional</t>
        </is>
      </c>
      <c r="C11" s="27" t="n">
        <v>636554</v>
      </c>
      <c r="D11" s="27" t="n">
        <v>9411842</v>
      </c>
      <c r="E11" s="13" t="n">
        <v>675.1</v>
      </c>
      <c r="F11" s="13" t="inlineStr">
        <is>
          <t>Estacional</t>
        </is>
      </c>
      <c r="G11" s="13" t="inlineStr">
        <is>
          <t>Arrastre de piedras y sedimentos</t>
        </is>
      </c>
    </row>
    <row r="12">
      <c r="A12" s="7" t="inlineStr">
        <is>
          <t>H-02</t>
        </is>
      </c>
      <c r="B12" s="11" t="inlineStr">
        <is>
          <t>Fuente de agua — Quebrada estacional</t>
        </is>
      </c>
      <c r="C12" s="26" t="n">
        <v>636325</v>
      </c>
      <c r="D12" s="26" t="n">
        <v>9411906</v>
      </c>
      <c r="E12" s="11" t="n">
        <v>469.1</v>
      </c>
      <c r="F12" s="11" t="inlineStr">
        <is>
          <t>Estacional</t>
        </is>
      </c>
      <c r="G12" s="11" t="inlineStr">
        <is>
          <t>Arrastre de piedras y sedimentos</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635887</v>
      </c>
      <c r="C15" s="6" t="inlineStr">
        <is>
          <t>Centroide del bloque — UTM NORTE (m)</t>
        </is>
      </c>
      <c r="D15" s="7" t="n">
        <v>9411738</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con EVIDENTES SIGNOS DE DEGRADACIÓN por factores diversos (tala, ganadería, cambio de uso). Afloramientos rocosos en zonas medias y altas. SUSCEPTIBILIDAD MUY ALTA A EROSIÓN HÍDRICA SUPERFICIAL Y A MOVIMIENTOS EN MASA SUPERFICIALES en el sector occidental (pendiente máx. 58.6%). SE RECOMIENDA DIAGNÓSTICO SOCIAL Y EVALUACIÓN PRELIMINAR DE TENENCIA DEL ÁREA.</t>
        </is>
      </c>
      <c r="B18" s="42" t="n"/>
      <c r="C18" s="42" t="n"/>
      <c r="D18" s="42" t="n"/>
      <c r="E18" s="42" t="n"/>
      <c r="F18" s="42" t="n"/>
      <c r="G18" s="43"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M3B5</t>
        </is>
      </c>
    </row>
    <row r="6" ht="24" customHeight="1">
      <c r="A6" s="4" t="inlineStr">
        <is>
          <t>Distrito de San Juan de Bigote · Provincia de Morropon · Comparación de los bloques preliminares de intervención de la misma microcuenca</t>
        </is>
      </c>
    </row>
    <row r="7"/>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M3B8</t>
        </is>
      </c>
      <c r="B10" s="28" t="n">
        <v>565.58</v>
      </c>
      <c r="C10" s="19" t="n">
        <v>44.83</v>
      </c>
      <c r="D10" s="11" t="inlineStr">
        <is>
          <t>195 – 562</t>
        </is>
      </c>
      <c r="E10" s="11" t="n">
        <v>367</v>
      </c>
      <c r="F10" s="11" t="n">
        <v>13.65</v>
      </c>
      <c r="G10" s="18" t="n">
        <v>0.2934</v>
      </c>
      <c r="H10" s="19" t="n">
        <v>3.19</v>
      </c>
      <c r="I10" s="19" t="n">
        <v>99.40000000000001</v>
      </c>
    </row>
    <row r="11">
      <c r="A11" s="12" t="inlineStr">
        <is>
          <t>M3B9</t>
        </is>
      </c>
      <c r="B11" s="29" t="n">
        <v>294.2</v>
      </c>
      <c r="C11" s="21" t="n">
        <v>23.32</v>
      </c>
      <c r="D11" s="13" t="inlineStr">
        <is>
          <t>189 – 497</t>
        </is>
      </c>
      <c r="E11" s="13" t="n">
        <v>308</v>
      </c>
      <c r="F11" s="13" t="n">
        <v>17.69</v>
      </c>
      <c r="G11" s="20" t="n">
        <v>0.3214</v>
      </c>
      <c r="H11" s="21" t="n">
        <v>3.14</v>
      </c>
      <c r="I11" s="21" t="n">
        <v>99.40000000000001</v>
      </c>
    </row>
    <row r="12">
      <c r="A12" s="7" t="inlineStr">
        <is>
          <t>M3B7</t>
        </is>
      </c>
      <c r="B12" s="28" t="n">
        <v>122.95</v>
      </c>
      <c r="C12" s="19" t="n">
        <v>9.75</v>
      </c>
      <c r="D12" s="11" t="inlineStr">
        <is>
          <t>238 – 447</t>
        </is>
      </c>
      <c r="E12" s="11" t="n">
        <v>209</v>
      </c>
      <c r="F12" s="11" t="n">
        <v>18.21</v>
      </c>
      <c r="G12" s="18" t="n">
        <v>0.3707</v>
      </c>
      <c r="H12" s="19" t="n">
        <v>8</v>
      </c>
      <c r="I12" s="19" t="n">
        <v>95.93000000000001</v>
      </c>
    </row>
    <row r="13">
      <c r="A13" s="12" t="inlineStr">
        <is>
          <t>M3B3</t>
        </is>
      </c>
      <c r="B13" s="29" t="n">
        <v>84.81999999999999</v>
      </c>
      <c r="C13" s="21" t="n">
        <v>6.72</v>
      </c>
      <c r="D13" s="13" t="inlineStr">
        <is>
          <t>194 – 375</t>
        </is>
      </c>
      <c r="E13" s="13" t="n">
        <v>181</v>
      </c>
      <c r="F13" s="13" t="n">
        <v>18.87</v>
      </c>
      <c r="G13" s="20" t="n">
        <v>0.2985</v>
      </c>
      <c r="H13" s="21" t="n">
        <v>0.59</v>
      </c>
      <c r="I13" s="21" t="n">
        <v>99.89</v>
      </c>
    </row>
    <row r="14">
      <c r="A14" s="7" t="inlineStr">
        <is>
          <t>M3B1</t>
        </is>
      </c>
      <c r="B14" s="28" t="n">
        <v>80.98</v>
      </c>
      <c r="C14" s="19" t="n">
        <v>6.42</v>
      </c>
      <c r="D14" s="11" t="inlineStr">
        <is>
          <t>184 – 395</t>
        </is>
      </c>
      <c r="E14" s="11" t="n">
        <v>211</v>
      </c>
      <c r="F14" s="11" t="n">
        <v>19.4</v>
      </c>
      <c r="G14" s="18" t="n">
        <v>0.3239</v>
      </c>
      <c r="H14" s="19" t="n">
        <v>1.37</v>
      </c>
      <c r="I14" s="19" t="n">
        <v>99.83</v>
      </c>
    </row>
    <row r="15">
      <c r="A15" s="12" t="inlineStr">
        <is>
          <t>M3B6</t>
        </is>
      </c>
      <c r="B15" s="29" t="n">
        <v>60.35</v>
      </c>
      <c r="C15" s="21" t="n">
        <v>4.78</v>
      </c>
      <c r="D15" s="13" t="inlineStr">
        <is>
          <t>235 – 499</t>
        </is>
      </c>
      <c r="E15" s="13" t="n">
        <v>264</v>
      </c>
      <c r="F15" s="13" t="n">
        <v>23.39</v>
      </c>
      <c r="G15" s="20" t="n">
        <v>0.3425</v>
      </c>
      <c r="H15" s="21" t="n">
        <v>1.08</v>
      </c>
      <c r="I15" s="21" t="n">
        <v>99.73999999999999</v>
      </c>
    </row>
    <row r="16">
      <c r="A16" s="14" t="inlineStr">
        <is>
          <t>► M3B5</t>
        </is>
      </c>
      <c r="B16" s="30" t="n">
        <v>52.74</v>
      </c>
      <c r="C16" s="31" t="n">
        <v>4.18</v>
      </c>
      <c r="D16" s="15" t="inlineStr">
        <is>
          <t>221 – 401</t>
        </is>
      </c>
      <c r="E16" s="15" t="n">
        <v>180</v>
      </c>
      <c r="F16" s="15" t="n">
        <v>18.94</v>
      </c>
      <c r="G16" s="32" t="n">
        <v>0.283</v>
      </c>
      <c r="H16" s="31" t="n">
        <v>0.13</v>
      </c>
      <c r="I16" s="31" t="n">
        <v>99.89</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c r="I17" s="23">
        <f>ROUND(AVERAGE(I10:I16),2)</f>
        <v/>
      </c>
    </row>
    <row r="18"/>
    <row r="19" ht="84" customHeight="1">
      <c r="A19" s="9" t="inlineStr">
        <is>
          <t>LECTURA INTRAMICROCUENCA. El bloque M3B5 ocupa el puesto 7 de 7 por superficie dentro de la microcuenca C1081-Q9582 (4.18 % de las 1261.62 ha preliminares de la microcuenca). Su pendiente promedio (18.94 %, clase «15-25% (Fuert. inclinado)») es la 5.ª más baja de 7 y se sitúa por encima del promedio de la microcuenca (18.59 %). Su MSAVI 2024 (0.2830) es el 7.º de 7 y queda por debajo del promedio local (0.3190). Amplitud altitudinal del bloque: 180 m (221–401 msnm). El cuadro conserva todos los bloques catalogados en la microcuenca, incluidos los descartados en el tamizaje, para referencia del conjunto. Los bloques sin ficha DT figuran con sus parámetros de gabinete. BRECHA ESPECTRAL. El 99.89 % de la superficie del bloque (52.684 ha de 52.743 ha) se sitúa bajo el umbral MSAVI 0.4976, por encima del promedio local de la microcuenca (99.15 %) calculado sobre los bloques con dato MSAVI disponible.</t>
        </is>
      </c>
      <c r="B19" s="42" t="n"/>
      <c r="C19" s="42" t="n"/>
      <c r="D19" s="42" t="n"/>
      <c r="E19" s="42" t="n"/>
      <c r="F19" s="42" t="n"/>
      <c r="G19" s="42" t="n"/>
      <c r="H19" s="43"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3"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(52.761 ha) coincide con la de catálogo (52.74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18.94 %,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20 % de cobertura vegetal en campo; el NDVI mediana 2025 clasifica 91.64 %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Dimensiones del inventario de cárcavas</t>
        </is>
      </c>
      <c r="C15" s="36" t="inlineStr">
        <is>
          <t>Se registran No inventariadas rasgos erosivos, pero longitud, profundidad y ancho no fueron medidos instrumentalmente</t>
        </is>
      </c>
      <c r="D15" s="15"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6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Representatividad del levantamiento</t>
        </is>
      </c>
      <c r="C17" s="36" t="inlineStr">
        <is>
          <t>Ninguna de las estaciones fotográficas georreferenciadas se localiza dentro del polígono del bloque</t>
        </is>
      </c>
      <c r="D17" s="37" t="inlineStr">
        <is>
          <t>SUSTANTIVA</t>
        </is>
      </c>
      <c r="E17" s="36" t="inlineStr">
        <is>
          <t>La verificación documenta el perímetro y la vista panorámica del bloque, no su interior. Los parámetros que exigen recorrido interno se consignan «Por determinar».</t>
        </is>
      </c>
    </row>
    <row r="18" ht="48" customHeight="1">
      <c r="A18" s="34" t="inlineStr">
        <is>
          <t>D-09</t>
        </is>
      </c>
      <c r="B18" s="34" t="inlineStr">
        <is>
          <t>Centro poblado asociado</t>
        </is>
      </c>
      <c r="C18" s="34" t="inlineStr">
        <is>
          <t>La ficha DT declara «CP San Juan Bautista»; el cruce INEI-Bloques V5 identifica 1 centro(s) poblado(s) en el bloque: SAN JUAN BAUTISTA</t>
        </is>
      </c>
      <c r="D18" s="35" t="inlineStr">
        <is>
          <t>CONFORME</t>
        </is>
      </c>
      <c r="E18" s="34" t="inlineStr">
        <is>
          <t>Se conserva el registro de campo como referencia y se adopta el listado INEI para el diagnóstico social y el cálculo de población beneficiaria.</t>
        </is>
      </c>
    </row>
    <row r="19" ht="48" customHeight="1">
      <c r="A19" s="36" t="inlineStr">
        <is>
          <t>D-10</t>
        </is>
      </c>
      <c r="B19" s="36" t="inlineStr">
        <is>
          <t>Peligro integrado (MCA-AHP)</t>
        </is>
      </c>
      <c r="C19" s="36" t="inlineStr">
        <is>
          <t>El nivel de peligro integrado no está disponible en los insumos de este entregable</t>
        </is>
      </c>
      <c r="D19" s="37" t="inlineStr">
        <is>
          <t>SUSTANTIVA</t>
        </is>
      </c>
      <c r="E19" s="36" t="inlineStr">
        <is>
          <t>Debe tomarse del modelamiento de mesolocalización (PMM + EPH + PGI ponderados por AHP) antes de fijar la prioridad definitiva de intervención del bloque.</t>
        </is>
      </c>
    </row>
    <row r="20" ht="48" customHeight="1">
      <c r="A20" s="34" t="inlineStr">
        <is>
          <t>D-11</t>
        </is>
      </c>
      <c r="B20" s="34" t="inlineStr">
        <is>
          <t>Plan de Ingreso</t>
        </is>
      </c>
      <c r="C20" s="34" t="inlineStr">
        <is>
          <t>Altitud = 0 msnm (captura por defecto del aplicativo)</t>
        </is>
      </c>
      <c r="D20" s="38" t="inlineStr">
        <is>
          <t>CORREGIDO</t>
        </is>
      </c>
      <c r="E20" s="34" t="inlineStr">
        <is>
          <t>Se reemplaza por la altitud GPS de campo (216 msnm)</t>
        </is>
      </c>
    </row>
    <row r="21" ht="48" customHeight="1">
      <c r="A21" s="36" t="inlineStr">
        <is>
          <t>D-12</t>
        </is>
      </c>
      <c r="B21" s="36" t="inlineStr">
        <is>
          <t>F-DT-02</t>
        </is>
      </c>
      <c r="C21" s="36" t="inlineStr">
        <is>
          <t>Inventario georreferenciado de cárcavas pendiente pese a calificar la erosión como Fuerte y la urgencia Alta</t>
        </is>
      </c>
      <c r="D21" s="37" t="inlineStr">
        <is>
          <t>SUSTANTIVA</t>
        </is>
      </c>
      <c r="E21" s="36" t="inlineStr">
        <is>
          <t>Levantamiento prioritario</t>
        </is>
      </c>
    </row>
    <row r="22" ht="48" customHeight="1">
      <c r="A22" s="34" t="inlineStr">
        <is>
          <t>D-13</t>
        </is>
      </c>
      <c r="B22" s="34" t="inlineStr">
        <is>
          <t>F-DT-03</t>
        </is>
      </c>
      <c r="C22" s="34" t="inlineStr">
        <is>
          <t>Solo 6 taxones registrados frente al mínimo de 15 exigido</t>
        </is>
      </c>
      <c r="D22" s="37" t="inlineStr">
        <is>
          <t>SUSTANTIVA</t>
        </is>
      </c>
      <c r="E22" s="34" t="inlineStr">
        <is>
          <t>Inventario florístico incompleto</t>
        </is>
      </c>
    </row>
    <row r="23" ht="48" customHeight="1">
      <c r="A23" s="36" t="inlineStr">
        <is>
          <t>D-14</t>
        </is>
      </c>
      <c r="B23" s="36" t="inlineStr">
        <is>
          <t>F-DT-04</t>
        </is>
      </c>
      <c r="C23" s="36" t="inlineStr">
        <is>
          <t>Cinco de los ocho indicadores cuantitativos sin valor; extensión y antigüedad de las causas no cuantificadas</t>
        </is>
      </c>
      <c r="D23" s="37" t="inlineStr">
        <is>
          <t>SUSTANTIVA</t>
        </is>
      </c>
      <c r="E23" s="36" t="inlineStr">
        <is>
          <t>Cuantificación pendiente</t>
        </is>
      </c>
    </row>
    <row r="24" ht="48" customHeight="1">
      <c r="A24" s="34" t="inlineStr">
        <is>
          <t>D-15</t>
        </is>
      </c>
      <c r="B24" s="34" t="inlineStr">
        <is>
          <t>F-DT-04</t>
        </is>
      </c>
      <c r="C24" s="34" t="inlineStr">
        <is>
          <t>Carga ganadera calificada «Alto» sin valor numérico que la sustente</t>
        </is>
      </c>
      <c r="D24" s="15" t="inlineStr">
        <is>
          <t>NO SUSTANTIVA</t>
        </is>
      </c>
      <c r="E24" s="34" t="inlineStr">
        <is>
          <t>Completar el valor</t>
        </is>
      </c>
    </row>
    <row r="25" ht="48" customHeight="1">
      <c r="A25" s="36" t="inlineStr">
        <is>
          <t>D-16</t>
        </is>
      </c>
      <c r="B25" s="36" t="inlineStr">
        <is>
          <t>F-DT-05</t>
        </is>
      </c>
      <c r="C25" s="36" t="inlineStr">
        <is>
          <t>Inventario de fuentes vacío; las 3 microquebradas internas no fueron georreferenciadas</t>
        </is>
      </c>
      <c r="D25" s="37" t="inlineStr">
        <is>
          <t>SUSTANTIVA</t>
        </is>
      </c>
      <c r="E25" s="36" t="inlineStr">
        <is>
          <t>Las dos quebradas registradas se ubican fuera del centroide declarado</t>
        </is>
      </c>
    </row>
    <row r="26" ht="48" customHeight="1">
      <c r="A26" s="34" t="inlineStr">
        <is>
          <t>D-17</t>
        </is>
      </c>
      <c r="B26" s="34" t="inlineStr">
        <is>
          <t>F-DT-04</t>
        </is>
      </c>
      <c r="C26" s="34" t="inlineStr">
        <is>
          <t>La sostenibilidad de toda medida técnica depende de acuerdos de exclusión ganadera</t>
        </is>
      </c>
      <c r="D26" s="37" t="inlineStr">
        <is>
          <t>SUSTANTIVA</t>
        </is>
      </c>
      <c r="E26" s="34" t="inlineStr">
        <is>
          <t>Condición previa para el diseño de MRR-CCC: gobernanza con CC San Juan de Bigote y Asociación de Ganaderos</t>
        </is>
      </c>
    </row>
    <row r="27" ht="48" customHeight="1">
      <c r="A27" s="34" t="inlineStr">
        <is>
          <t>D-18</t>
        </is>
      </c>
      <c r="B27" s="34" t="inlineStr">
        <is>
          <t>Distribución areal MSAVI 2024</t>
        </is>
      </c>
      <c r="C27" s="34" t="inlineStr">
        <is>
          <t>La distribución por clase de MSAVI no figuraba en los insumos del entregable y se consignaba «Por determinar»; se incorpora la estadística zonal del ráster MSAVI clasificado (152 polígonos, 52.743 ha)</t>
        </is>
      </c>
      <c r="D27" s="37" t="inlineStr">
        <is>
          <t>CORREGIDO</t>
        </is>
      </c>
      <c r="E2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4" t="inlineStr">
        <is>
          <t>D-19</t>
        </is>
      </c>
      <c r="B28" s="34" t="inlineStr">
        <is>
          <t>Superficie MSAVI vs. catálogo</t>
        </is>
      </c>
      <c r="C28" s="34" t="inlineStr">
        <is>
          <t>La superficie total clasificada por el MSAVI 2024 (52.743 ha) frente a la de catálogo V5/V6 (52.740 ha): desviación de +0.01 %</t>
        </is>
      </c>
      <c r="D28" s="37" t="inlineStr">
        <is>
          <t>CONFORME</t>
        </is>
      </c>
      <c r="E28" s="34" t="inlineStr">
        <is>
          <t>Sin acción: la segmentación del ráster valida la geometría del bloque dentro del ±2 %.</t>
        </is>
      </c>
    </row>
    <row r="29" ht="48" customHeight="1">
      <c r="A29" s="34" t="inlineStr">
        <is>
          <t>D-20</t>
        </is>
      </c>
      <c r="B29" s="34" t="inlineStr">
        <is>
          <t>Media MSAVI vs. clase DN dominante</t>
        </is>
      </c>
      <c r="C29" s="34" t="inlineStr">
        <is>
          <t>La media del bloque (0.2830) cae en la clase «DN 2 · 0.2650 - 0.3813 (Vigor muy bajo)»; la clase de mayor superficie es «DN 2 · 0.2650 - 0.3813 (Vigor muy bajo)», con 54.86 % del bloque. Superficie bajo el umbral 0.4976: 52.684 ha (99.89 %)</t>
        </is>
      </c>
      <c r="D29" s="37" t="inlineStr">
        <is>
          <t>CONFORME</t>
        </is>
      </c>
      <c r="E29" s="34" t="inlineStr">
        <is>
          <t>Sin acción: la media del bloque y la clase de mayor superficie coinciden.</t>
        </is>
      </c>
    </row>
    <row r="30"/>
    <row r="31">
      <c r="A31" s="16" t="inlineStr">
        <is>
          <t>RESUMEN</t>
        </is>
      </c>
      <c r="B31" s="17" t="inlineStr">
        <is>
          <t>20 verificaciones</t>
        </is>
      </c>
      <c r="C31" s="17" t="inlineStr">
        <is>
          <t>CONFORME: 6 · CORREGIDO: 2 · NO SUSTANTIVA: 4 · SUSTANTIVA: 8</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42" t="n"/>
      <c r="C33" s="42" t="n"/>
      <c r="D33" s="42" t="n"/>
      <c r="E33" s="43"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M3B5 — IN Piura</dc:title>
  <dc:subject>Diagnóstico Territorial por bloque de intervención</dc:subject>
  <dcterms:created xsi:type="dcterms:W3CDTF">2026-09-08T03:39:58Z</dcterms:created>
  <dcterms:modified xsi:type="dcterms:W3CDTF">2026-09-09T23:30:55Z</dcterms:modified>
</cp:coreProperties>
</file>