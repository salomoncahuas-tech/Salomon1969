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M9B1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M9B1</t>
        </is>
      </c>
      <c r="C9" s="6" t="inlineStr">
        <is>
          <t>Microcuenca (catálogo)</t>
        </is>
      </c>
      <c r="D9" s="7" t="inlineStr">
        <is>
          <t>C1096-Q9545</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La Peña</t>
        </is>
      </c>
      <c r="C13" s="6" t="inlineStr">
        <is>
          <t>Comunidad campesina</t>
        </is>
      </c>
      <c r="D13" s="7" t="inlineStr">
        <is>
          <t>María Ángela Alvarado de Zeta (según ficha DT); el F-DS-02 declara que NO pertenecen a ninguna comunidad campesina</t>
        </is>
      </c>
      <c r="E13" s="8" t="n"/>
      <c r="F13" s="8" t="n"/>
    </row>
    <row r="14">
      <c r="A14" s="6" t="inlineStr">
        <is>
          <t>Superficie de catálogo (V5/V6), ha</t>
        </is>
      </c>
      <c r="B14" s="7" t="n">
        <v>355.36</v>
      </c>
      <c r="C14" s="6" t="inlineStr">
        <is>
          <t>Fuente de superficie</t>
        </is>
      </c>
      <c r="D14" s="7" t="inlineStr">
        <is>
          <t>Catálogo maestro Bloques V5/V6</t>
        </is>
      </c>
      <c r="E14" s="8" t="n"/>
      <c r="F14" s="8" t="n"/>
    </row>
    <row r="15">
      <c r="A15" s="6" t="inlineStr">
        <is>
          <t>Centroide UTM ESTE (m)</t>
        </is>
      </c>
      <c r="B15" s="7" t="n">
        <v>595552</v>
      </c>
      <c r="C15" s="6" t="inlineStr">
        <is>
          <t>Centroide UTM NORTE (m)</t>
        </is>
      </c>
      <c r="D15" s="7" t="n">
        <v>9451222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147</v>
      </c>
      <c r="C19" s="6" t="inlineStr">
        <is>
          <t>Altitud máxima (msnm)</t>
        </is>
      </c>
      <c r="D19" s="7" t="n">
        <v>265</v>
      </c>
      <c r="E19" s="8" t="n"/>
      <c r="F19" s="8" t="n"/>
    </row>
    <row r="20">
      <c r="A20" s="6" t="inlineStr">
        <is>
          <t>Amplitud altitudinal (m)</t>
        </is>
      </c>
      <c r="B20" s="7" t="n">
        <v>118</v>
      </c>
      <c r="C20" s="6" t="inlineStr">
        <is>
          <t>Piso altitudinal dominante</t>
        </is>
      </c>
      <c r="D20" s="7" t="inlineStr">
        <is>
          <t>&lt;1000 m (Yunga)</t>
        </is>
      </c>
      <c r="E20" s="8" t="n"/>
      <c r="F20" s="8" t="n"/>
    </row>
    <row r="21">
      <c r="A21" s="6" t="inlineStr">
        <is>
          <t>Pendiente promedio (%)</t>
        </is>
      </c>
      <c r="B21" s="7" t="n">
        <v>10.17</v>
      </c>
      <c r="C21" s="6" t="inlineStr">
        <is>
          <t>Pendiente promedio (grados)</t>
        </is>
      </c>
      <c r="D21" s="7" t="n">
        <v>5.8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(78.10 %)</t>
        </is>
      </c>
      <c r="E29" s="8" t="n"/>
      <c r="F29" s="8" t="n"/>
    </row>
    <row r="30">
      <c r="A30" s="6" t="inlineStr">
        <is>
          <t>Superficie clasificada NDVI 2025 (ha)</t>
        </is>
      </c>
      <c r="B30" s="7" t="n">
        <v>355.568</v>
      </c>
      <c r="C30" s="6" t="inlineStr">
        <is>
          <t>Desviación frente al catálogo (%)</t>
        </is>
      </c>
      <c r="D30" s="7" t="n">
        <v>0.06</v>
      </c>
      <c r="E30" s="8" t="n"/>
      <c r="F30" s="8" t="n"/>
    </row>
    <row r="31">
      <c r="A31" s="6" t="inlineStr">
        <is>
          <t>Superficie clasificada MSAVI 2024 (ha)</t>
        </is>
      </c>
      <c r="B31" s="37" t="n">
        <v>355.364</v>
      </c>
      <c r="C31" s="6" t="inlineStr">
        <is>
          <t>Desviación MSAVI frente al catálogo (%)</t>
        </is>
      </c>
      <c r="D31" s="38" t="n">
        <v>0</v>
      </c>
      <c r="E31" s="8" t="n"/>
      <c r="F31" s="8" t="n"/>
    </row>
    <row r="32">
      <c r="A32" s="6" t="inlineStr">
        <is>
          <t>Superficie bajo umbral MSAVI 0.4976 (ha)</t>
        </is>
      </c>
      <c r="B32" s="37" t="n">
        <v>352.983</v>
      </c>
      <c r="C32" s="6" t="inlineStr">
        <is>
          <t>% del bloque bajo umbral (brecha espectral)</t>
        </is>
      </c>
      <c r="D32" s="38" t="n">
        <v>99.33</v>
      </c>
      <c r="E32" s="8" t="n"/>
      <c r="F32" s="8" t="n"/>
    </row>
    <row r="33">
      <c r="A33" s="6" t="inlineStr">
        <is>
          <t>Clase DN dominante (MSAVI 2024)</t>
        </is>
      </c>
      <c r="B33" s="7" t="inlineStr">
        <is>
          <t>DN 2 · 0.2650 - 0.3813 (Vigor muy bajo)</t>
        </is>
      </c>
      <c r="C33" s="6" t="inlineStr">
        <is>
          <t>N.° de polígonos MSAVI del bloque</t>
        </is>
      </c>
      <c r="D33" s="39" t="n">
        <v>1031</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320 ha (de 355.36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90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FICHA F-DT-02 SIN CONTENIDO. Evidencia narrativa de F-DT-01: erosión laminar y eólica por pastoreo</t>
        </is>
      </c>
      <c r="C40" s="6" t="inlineStr">
        <is>
          <t>N.° de cárcavas registradas</t>
        </is>
      </c>
      <c r="D40" s="7" t="inlineStr">
        <is>
          <t>No inventariadas (F-DT-02 sin contenido)</t>
        </is>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t>
        </is>
      </c>
      <c r="C44" s="6" t="inlineStr">
        <is>
          <t>Fecha de evaluación</t>
        </is>
      </c>
      <c r="D44" s="7" t="inlineStr">
        <is>
          <t>2026-07-03</t>
        </is>
      </c>
      <c r="E44" s="8" t="n"/>
      <c r="F44" s="8" t="n"/>
    </row>
    <row r="45">
      <c r="A45" s="6" t="inlineStr">
        <is>
          <t>Hora de registro</t>
        </is>
      </c>
      <c r="B45" s="7" t="inlineStr">
        <is>
          <t>09:55 h</t>
        </is>
      </c>
      <c r="C45" s="6" t="inlineStr">
        <is>
          <t>Correlativo de ficha</t>
        </is>
      </c>
      <c r="D45" s="7" t="inlineStr">
        <is>
          <t>Sin registro en ficha</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Por determinar</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M9B1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0.2329</v>
      </c>
      <c r="C10" s="19">
        <f>ROUND(B10/$B$15*100,2)</f>
        <v/>
      </c>
      <c r="D10" s="11" t="inlineStr">
        <is>
          <t>Vigor alto</t>
        </is>
      </c>
      <c r="E10" s="11" t="inlineStr">
        <is>
          <t>Sobre umbral</t>
        </is>
      </c>
    </row>
    <row r="11">
      <c r="A11" s="12" t="inlineStr">
        <is>
          <t>0.4976 - 0.6139 · DN 4</t>
        </is>
      </c>
      <c r="B11" s="20" t="n">
        <v>2.148</v>
      </c>
      <c r="C11" s="21">
        <f>ROUND(B11/$B$15*100,2)</f>
        <v/>
      </c>
      <c r="D11" s="13" t="inlineStr">
        <is>
          <t>Vigor moderado</t>
        </is>
      </c>
      <c r="E11" s="13" t="inlineStr">
        <is>
          <t>Sobre umbral</t>
        </is>
      </c>
    </row>
    <row r="12">
      <c r="A12" s="7" t="inlineStr">
        <is>
          <t>0.3813 - 0.4976 · DN 3</t>
        </is>
      </c>
      <c r="B12" s="18" t="n">
        <v>42.6009</v>
      </c>
      <c r="C12" s="19">
        <f>ROUND(B12/$B$15*100,2)</f>
        <v/>
      </c>
      <c r="D12" s="11" t="inlineStr">
        <is>
          <t>Vigor bajo</t>
        </is>
      </c>
      <c r="E12" s="11" t="inlineStr">
        <is>
          <t>BAJO umbral 0.4976</t>
        </is>
      </c>
    </row>
    <row r="13">
      <c r="A13" s="14" t="inlineStr">
        <is>
          <t>0.2650 - 0.3813 · DN 2</t>
        </is>
      </c>
      <c r="B13" s="30" t="n">
        <v>232.6345</v>
      </c>
      <c r="C13" s="29">
        <f>ROUND(B13/$B$15*100,2)</f>
        <v/>
      </c>
      <c r="D13" s="15" t="inlineStr">
        <is>
          <t>Vigor muy bajo</t>
        </is>
      </c>
      <c r="E13" s="15" t="inlineStr">
        <is>
          <t>BAJO umbral 0.4976</t>
        </is>
      </c>
    </row>
    <row r="14">
      <c r="A14" s="7" t="inlineStr">
        <is>
          <t>&lt;= 0.2650 · DN 1</t>
        </is>
      </c>
      <c r="B14" s="18" t="n">
        <v>77.7475</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1 031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355.36</v>
      </c>
      <c r="C18" s="48" t="inlineStr">
        <is>
          <t>—</t>
        </is>
      </c>
      <c r="D18" s="45" t="inlineStr">
        <is>
          <t>Desviación planimétrica frente al catálogo</t>
        </is>
      </c>
      <c r="E18" s="45" t="inlineStr">
        <is>
          <t>+0.00 %</t>
        </is>
      </c>
    </row>
    <row r="19">
      <c r="A19" s="16" t="inlineStr">
        <is>
          <t>MSAVI 2024 — MEDIA DEL BLOQUE</t>
        </is>
      </c>
      <c r="B19" s="17" t="n">
        <v>0.314312</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1 031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(0.3143)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0.5237000000000001</v>
      </c>
      <c r="C25" s="19" t="n">
        <v>0.15</v>
      </c>
      <c r="D25" s="11" t="inlineStr">
        <is>
          <t>Dosel continuo, matorral denso o mosaico agroforestal</t>
        </is>
      </c>
      <c r="E25" s="11" t="inlineStr"/>
    </row>
    <row r="26">
      <c r="A26" s="12" t="inlineStr">
        <is>
          <t>Vegetación mediana</t>
        </is>
      </c>
      <c r="B26" s="20" t="n">
        <v>28.9887</v>
      </c>
      <c r="C26" s="21" t="n">
        <v>8.15</v>
      </c>
      <c r="D26" s="13" t="inlineStr">
        <is>
          <t>Pastizal cultivado, matorral ralo, parcelas agrícolas</t>
        </is>
      </c>
      <c r="E26" s="13" t="inlineStr"/>
    </row>
    <row r="27">
      <c r="A27" s="7" t="inlineStr">
        <is>
          <t>Vegetación ligera</t>
        </is>
      </c>
      <c r="B27" s="18" t="n">
        <v>277.6993</v>
      </c>
      <c r="C27" s="19" t="n">
        <v>78.09999999999999</v>
      </c>
      <c r="D27" s="11" t="inlineStr">
        <is>
          <t>Cobertura discontinua, suelo parcialmente expuesto</t>
        </is>
      </c>
      <c r="E27" s="11" t="inlineStr"/>
    </row>
    <row r="28">
      <c r="A28" s="12" t="inlineStr">
        <is>
          <t>Tierra desnuda</t>
        </is>
      </c>
      <c r="B28" s="20" t="n">
        <v>48.356</v>
      </c>
      <c r="C28" s="21" t="n">
        <v>13.6</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355.36</v>
      </c>
      <c r="C30" s="25" t="inlineStr">
        <is>
          <t>—</t>
        </is>
      </c>
      <c r="D30" s="25" t="inlineStr">
        <is>
          <t>Desviación planimétrica frente al catálogo</t>
        </is>
      </c>
      <c r="E30" s="25" t="inlineStr">
        <is>
          <t>+0.06 %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0.15 % del polígono clasificado como «Vegetación alta» por el NDVI 2025; la observación de campo corresponde a una parcela o recorrido puntual y no es estadísticamente representativa de las 355.360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M9B1</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76381.5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595552</v>
      </c>
      <c r="C13" s="6" t="inlineStr">
        <is>
          <t>Centroide del bloque — UTM NORTE (m)</t>
        </is>
      </c>
      <c r="D13" s="7" t="n">
        <v>9451222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está conformado por un conjunto de LADERAS DE COLINA BAJA, con pendientes inferiores al 30% y altitud media ≈250 msnm. Debido a su extensión (355.36 ha) y a la accidentada topografía, el área presenta DIVERSAS QUEBRADAS QUE CANALIZAN EL AGUA DE LLUVIA HACIA EL SECTOR DEL CCPP: el flujo atraviesa la vía afirmada mediante BADENES, continúa por parcelas de cultivo y desemboca en la quebrada principal (colector). En las zonas de pendiente se observan piedras de tamaño pequeño a mediano. NO SE DETECTARON SURCOS SIGNIFICATIVOS NI CÁRCAVAS en formación evidente. En el interior se evidenció EROSIÓN LAMINAR Y EÓLICA causada por el pastoreo de ganado vacuno y caprino. Se evidenciaron CAMINOS DE HERRADURA marcados dejados por el tránsito de personas y ganado, que contribuyen a la erosión. ATENCIÓN: el UTM del punto de registro (645 575 · 9 393 500) es el valor por defecto de la plantilla; el centroide de catálogo es 595 552 · 9 451 220 (≈70 km de diferencia).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M9B1</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t>
        </is>
      </c>
      <c r="B10" s="27" t="n">
        <v>459.29</v>
      </c>
      <c r="C10" s="19" t="n">
        <v>56.38</v>
      </c>
      <c r="D10" s="11" t="inlineStr">
        <is>
          <t>951 – 2173</t>
        </is>
      </c>
      <c r="E10" s="11" t="n">
        <v>1222</v>
      </c>
      <c r="F10" s="11" t="n">
        <v>29.52</v>
      </c>
      <c r="G10" s="18" t="n">
        <v>0.5677</v>
      </c>
      <c r="H10" s="19" t="n">
        <v>57.21</v>
      </c>
      <c r="I10" s="19" t="n">
        <v>29.06</v>
      </c>
    </row>
    <row r="11">
      <c r="A11" s="14" t="inlineStr">
        <is>
          <t>► M9B1</t>
        </is>
      </c>
      <c r="B11" s="28" t="n">
        <v>355.36</v>
      </c>
      <c r="C11" s="29" t="n">
        <v>43.62</v>
      </c>
      <c r="D11" s="15" t="inlineStr">
        <is>
          <t>147 – 265</t>
        </is>
      </c>
      <c r="E11" s="15" t="n">
        <v>118</v>
      </c>
      <c r="F11" s="15" t="n">
        <v>10.17</v>
      </c>
      <c r="G11" s="30" t="n">
        <v>0.3143</v>
      </c>
      <c r="H11" s="29" t="n">
        <v>0.15</v>
      </c>
      <c r="I11" s="29" t="n">
        <v>99.33</v>
      </c>
    </row>
    <row r="12">
      <c r="A12" s="16" t="inlineStr">
        <is>
          <t>TOTAL / PROMEDIO</t>
        </is>
      </c>
      <c r="B12" s="31">
        <f>SUM(B10:B11)</f>
        <v/>
      </c>
      <c r="C12" s="23">
        <f>SUM(C10:C11)</f>
        <v/>
      </c>
      <c r="D12" s="17" t="inlineStr">
        <is>
          <t>147 – 2173</t>
        </is>
      </c>
      <c r="E12" s="17" t="inlineStr"/>
      <c r="F12" s="17">
        <f>ROUND(AVERAGE(F10:F11),2)</f>
        <v/>
      </c>
      <c r="G12" s="22">
        <f>ROUND(AVERAGE(G10:G11),4)</f>
        <v/>
      </c>
      <c r="H12" s="23">
        <f>ROUND(AVERAGE(H10:H11),2)</f>
        <v/>
      </c>
      <c r="I12" s="23">
        <f>ROUND(AVERAGE(I10:I11),2)</f>
        <v/>
      </c>
    </row>
    <row r="13"/>
    <row r="14" ht="84" customHeight="1">
      <c r="A14" s="9" t="inlineStr">
        <is>
          <t>LECTURA INTRAMICROCUENCA. El bloque M9B1 ocupa el puesto 2 de 2 por superficie dentro de la microcuenca C1096-Q9545 (43.62 % de las 814.65 ha preliminares de la microcuenca). Su pendiente promedio (10.17 %, clase «8-15% (Mod. inclinado)») es la 1.ª más baja de 2 y se sitúa por debajo del promedio de la microcuenca (19.84 %). Su MSAVI 2024 (0.3143) es el 2.º de 2 y queda por debajo del promedio local (0.4410). Amplitud altitudinal del bloque: 118 m (147–265 msnm). El cuadro conserva todos los bloques catalogados en la microcuenca, incluidos los descartados en el tamizaje, para referencia del conjunto. Los bloques sin ficha DT figuran con sus parámetros de gabinete. BRECHA ESPECTRAL. El 99.33 % de la superficie del bloque (352.983 ha de 355.364 ha) se sitúa bajo el umbral MSAVI 0.4976, por encima del promedio local de la microcuenca (64.20 %)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M9B1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C1096-Q9545)»; el catálogo maestro V5/V6 asigna el bloque a «C1096-Q9545»</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(645575 E / 9393500 N) dista 76,382 m del centroide de catálogo (595552 E / 9451222 N), distancia incompatible con la superficie del bloque (355.36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(355.568 ha) coincide con la de catálogo (355.36 ha) dentro del ±2 % (+0.06 %)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«15-25% (Fuert. inclinado)»; la estadística zonal sobre el MDE arroja una pendiente promedio de 10.17 %, que corresponde a la clase «8-15% (Mod.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Dimensiones del inventario de cárcavas</t>
        </is>
      </c>
      <c r="C14" s="32" t="inlineStr">
        <is>
          <t>Se registran No inventariadas (F-DT-02 sin contenido) rasgos erosivos, pero longitud, profundidad y ancho no fueron medidos instrumentalmente</t>
        </is>
      </c>
      <c r="D14" s="15" t="inlineStr">
        <is>
          <t>NO SUSTANTIVA</t>
        </is>
      </c>
      <c r="E14" s="32" t="inlineStr">
        <is>
          <t>El conteo registrado no debe usarse para calcular densidad de cárcavas por hectárea. Pendiente de levantamiento con GPS submétrico.</t>
        </is>
      </c>
    </row>
    <row r="15" ht="48" customHeight="1">
      <c r="A15" s="34" t="inlineStr">
        <is>
          <t>D-06</t>
        </is>
      </c>
      <c r="B15" s="34" t="inlineStr">
        <is>
          <t>Elenco florístico</t>
        </is>
      </c>
      <c r="C15" s="34" t="inlineStr">
        <is>
          <t>La ficha registra 9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«La Peña»; el cruce INEI-Bloques V5 identifica 1 centro(s) poblado(s) en el bloque: LA PEÑA</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M9B1 la microcuenca C1096-Q9545</t>
        </is>
      </c>
      <c r="D19" s="33" t="inlineStr">
        <is>
          <t>SUSTANTIVA</t>
        </is>
      </c>
      <c r="E19" s="34" t="inlineStr">
        <is>
          <t>Valor por defecto de la plantilla; se conserva el del catálogo</t>
        </is>
      </c>
    </row>
    <row r="20" ht="48" customHeight="1">
      <c r="A20" s="32" t="inlineStr">
        <is>
          <t>D-11</t>
        </is>
      </c>
      <c r="B20" s="32" t="inlineStr">
        <is>
          <t>Ficha DT</t>
        </is>
      </c>
      <c r="C20" s="32" t="inlineStr">
        <is>
          <t>UTM del punto de registro (645 575 · 9 393 500) = valor por defecto; el centroide de catálogo es 595 552 · 9 451 220 (≈70 km)</t>
        </is>
      </c>
      <c r="D20" s="33" t="inlineStr">
        <is>
          <t>SUSTANTIVA</t>
        </is>
      </c>
      <c r="E20" s="32" t="inlineStr">
        <is>
          <t>Georreferencia por reponer</t>
        </is>
      </c>
    </row>
    <row r="21" ht="48" customHeight="1">
      <c r="A21" s="34" t="inlineStr">
        <is>
          <t>D-12</t>
        </is>
      </c>
      <c r="B21" s="34" t="inlineStr">
        <is>
          <t>Plan de Ingreso</t>
        </is>
      </c>
      <c r="C21" s="34" t="inlineStr">
        <is>
          <t>Altitud = 0 msnm (captura por defecto del aplicativo)</t>
        </is>
      </c>
      <c r="D21" s="36" t="inlineStr">
        <is>
          <t>CORREGIDO</t>
        </is>
      </c>
      <c r="E21" s="34" t="inlineStr">
        <is>
          <t>Se reemplaza por la altitud GPS de campo (254 msnm)</t>
        </is>
      </c>
    </row>
    <row r="22" ht="48" customHeight="1">
      <c r="A22" s="32" t="inlineStr">
        <is>
          <t>D-13</t>
        </is>
      </c>
      <c r="B22" s="32" t="inlineStr">
        <is>
          <t>F-DT-02</t>
        </is>
      </c>
      <c r="C22" s="32" t="inlineStr">
        <is>
          <t>Sección SIN CONTENIDO en el documento de origen</t>
        </is>
      </c>
      <c r="D22" s="33" t="inlineStr">
        <is>
          <t>SUSTANTIVA</t>
        </is>
      </c>
      <c r="E22" s="32" t="inlineStr">
        <is>
          <t>Levantamiento de suelo y procesos erosivos pendiente en su totalidad</t>
        </is>
      </c>
    </row>
    <row r="23" ht="48" customHeight="1">
      <c r="A23" s="34" t="inlineStr">
        <is>
          <t>D-14</t>
        </is>
      </c>
      <c r="B23" s="34" t="inlineStr">
        <is>
          <t>F-DT-03</t>
        </is>
      </c>
      <c r="C23" s="34" t="inlineStr">
        <is>
          <t>La tabla florística (9 taxones) no consigna nombre científico ni familia</t>
        </is>
      </c>
      <c r="D23" s="33" t="inlineStr">
        <is>
          <t>SUSTANTIVA</t>
        </is>
      </c>
      <c r="E23" s="34" t="inlineStr">
        <is>
          <t>Determinación botánica pendiente</t>
        </is>
      </c>
    </row>
    <row r="24" ht="48" customHeight="1">
      <c r="A24" s="32" t="inlineStr">
        <is>
          <t>D-15</t>
        </is>
      </c>
      <c r="B24" s="32" t="inlineStr">
        <is>
          <t>F-DT-03</t>
        </is>
      </c>
      <c r="C24" s="32" t="inlineStr">
        <is>
          <t>Cobertura de dosel 90% incompatible con el tipo de cobertura «Bosque ralo (30-70%)»; alturas narrativas &lt;6 m frente a 7 m consignados</t>
        </is>
      </c>
      <c r="D24" s="33" t="inlineStr">
        <is>
          <t>SUSTANTIVA</t>
        </is>
      </c>
      <c r="E24" s="32" t="inlineStr">
        <is>
          <t>Inconsistencias internas a resolver</t>
        </is>
      </c>
    </row>
    <row r="25" ht="48" customHeight="1">
      <c r="A25" s="34" t="inlineStr">
        <is>
          <t>D-16</t>
        </is>
      </c>
      <c r="B25" s="34" t="inlineStr">
        <is>
          <t>F-DT-04</t>
        </is>
      </c>
      <c r="C25" s="34" t="inlineStr">
        <is>
          <t>Densidad de cárcavas 1 N.°/ha pese a declararse que no se detectaron cárcavas y a no existir inventario</t>
        </is>
      </c>
      <c r="D25" s="33" t="inlineStr">
        <is>
          <t>SUSTANTIVA</t>
        </is>
      </c>
      <c r="E25" s="34" t="inlineStr">
        <is>
          <t>Inconsistencia interna a resolver</t>
        </is>
      </c>
    </row>
    <row r="26" ht="48" customHeight="1">
      <c r="A26" s="32" t="inlineStr">
        <is>
          <t>D-17</t>
        </is>
      </c>
      <c r="B26" s="32" t="inlineStr">
        <is>
          <t>F-DT-03 / F-DT-04</t>
        </is>
      </c>
      <c r="C26" s="32" t="inlineStr">
        <is>
          <t>Suelo desnudo: 10% en F-DT-03 frente a 5% en el indicador N.° 2</t>
        </is>
      </c>
      <c r="D26" s="15" t="inlineStr">
        <is>
          <t>NO SUSTANTIVA</t>
        </is>
      </c>
      <c r="E26" s="32" t="inlineStr">
        <is>
          <t>Conciliar</t>
        </is>
      </c>
    </row>
    <row r="27" ht="48" customHeight="1">
      <c r="A27" s="34" t="inlineStr">
        <is>
          <t>D-18</t>
        </is>
      </c>
      <c r="B27" s="34" t="inlineStr">
        <is>
          <t>F-DT-05</t>
        </is>
      </c>
      <c r="C27" s="34" t="inlineStr">
        <is>
          <t>Inventario de fuentes vacío pese a describirse diversas quebradas que canalizan agua hacia el CCPP</t>
        </is>
      </c>
      <c r="D27" s="33" t="inlineStr">
        <is>
          <t>SUSTANTIVA</t>
        </is>
      </c>
      <c r="E27" s="34" t="inlineStr">
        <is>
          <t>Levantamiento pendiente</t>
        </is>
      </c>
    </row>
    <row r="28" ht="48" customHeight="1">
      <c r="A28" s="32" t="inlineStr">
        <is>
          <t>D-19</t>
        </is>
      </c>
      <c r="B28" s="32" t="inlineStr">
        <is>
          <t>F-DS-01 / F-DS-02</t>
        </is>
      </c>
      <c r="C28" s="32" t="inlineStr">
        <is>
          <t>Contradicción: F-DS-01 declara Comunidad Campesina reconocida con título; F-DS-02 declara que no pertenecen a ninguna comunidad campesina</t>
        </is>
      </c>
      <c r="D28" s="33" t="inlineStr">
        <is>
          <t>SUSTANTIVA</t>
        </is>
      </c>
      <c r="E28" s="32" t="inlineStr">
        <is>
          <t>Condiciona el tamizaje predial y la estrategia de gobernanza: resolver antes del Expediente de Liberación de Áreas</t>
        </is>
      </c>
    </row>
    <row r="29" ht="48" customHeight="1">
      <c r="A29" s="32" t="inlineStr">
        <is>
          <t>D-20</t>
        </is>
      </c>
      <c r="B29" s="32" t="inlineStr">
        <is>
          <t>Distribución areal MSAVI 2024</t>
        </is>
      </c>
      <c r="C29" s="32" t="inlineStr">
        <is>
          <t>La distribución por clase de MSAVI no figuraba en los insumos del entregable y se consignaba «Por determinar»; se incorpora la estadística zonal del ráster MSAVI clasificado (1 031 polígonos, 355.364 ha)</t>
        </is>
      </c>
      <c r="D29" s="33" t="inlineStr">
        <is>
          <t>CORREGIDO</t>
        </is>
      </c>
      <c r="E29" s="32"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0" ht="48" customHeight="1">
      <c r="A30" s="32" t="inlineStr">
        <is>
          <t>D-21</t>
        </is>
      </c>
      <c r="B30" s="32" t="inlineStr">
        <is>
          <t>Superficie MSAVI vs. catálogo</t>
        </is>
      </c>
      <c r="C30" s="32" t="inlineStr">
        <is>
          <t>La superficie total clasificada por el MSAVI 2024 (355.364 ha) frente a la de catálogo V5/V6 (355.360 ha): desviación de +0.00 %</t>
        </is>
      </c>
      <c r="D30" s="33" t="inlineStr">
        <is>
          <t>CONFORME</t>
        </is>
      </c>
      <c r="E30" s="32" t="inlineStr">
        <is>
          <t>Sin acción: la segmentación del ráster valida la geometría del bloque dentro del ±2 %.</t>
        </is>
      </c>
    </row>
    <row r="31" ht="48" customHeight="1">
      <c r="A31" s="32" t="inlineStr">
        <is>
          <t>D-22</t>
        </is>
      </c>
      <c r="B31" s="32" t="inlineStr">
        <is>
          <t>Media MSAVI vs. clase DN dominante</t>
        </is>
      </c>
      <c r="C31" s="32" t="inlineStr">
        <is>
          <t>La media del bloque (0.3143) cae en la clase «DN 2 · 0.2650 - 0.3813 (Vigor muy bajo)»; la clase de mayor superficie es «DN 2 · 0.2650 - 0.3813 (Vigor muy bajo)», con 65.46 % del bloque. Superficie bajo el umbral 0.4976: 352.983 ha (99.33 %)</t>
        </is>
      </c>
      <c r="D31" s="33" t="inlineStr">
        <is>
          <t>CONFORME</t>
        </is>
      </c>
      <c r="E31" s="32" t="inlineStr">
        <is>
          <t>Sin acción: la media del bloque y la clase de mayor superficie coinciden.</t>
        </is>
      </c>
    </row>
    <row r="32"/>
    <row r="33">
      <c r="A33" s="16" t="inlineStr">
        <is>
          <t>RESUMEN</t>
        </is>
      </c>
      <c r="B33" s="17" t="inlineStr">
        <is>
          <t>22 verificaciones</t>
        </is>
      </c>
      <c r="C33" s="17" t="inlineStr">
        <is>
          <t>CONFORME: 4 · CORREGIDO: 2 · NO SUSTANTIVA: 3 · SUSTANTIVA: 13</t>
        </is>
      </c>
      <c r="D33" s="17" t="inlineStr"/>
      <c r="E33" s="17" t="inlineStr"/>
    </row>
    <row r="34"/>
    <row r="35" ht="60" customHeight="1">
      <c r="A3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5" s="40" t="n"/>
      <c r="C35" s="40" t="n"/>
      <c r="D35" s="40" t="n"/>
      <c r="E35" s="41" t="n"/>
    </row>
  </sheetData>
  <mergeCells count="8">
    <mergeCell ref="A35:E35"/>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M9B1 — IN Piura</dc:title>
  <dc:subject>Diagnóstico Territorial por bloque de intervención</dc:subject>
  <dcterms:created xsi:type="dcterms:W3CDTF">2026-09-08T03:39:59Z</dcterms:created>
  <dcterms:modified xsi:type="dcterms:W3CDTF">2026-09-09T23:30:56Z</dcterms:modified>
</cp:coreProperties>
</file>