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7">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s>
  <cellStyleXfs count="1">
    <xf numFmtId="0" fontId="0" fillId="0" borderId="0"/>
  </cellStyleXfs>
  <cellXfs count="50">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20</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20</t>
        </is>
      </c>
      <c r="C9" s="6" t="inlineStr">
        <is>
          <t>Microcuenca (catálogo)</t>
        </is>
      </c>
      <c r="D9" s="7" t="inlineStr">
        <is>
          <t>C1076-Q9593</t>
        </is>
      </c>
      <c r="E9" s="8" t="n"/>
      <c r="F9" s="8" t="n"/>
    </row>
    <row r="10">
      <c r="A10" s="6" t="inlineStr">
        <is>
          <t>Zona de planificación</t>
        </is>
      </c>
      <c r="B10" s="7" t="inlineStr">
        <is>
          <t>Z14</t>
        </is>
      </c>
      <c r="C10" s="6" t="inlineStr">
        <is>
          <t>Microcuenca declarada en ficha DT</t>
        </is>
      </c>
      <c r="D10" s="7" t="inlineStr">
        <is>
          <t>C1076-Q9593</t>
        </is>
      </c>
      <c r="E10" s="8" t="n"/>
      <c r="F10" s="8" t="n"/>
    </row>
    <row r="11">
      <c r="A11" s="6" t="inlineStr">
        <is>
          <t>Departamento</t>
        </is>
      </c>
      <c r="B11" s="7" t="inlineStr">
        <is>
          <t>Piura</t>
        </is>
      </c>
      <c r="C11" s="6" t="inlineStr">
        <is>
          <t>Provincia</t>
        </is>
      </c>
      <c r="D11" s="7" t="inlineStr">
        <is>
          <t>Huancabamba</t>
        </is>
      </c>
      <c r="E11" s="8" t="n"/>
      <c r="F11" s="8" t="n"/>
    </row>
    <row r="12">
      <c r="A12" s="6" t="inlineStr">
        <is>
          <t>Distrito</t>
        </is>
      </c>
      <c r="B12" s="7" t="inlineStr">
        <is>
          <t>Huarmaca</t>
        </is>
      </c>
      <c r="C12" s="6" t="inlineStr">
        <is>
          <t>Capital distrital</t>
        </is>
      </c>
      <c r="D12" s="7" t="inlineStr">
        <is>
          <t>Huarmaca</t>
        </is>
      </c>
      <c r="E12" s="8" t="n"/>
      <c r="F12" s="8" t="n"/>
    </row>
    <row r="13">
      <c r="A13" s="6" t="inlineStr">
        <is>
          <t>Centro poblado asociado</t>
        </is>
      </c>
      <c r="B13" s="7" t="inlineStr">
        <is>
          <t>Túpac Amaru</t>
        </is>
      </c>
      <c r="C13" s="6" t="inlineStr">
        <is>
          <t>Comunidad campesina</t>
        </is>
      </c>
      <c r="D13" s="7" t="inlineStr">
        <is>
          <t>Por verificar</t>
        </is>
      </c>
      <c r="E13" s="8" t="n"/>
      <c r="F13" s="8" t="n"/>
    </row>
    <row r="14">
      <c r="A14" s="6" t="inlineStr">
        <is>
          <t>Superficie de catálogo (V5/V6), ha</t>
        </is>
      </c>
      <c r="B14" s="7" t="n">
        <v>81.33</v>
      </c>
      <c r="C14" s="6" t="inlineStr">
        <is>
          <t>Fuente de superficie</t>
        </is>
      </c>
      <c r="D14" s="7" t="inlineStr">
        <is>
          <t>Catálogo maestro Bloques V5/V6</t>
        </is>
      </c>
      <c r="E14" s="8" t="n"/>
      <c r="F14" s="8" t="n"/>
    </row>
    <row r="15">
      <c r="A15" s="6" t="inlineStr">
        <is>
          <t>Centroide UTM ESTE (m)</t>
        </is>
      </c>
      <c r="B15" s="7" t="n">
        <v>649847</v>
      </c>
      <c r="C15" s="6" t="inlineStr">
        <is>
          <t>Centroide UTM NORTE (m)</t>
        </is>
      </c>
      <c r="D15" s="7" t="n">
        <v>9376260</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1217</v>
      </c>
      <c r="C19" s="6" t="inlineStr">
        <is>
          <t>Altitud máxima (msnm)</t>
        </is>
      </c>
      <c r="D19" s="7" t="n">
        <v>1607</v>
      </c>
      <c r="E19" s="8" t="n"/>
      <c r="F19" s="8" t="n"/>
    </row>
    <row r="20">
      <c r="A20" s="6" t="inlineStr">
        <is>
          <t>Amplitud altitudinal (m)</t>
        </is>
      </c>
      <c r="B20" s="7" t="n">
        <v>390</v>
      </c>
      <c r="C20" s="6" t="inlineStr">
        <is>
          <t>Piso altitudinal dominante</t>
        </is>
      </c>
      <c r="D20" s="7" t="inlineStr">
        <is>
          <t>1000-1500 m (Quechua baja)</t>
        </is>
      </c>
      <c r="E20" s="8" t="n"/>
      <c r="F20" s="8" t="n"/>
    </row>
    <row r="21">
      <c r="A21" s="6" t="inlineStr">
        <is>
          <t>Pendiente promedio (%)</t>
        </is>
      </c>
      <c r="B21" s="7" t="n">
        <v>24.54</v>
      </c>
      <c r="C21" s="6" t="inlineStr">
        <is>
          <t>Pendiente promedio (grados)</t>
        </is>
      </c>
      <c r="D21" s="7" t="n">
        <v>13.8</v>
      </c>
      <c r="E21" s="8" t="n"/>
      <c r="F21" s="8" t="n"/>
    </row>
    <row r="22">
      <c r="A22" s="6" t="inlineStr">
        <is>
          <t>Clase de pendiente equivalente</t>
        </is>
      </c>
      <c r="B22" s="7" t="inlineStr">
        <is>
          <t>15-25% (Fuert. inclinado)</t>
        </is>
      </c>
      <c r="C22" s="6" t="inlineStr">
        <is>
          <t>Rango de pendiente declarado en campo</t>
        </is>
      </c>
      <c r="D22" s="7" t="inlineStr">
        <is>
          <t>15-25% (Fuert. inclinado)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Norte</t>
        </is>
      </c>
      <c r="C24" s="6" t="inlineStr">
        <is>
          <t>Afloramientos rocosos</t>
        </is>
      </c>
      <c r="D24" s="7" t="inlineStr">
        <is>
          <t>Sí</t>
        </is>
      </c>
      <c r="E24" s="8" t="n"/>
      <c r="F24" s="8" t="n"/>
    </row>
    <row r="25">
      <c r="A25" s="6" t="inlineStr">
        <is>
          <t>Escarpes activos</t>
        </is>
      </c>
      <c r="B25" s="7" t="inlineStr">
        <is>
          <t>Sí</t>
        </is>
      </c>
      <c r="C25" s="6" t="inlineStr">
        <is>
          <t>Remociones en masa activas</t>
        </is>
      </c>
      <c r="D25" s="7" t="inlineStr">
        <is>
          <t>Sí</t>
        </is>
      </c>
      <c r="E25" s="8" t="n"/>
      <c r="F25" s="8" t="n"/>
    </row>
    <row r="26"/>
    <row r="27" ht="18" customHeight="1">
      <c r="A27" s="5" t="inlineStr">
        <is>
          <t>3. ÍNDICES DE VEGETACIÓN (SENTINEL-2)</t>
        </is>
      </c>
    </row>
    <row r="28">
      <c r="A28" s="6" t="inlineStr">
        <is>
          <t>MSAVI 2024 — media del bloque</t>
        </is>
      </c>
      <c r="B28" s="7" t="n">
        <v>0.4851</v>
      </c>
      <c r="C28" s="6" t="inlineStr">
        <is>
          <t>MSAVI 2024 — clase de la media</t>
        </is>
      </c>
      <c r="D28" s="7" t="inlineStr">
        <is>
          <t>0.3813 - 0.4976 (Vigor bajo)</t>
        </is>
      </c>
      <c r="E28" s="8" t="n"/>
      <c r="F28" s="8" t="n"/>
    </row>
    <row r="29">
      <c r="A29" s="6" t="inlineStr">
        <is>
          <t>Condición frente al umbral 0.4976</t>
        </is>
      </c>
      <c r="B29" s="7" t="inlineStr">
        <is>
          <t>BAJO umbral 0.4976</t>
        </is>
      </c>
      <c r="C29" s="6" t="inlineStr">
        <is>
          <t>NDVI mediana 2025 — clase modal</t>
        </is>
      </c>
      <c r="D29" s="7" t="inlineStr">
        <is>
          <t>Vegetación alta (52.44 %)</t>
        </is>
      </c>
      <c r="E29" s="8" t="n"/>
      <c r="F29" s="8" t="n"/>
    </row>
    <row r="30">
      <c r="A30" s="6" t="inlineStr">
        <is>
          <t>Superficie clasificada NDVI 2025 (ha)</t>
        </is>
      </c>
      <c r="B30" s="7" t="n">
        <v>81.35299999999999</v>
      </c>
      <c r="C30" s="6" t="inlineStr">
        <is>
          <t>Desviación frente al catálogo (%)</t>
        </is>
      </c>
      <c r="D30" s="7" t="n">
        <v>0.03</v>
      </c>
      <c r="E30" s="8" t="n"/>
      <c r="F30" s="8" t="n"/>
    </row>
    <row r="31">
      <c r="A31" s="6" t="inlineStr">
        <is>
          <t>Superficie clasificada MSAVI 2024 (ha)</t>
        </is>
      </c>
      <c r="B31" s="38" t="n">
        <v>81.334</v>
      </c>
      <c r="C31" s="6" t="inlineStr">
        <is>
          <t>Desviación MSAVI frente al catálogo (%)</t>
        </is>
      </c>
      <c r="D31" s="39" t="n">
        <v>0</v>
      </c>
      <c r="E31" s="8" t="n"/>
      <c r="F31" s="8" t="n"/>
    </row>
    <row r="32">
      <c r="A32" s="6" t="inlineStr">
        <is>
          <t>Superficie bajo umbral MSAVI 0.4976 (ha)</t>
        </is>
      </c>
      <c r="B32" s="38" t="n">
        <v>48.171</v>
      </c>
      <c r="C32" s="6" t="inlineStr">
        <is>
          <t>% del bloque bajo umbral (brecha espectral)</t>
        </is>
      </c>
      <c r="D32" s="39" t="n">
        <v>59.23</v>
      </c>
      <c r="E32" s="8" t="n"/>
      <c r="F32" s="8" t="n"/>
    </row>
    <row r="33">
      <c r="A33" s="6" t="inlineStr">
        <is>
          <t>Clase DN dominante (MSAVI 2024)</t>
        </is>
      </c>
      <c r="B33" s="7" t="inlineStr">
        <is>
          <t>DN 3 · 0.3813 - 0.4976 (Vigor bajo)</t>
        </is>
      </c>
      <c r="C33" s="6" t="inlineStr">
        <is>
          <t>N.° de polígonos MSAVI del bloque</t>
        </is>
      </c>
      <c r="D33" s="40" t="n">
        <v>303</v>
      </c>
      <c r="E33" s="8" t="n"/>
      <c r="F33" s="8" t="n"/>
    </row>
    <row r="34"/>
    <row r="35" ht="18" customHeight="1">
      <c r="A35" s="5" t="inlineStr">
        <is>
          <t>4. ECOSISTEMA Y ESTADO DE CONSERVACIÓN</t>
        </is>
      </c>
    </row>
    <row r="36">
      <c r="A36" s="6" t="inlineStr">
        <is>
          <t>Tipo de ecosistema (UP)</t>
        </is>
      </c>
      <c r="B36" s="7" t="inlineStr">
        <is>
          <t>Bosque Estacionalmente Seco Colina/Montaña (Bes-cm)</t>
        </is>
      </c>
      <c r="C36" s="6" t="inlineStr">
        <is>
          <t>Superficie de ecosistema (ha)</t>
        </is>
      </c>
      <c r="D36" s="7" t="inlineStr">
        <is>
          <t>Por determinar</t>
        </is>
      </c>
      <c r="E36" s="8" t="n"/>
      <c r="F36" s="8" t="n"/>
    </row>
    <row r="37">
      <c r="A37" s="6" t="inlineStr">
        <is>
          <t>Estado de conservación</t>
        </is>
      </c>
      <c r="B37" s="7" t="inlineStr">
        <is>
          <t>Alterado (intervención marcada)</t>
        </is>
      </c>
      <c r="C37" s="6" t="inlineStr">
        <is>
          <t>Uso actual dominante del suelo</t>
        </is>
      </c>
      <c r="D37" s="7" t="inlineStr">
        <is>
          <t>Uso mixto</t>
        </is>
      </c>
      <c r="E37" s="8" t="n"/>
      <c r="F37" s="8" t="n"/>
    </row>
    <row r="38">
      <c r="A38" s="6" t="inlineStr">
        <is>
          <t>Tipo de cobertura dominante</t>
        </is>
      </c>
      <c r="B38" s="7" t="inlineStr">
        <is>
          <t>Mixto / Mosaico</t>
        </is>
      </c>
      <c r="C38" s="6" t="inlineStr">
        <is>
          <t>Cobertura vegetal total — campo (%)</t>
        </is>
      </c>
      <c r="D38" s="7" t="inlineStr">
        <is>
          <t>Por determinar</t>
        </is>
      </c>
      <c r="E38" s="8" t="n"/>
      <c r="F38" s="8" t="n"/>
    </row>
    <row r="39">
      <c r="A39" s="6" t="inlineStr">
        <is>
          <t>Suelo desnudo — campo (%)</t>
        </is>
      </c>
      <c r="B39" s="7" t="inlineStr">
        <is>
          <t>Por determinar</t>
        </is>
      </c>
      <c r="C39" s="6" t="inlineStr">
        <is>
          <t>Regeneración natural</t>
        </is>
      </c>
      <c r="D39" s="7" t="inlineStr">
        <is>
          <t>Escasa (&lt;10 pl./100m²)</t>
        </is>
      </c>
      <c r="E39" s="8" t="n"/>
      <c r="F39" s="8" t="n"/>
    </row>
    <row r="40">
      <c r="A40" s="6" t="inlineStr">
        <is>
          <t>Nivel general de erosión</t>
        </is>
      </c>
      <c r="B40" s="7" t="inlineStr">
        <is>
          <t>Moderada (surcos)</t>
        </is>
      </c>
      <c r="C40" s="6" t="inlineStr">
        <is>
          <t>N.° de cárcavas registradas</t>
        </is>
      </c>
      <c r="D40" s="7" t="inlineStr">
        <is>
          <t>Sin inventario</t>
        </is>
      </c>
      <c r="E40" s="8" t="n"/>
      <c r="F40" s="8" t="n"/>
    </row>
    <row r="41">
      <c r="A41" s="6" t="inlineStr">
        <is>
          <t>Elenco florístico (n.° de taxones)</t>
        </is>
      </c>
      <c r="B41" s="7" t="n">
        <v>12</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Por confirmar</t>
        </is>
      </c>
      <c r="C44" s="6" t="inlineStr">
        <is>
          <t>Fecha de evaluación</t>
        </is>
      </c>
      <c r="D44" s="7" t="inlineStr">
        <is>
          <t>2026-08-18</t>
        </is>
      </c>
      <c r="E44" s="8" t="n"/>
      <c r="F44" s="8" t="n"/>
    </row>
    <row r="45">
      <c r="A45" s="6" t="inlineStr">
        <is>
          <t>Hora de registro</t>
        </is>
      </c>
      <c r="B45" s="7" t="inlineStr">
        <is>
          <t>12:05 - 12:15 h</t>
        </is>
      </c>
      <c r="C45" s="6" t="inlineStr">
        <is>
          <t>Correlativo de ficha</t>
        </is>
      </c>
      <c r="D45" s="7" t="inlineStr">
        <is>
          <t>DT-B20-2026-01</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No se instalaron parcelas de muestreo</t>
        </is>
      </c>
      <c r="E47" s="8" t="n"/>
      <c r="F47" s="8" t="n"/>
    </row>
    <row r="48">
      <c r="A48" s="6" t="inlineStr">
        <is>
          <t>Estaciones fotográficas georreferenciadas</t>
        </is>
      </c>
      <c r="B48" s="7" t="n">
        <v>12</v>
      </c>
      <c r="C48" s="6" t="inlineStr">
        <is>
          <t>Modalidad de acceso</t>
        </is>
      </c>
      <c r="D48" s="7" t="inlineStr">
        <is>
          <t>Vehicular 4x4 hasta el bloque</t>
        </is>
      </c>
      <c r="E48" s="8" t="n"/>
      <c r="F48" s="8" t="n"/>
    </row>
    <row r="49"/>
    <row r="50" ht="18" customHeight="1">
      <c r="A50" s="5" t="inlineStr">
        <is>
          <t>6. SÍNTESIS PARA LA GESTIÓN DEL RIESGO EN CONTEXTO DE CAMBIO CLIMÁTICO</t>
        </is>
      </c>
    </row>
    <row r="51">
      <c r="A51" s="6" t="inlineStr">
        <is>
          <t>Causa subyacente principal</t>
        </is>
      </c>
      <c r="B51" s="7" t="inlineStr">
        <is>
          <t>Presión de habilitación de accesos y de frontera agropecuaria sobre laderas de vertiente occidental</t>
        </is>
      </c>
      <c r="C51" s="6" t="inlineStr">
        <is>
          <t>Velocidad de degradación</t>
        </is>
      </c>
      <c r="D51" s="7" t="inlineStr">
        <is>
          <t>Rápida</t>
        </is>
      </c>
      <c r="E51" s="8" t="n"/>
      <c r="F51" s="8" t="n"/>
    </row>
    <row r="52">
      <c r="A52" s="6" t="inlineStr">
        <is>
          <t>Reversibilidad técnica</t>
        </is>
      </c>
      <c r="B52" s="7" t="inlineStr">
        <is>
          <t>Parcialmente reversible</t>
        </is>
      </c>
      <c r="C52" s="6" t="inlineStr">
        <is>
          <t>Urgencia de intervención</t>
        </is>
      </c>
      <c r="D52" s="7" t="inlineStr">
        <is>
          <t>Alta</t>
        </is>
      </c>
      <c r="E52" s="8" t="n"/>
      <c r="F52" s="8" t="n"/>
    </row>
    <row r="53">
      <c r="A53" s="6" t="inlineStr">
        <is>
          <t>Urgencia de control de erosión</t>
        </is>
      </c>
      <c r="B53" s="7" t="inlineStr">
        <is>
          <t>Alta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1" t="n"/>
      <c r="C57" s="41" t="n"/>
      <c r="D57" s="41" t="n"/>
      <c r="E57" s="41" t="n"/>
      <c r="F57" s="42" t="n"/>
    </row>
  </sheetData>
  <mergeCells count="13">
    <mergeCell ref="A2:F2"/>
    <mergeCell ref="A3:F3"/>
    <mergeCell ref="A1:F1"/>
    <mergeCell ref="A5:F5"/>
    <mergeCell ref="A27:F27"/>
    <mergeCell ref="A8:F8"/>
    <mergeCell ref="A6:F6"/>
    <mergeCell ref="A50:F50"/>
    <mergeCell ref="A35:F35"/>
    <mergeCell ref="A18:F18"/>
    <mergeCell ref="A4:F4"/>
    <mergeCell ref="A43:F43"/>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2"/>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20</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4.9654</v>
      </c>
      <c r="C10" s="19">
        <f>ROUND(B10/$B$15*100,2)</f>
        <v/>
      </c>
      <c r="D10" s="11" t="inlineStr">
        <is>
          <t>Vigor alto</t>
        </is>
      </c>
      <c r="E10" s="11" t="inlineStr">
        <is>
          <t>Sobre umbral</t>
        </is>
      </c>
    </row>
    <row r="11">
      <c r="A11" s="12" t="inlineStr">
        <is>
          <t>0.4976 - 0.6139 · DN 4</t>
        </is>
      </c>
      <c r="B11" s="20" t="n">
        <v>28.1972</v>
      </c>
      <c r="C11" s="21">
        <f>ROUND(B11/$B$15*100,2)</f>
        <v/>
      </c>
      <c r="D11" s="13" t="inlineStr">
        <is>
          <t>Vigor moderado</t>
        </is>
      </c>
      <c r="E11" s="13" t="inlineStr">
        <is>
          <t>Sobre umbral</t>
        </is>
      </c>
    </row>
    <row r="12">
      <c r="A12" s="14" t="inlineStr">
        <is>
          <t>0.3813 - 0.4976 · DN 3</t>
        </is>
      </c>
      <c r="B12" s="32" t="n">
        <v>42.5576</v>
      </c>
      <c r="C12" s="31">
        <f>ROUND(B12/$B$15*100,2)</f>
        <v/>
      </c>
      <c r="D12" s="15" t="inlineStr">
        <is>
          <t>Vigor bajo</t>
        </is>
      </c>
      <c r="E12" s="15" t="inlineStr">
        <is>
          <t>BAJO umbral 0.4976</t>
        </is>
      </c>
    </row>
    <row r="13">
      <c r="A13" s="12" t="inlineStr">
        <is>
          <t>0.2650 - 0.3813 · DN 2</t>
        </is>
      </c>
      <c r="B13" s="20" t="n">
        <v>5.6135</v>
      </c>
      <c r="C13" s="21">
        <f>ROUND(B13/$B$15*100,2)</f>
        <v/>
      </c>
      <c r="D13" s="13" t="inlineStr">
        <is>
          <t>Vigor muy bajo</t>
        </is>
      </c>
      <c r="E13" s="13" t="inlineStr">
        <is>
          <t>BAJO umbral 0.4976</t>
        </is>
      </c>
    </row>
    <row r="14">
      <c r="A14" s="7" t="inlineStr">
        <is>
          <t>&lt;= 0.2650 · DN 1</t>
        </is>
      </c>
      <c r="B14" s="18" t="n">
        <v>0</v>
      </c>
      <c r="C14" s="19">
        <f>ROUND(B14/$B$15*100,2)</f>
        <v/>
      </c>
      <c r="D14" s="11" t="inlineStr">
        <is>
          <t>Suelo desnudo / no vegetal</t>
        </is>
      </c>
      <c r="E14" s="11" t="inlineStr">
        <is>
          <t>BAJO umbral 0.4976</t>
        </is>
      </c>
    </row>
    <row r="15" ht="30" customHeight="1">
      <c r="A15" s="43" t="inlineStr">
        <is>
          <t>TOTAL CLASIFICADO MSAVI 2024</t>
        </is>
      </c>
      <c r="B15" s="44">
        <f>SUM(B10:B14)</f>
        <v/>
      </c>
      <c r="C15" s="45">
        <f>SUM(C10:C14)</f>
        <v/>
      </c>
      <c r="D15" s="43" t="inlineStr">
        <is>
          <t>Suma de la distribución areal · 303 polígonos</t>
        </is>
      </c>
      <c r="E15" s="43" t="inlineStr">
        <is>
          <t>—</t>
        </is>
      </c>
    </row>
    <row r="16" ht="30" customHeight="1">
      <c r="A16" s="46" t="inlineStr">
        <is>
          <t>Superficie SOBRE umbral 0.4976 (ha)</t>
        </is>
      </c>
      <c r="B16" s="47">
        <f>SUM(B10:B11)</f>
        <v/>
      </c>
      <c r="C16" s="48">
        <f>ROUND(B16/B15*100,2)</f>
        <v/>
      </c>
      <c r="D16" s="46" t="inlineStr">
        <is>
          <t>Vigor alto y moderado (DN 4 y DN 5)</t>
        </is>
      </c>
      <c r="E16" s="46" t="inlineStr">
        <is>
          <t>Sobre umbral 0.4976</t>
        </is>
      </c>
    </row>
    <row r="17" ht="30" customHeight="1">
      <c r="A17" s="46" t="inlineStr">
        <is>
          <t>Superficie BAJO umbral 0.4976 (ha) — brecha</t>
        </is>
      </c>
      <c r="B17" s="47">
        <f>SUM(B12:B14)</f>
        <v/>
      </c>
      <c r="C17" s="48">
        <f>ROUND(B17/B15*100,2)</f>
        <v/>
      </c>
      <c r="D17" s="46" t="inlineStr">
        <is>
          <t>Vigor bajo, muy bajo y suelo desnudo (DN 1 a DN 3)</t>
        </is>
      </c>
      <c r="E17" s="46" t="inlineStr">
        <is>
          <t>Base para el indicador de brecha (R.M. N.° 00213-2024-MINAM)</t>
        </is>
      </c>
    </row>
    <row r="18" ht="30" customHeight="1">
      <c r="A18" s="46" t="inlineStr">
        <is>
          <t>Superficie de catálogo (V5/V6) — contraste MSAVI</t>
        </is>
      </c>
      <c r="B18" s="47" t="n">
        <v>81.33</v>
      </c>
      <c r="C18" s="49" t="inlineStr">
        <is>
          <t>—</t>
        </is>
      </c>
      <c r="D18" s="46" t="inlineStr">
        <is>
          <t>Desviación planimétrica frente al catálogo</t>
        </is>
      </c>
      <c r="E18" s="46" t="inlineStr">
        <is>
          <t>+0.00 %</t>
        </is>
      </c>
    </row>
    <row r="19">
      <c r="A19" s="16" t="inlineStr">
        <is>
          <t>MSAVI 2024 — MEDIA DEL BLOQUE</t>
        </is>
      </c>
      <c r="B19" s="17" t="n">
        <v>0.48513</v>
      </c>
      <c r="C19" s="17" t="inlineStr">
        <is>
          <t>—</t>
        </is>
      </c>
      <c r="D19" s="17" t="inlineStr">
        <is>
          <t>Vigor bajo · clase 0.3813 - 0.4976</t>
        </is>
      </c>
      <c r="E19" s="17" t="inlineStr">
        <is>
          <t>BAJO umbral 0.4976</t>
        </is>
      </c>
    </row>
    <row r="20"/>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303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(0.4851) se conserva del catálogo maestro y es dato oficial; la fila resaltada indica la clase en la que cae dicha media. Los totales y porcentajes se calculan con fórmulas sobre las filas del cuadro.</t>
        </is>
      </c>
      <c r="B21" s="41" t="n"/>
      <c r="C21" s="41" t="n"/>
      <c r="D21" s="41" t="n"/>
      <c r="E21" s="42" t="n"/>
    </row>
    <row r="22"/>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42.6631</v>
      </c>
      <c r="C25" s="19" t="n">
        <v>52.44</v>
      </c>
      <c r="D25" s="11" t="inlineStr">
        <is>
          <t>Dosel continuo, matorral denso o mosaico agroforestal</t>
        </is>
      </c>
      <c r="E25" s="11" t="inlineStr"/>
    </row>
    <row r="26">
      <c r="A26" s="12" t="inlineStr">
        <is>
          <t>Vegetación mediana</t>
        </is>
      </c>
      <c r="B26" s="20" t="n">
        <v>38.4235</v>
      </c>
      <c r="C26" s="21" t="n">
        <v>47.23</v>
      </c>
      <c r="D26" s="13" t="inlineStr">
        <is>
          <t>Pastizal cultivado, matorral ralo, parcelas agrícolas</t>
        </is>
      </c>
      <c r="E26" s="13" t="inlineStr"/>
    </row>
    <row r="27">
      <c r="A27" s="7" t="inlineStr">
        <is>
          <t>Vegetación ligera</t>
        </is>
      </c>
      <c r="B27" s="18" t="n">
        <v>0.257</v>
      </c>
      <c r="C27" s="19" t="n">
        <v>0.32</v>
      </c>
      <c r="D27" s="11" t="inlineStr">
        <is>
          <t>Cobertura discontinua, suelo parcialmente expuesto</t>
        </is>
      </c>
      <c r="E27" s="11" t="inlineStr"/>
    </row>
    <row r="28">
      <c r="A28" s="12" t="inlineStr">
        <is>
          <t>Tierra desnuda</t>
        </is>
      </c>
      <c r="B28" s="20" t="n">
        <v>0.009900000000000001</v>
      </c>
      <c r="C28" s="21" t="n">
        <v>0.01</v>
      </c>
      <c r="D28" s="13" t="inlineStr">
        <is>
          <t>Suelo desnudo, afloramientos, plataformas y taludes</t>
        </is>
      </c>
      <c r="E28" s="13" t="inlineStr"/>
    </row>
    <row r="29">
      <c r="A29" s="16" t="inlineStr">
        <is>
          <t>TOTAL CLASIFICADO</t>
        </is>
      </c>
      <c r="B29" s="22">
        <f>SUM(B25:B28)</f>
        <v/>
      </c>
      <c r="C29" s="23">
        <f>SUM(C25:C28)</f>
        <v/>
      </c>
      <c r="D29" s="17" t="inlineStr"/>
      <c r="E29" s="17" t="inlineStr"/>
    </row>
    <row r="30">
      <c r="A30" s="24" t="inlineStr">
        <is>
          <t>Superficie de catálogo (V5/V6)</t>
        </is>
      </c>
      <c r="B30" s="25" t="n">
        <v>81.33</v>
      </c>
      <c r="C30" s="25" t="inlineStr">
        <is>
          <t>—</t>
        </is>
      </c>
      <c r="D30" s="25" t="inlineStr">
        <is>
          <t>Desviación planimétrica frente al catálogo</t>
        </is>
      </c>
      <c r="E30" s="25" t="inlineStr">
        <is>
          <t>+0.03 %</t>
        </is>
      </c>
    </row>
    <row r="31"/>
    <row r="32" ht="72" customHeight="1">
      <c r="A32"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t>
        </is>
      </c>
      <c r="B32" s="41" t="n"/>
      <c r="C32" s="41" t="n"/>
      <c r="D32" s="41" t="n"/>
      <c r="E32" s="42" t="n"/>
    </row>
  </sheetData>
  <mergeCells count="10">
    <mergeCell ref="A21:E21"/>
    <mergeCell ref="A4:E4"/>
    <mergeCell ref="A2:E2"/>
    <mergeCell ref="A1:E1"/>
    <mergeCell ref="A23:E23"/>
    <mergeCell ref="A32:E32"/>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7"/>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20</t>
        </is>
      </c>
    </row>
    <row r="6" ht="24" customHeight="1">
      <c r="A6" s="4" t="inlineStr">
        <is>
          <t>Levantamiento del 2026-08-18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649839</v>
      </c>
      <c r="D10" s="26" t="n">
        <v>9376621</v>
      </c>
      <c r="E10" s="11" t="n">
        <v>361.1</v>
      </c>
      <c r="F10" s="11" t="inlineStr"/>
      <c r="G10" s="11" t="inlineStr">
        <is>
          <t>Coordenada consignada en F-DT-01</t>
        </is>
      </c>
    </row>
    <row r="11">
      <c r="A11" s="12" t="inlineStr">
        <is>
          <t>H-01</t>
        </is>
      </c>
      <c r="B11" s="13" t="inlineStr">
        <is>
          <t>Fuente de agua — Quebrada estacional</t>
        </is>
      </c>
      <c r="C11" s="27" t="n">
        <v>650350</v>
      </c>
      <c r="D11" s="27" t="n">
        <v>9376569</v>
      </c>
      <c r="E11" s="13" t="n">
        <v>590.3</v>
      </c>
      <c r="F11" s="13" t="inlineStr">
        <is>
          <t>Estacional</t>
        </is>
      </c>
      <c r="G11" s="13" t="inlineStr">
        <is>
          <t>Vaguada de lecho pedregoso</t>
        </is>
      </c>
    </row>
    <row r="12">
      <c r="A12" s="16" t="inlineStr">
        <is>
          <t>TOTAL: 2 puntos</t>
        </is>
      </c>
      <c r="B12" s="17" t="inlineStr"/>
      <c r="C12" s="17" t="inlineStr"/>
      <c r="D12" s="17" t="inlineStr"/>
      <c r="E12" s="17" t="inlineStr"/>
      <c r="F12" s="17" t="inlineStr"/>
      <c r="G12" s="17" t="inlineStr"/>
    </row>
    <row r="14">
      <c r="A14" s="6" t="inlineStr">
        <is>
          <t>Centroide del bloque — UTM ESTE (m)</t>
        </is>
      </c>
      <c r="B14" s="7" t="n">
        <v>649847</v>
      </c>
      <c r="C14" s="6" t="inlineStr">
        <is>
          <t>Centroide del bloque — UTM NORTE (m)</t>
        </is>
      </c>
      <c r="D14" s="7" t="n">
        <v>9376260</v>
      </c>
      <c r="E14" s="8" t="n"/>
      <c r="F14" s="8" t="n"/>
      <c r="G14" s="8" t="n"/>
      <c r="H14" s="8" t="n"/>
    </row>
    <row r="15">
      <c r="A15" s="6" t="inlineStr">
        <is>
          <t>N.° de estaciones fotográficas declaradas</t>
        </is>
      </c>
      <c r="B15" s="7" t="n">
        <v>12</v>
      </c>
      <c r="C15" s="6" t="inlineStr">
        <is>
          <t>Estaciones dentro del polígono</t>
        </is>
      </c>
      <c r="D15" s="7" t="n">
        <v>0</v>
      </c>
      <c r="E15" s="8" t="n"/>
      <c r="F15" s="8" t="n"/>
      <c r="G15" s="8" t="n"/>
      <c r="H15" s="8" t="n"/>
    </row>
    <row r="17" ht="132" customHeight="1">
      <c r="A17"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LAS FICHAS F-DT NO FUERON DILIGENCIADAS EN CAMPO: los valores cualitativos son propuesta de gabinete sustentada en fotointerpretación y deben ser ratificados por la brigada. CONTROL GEOMÉTRICO: las 12 tomas se localizan entre 21 y 63 m POR FUERA del límite norte del polígono; la caracterización es representativa del borde septentrional, no del interior. REMOCIÓN EN MASA ACTIVA: árbol descalzado con sistema radicular expuesto por retroceso del talud y agrietamiento del material (649925 E / 9376647 N). Neblina densa, visibilidad panorámica reducida.</t>
        </is>
      </c>
      <c r="B17" s="41" t="n"/>
      <c r="C17" s="41" t="n"/>
      <c r="D17" s="41" t="n"/>
      <c r="E17" s="41" t="n"/>
      <c r="F17" s="41" t="n"/>
      <c r="G17" s="42" t="n"/>
    </row>
  </sheetData>
  <mergeCells count="8">
    <mergeCell ref="A1:G1"/>
    <mergeCell ref="A17:G17"/>
    <mergeCell ref="A8:G8"/>
    <mergeCell ref="A3:G3"/>
    <mergeCell ref="A6:G6"/>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2"/>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C1076-Q9593 — BLOQUE 20</t>
        </is>
      </c>
    </row>
    <row r="6" ht="24" customHeight="1">
      <c r="A6" s="4" t="inlineStr">
        <is>
          <t>Distrito de Huarmaca · Provincia de Huancabamba · Comparación de los bloques preliminares de intervención de la misma microcuenca</t>
        </is>
      </c>
    </row>
    <row r="7"/>
    <row r="8" ht="18" customHeight="1">
      <c r="A8" s="5" t="inlineStr">
        <is>
          <t>BLOQUES DE LA MICROCUENCA C1076-Q9593</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10</t>
        </is>
      </c>
      <c r="B10" s="28" t="n">
        <v>150.21</v>
      </c>
      <c r="C10" s="19" t="n">
        <v>28.67</v>
      </c>
      <c r="D10" s="11" t="inlineStr">
        <is>
          <t>912 – 1510</t>
        </is>
      </c>
      <c r="E10" s="11" t="n">
        <v>598</v>
      </c>
      <c r="F10" s="11" t="n">
        <v>27.39</v>
      </c>
      <c r="G10" s="18" t="n">
        <v>0.5465</v>
      </c>
      <c r="H10" s="19" t="n">
        <v>85.18000000000001</v>
      </c>
      <c r="I10" s="19" t="n">
        <v>28.51</v>
      </c>
    </row>
    <row r="11">
      <c r="A11" s="12" t="inlineStr">
        <is>
          <t>8</t>
        </is>
      </c>
      <c r="B11" s="29" t="n">
        <v>126.95</v>
      </c>
      <c r="C11" s="21" t="n">
        <v>24.23</v>
      </c>
      <c r="D11" s="13" t="inlineStr">
        <is>
          <t>1504 – 1970</t>
        </is>
      </c>
      <c r="E11" s="13" t="n">
        <v>466</v>
      </c>
      <c r="F11" s="13" t="n">
        <v>29.85</v>
      </c>
      <c r="G11" s="20" t="n">
        <v>0.5548</v>
      </c>
      <c r="H11" s="21" t="n">
        <v>72.25</v>
      </c>
      <c r="I11" s="21" t="n">
        <v>28.4</v>
      </c>
    </row>
    <row r="12">
      <c r="A12" s="7" t="inlineStr">
        <is>
          <t>16</t>
        </is>
      </c>
      <c r="B12" s="28" t="n">
        <v>83.33</v>
      </c>
      <c r="C12" s="19" t="n">
        <v>15.91</v>
      </c>
      <c r="D12" s="11" t="inlineStr">
        <is>
          <t>1349 – 1746</t>
        </is>
      </c>
      <c r="E12" s="11" t="n">
        <v>397</v>
      </c>
      <c r="F12" s="11" t="n">
        <v>22.34</v>
      </c>
      <c r="G12" s="18" t="n">
        <v>0.6284</v>
      </c>
      <c r="H12" s="19" t="n">
        <v>94.13</v>
      </c>
      <c r="I12" s="19" t="n">
        <v>7.3</v>
      </c>
    </row>
    <row r="13">
      <c r="A13" s="14" t="inlineStr">
        <is>
          <t>► 20</t>
        </is>
      </c>
      <c r="B13" s="30" t="n">
        <v>81.33</v>
      </c>
      <c r="C13" s="31" t="n">
        <v>15.52</v>
      </c>
      <c r="D13" s="15" t="inlineStr">
        <is>
          <t>1217 – 1607</t>
        </is>
      </c>
      <c r="E13" s="15" t="n">
        <v>390</v>
      </c>
      <c r="F13" s="15" t="n">
        <v>24.54</v>
      </c>
      <c r="G13" s="32" t="n">
        <v>0.4851</v>
      </c>
      <c r="H13" s="31" t="n">
        <v>52.44</v>
      </c>
      <c r="I13" s="31" t="n">
        <v>59.23</v>
      </c>
    </row>
    <row r="14">
      <c r="A14" s="7" t="inlineStr">
        <is>
          <t>80</t>
        </is>
      </c>
      <c r="B14" s="28" t="n">
        <v>28.83</v>
      </c>
      <c r="C14" s="19" t="n">
        <v>5.5</v>
      </c>
      <c r="D14" s="11" t="inlineStr">
        <is>
          <t>2180 – 2491</t>
        </is>
      </c>
      <c r="E14" s="11" t="n">
        <v>311</v>
      </c>
      <c r="F14" s="11" t="n">
        <v>32.9</v>
      </c>
      <c r="G14" s="18" t="n">
        <v>0.5931</v>
      </c>
      <c r="H14" s="19" t="n">
        <v>78.73</v>
      </c>
      <c r="I14" s="19" t="n">
        <v>16.88</v>
      </c>
    </row>
    <row r="15">
      <c r="A15" s="12" t="inlineStr">
        <is>
          <t>51</t>
        </is>
      </c>
      <c r="B15" s="29" t="n">
        <v>22.93</v>
      </c>
      <c r="C15" s="21" t="n">
        <v>4.38</v>
      </c>
      <c r="D15" s="13" t="inlineStr">
        <is>
          <t>1734 – 2018</t>
        </is>
      </c>
      <c r="E15" s="13" t="n">
        <v>284</v>
      </c>
      <c r="F15" s="13" t="n">
        <v>31.74</v>
      </c>
      <c r="G15" s="20" t="n">
        <v>0.5238</v>
      </c>
      <c r="H15" s="21" t="n">
        <v>69.45999999999999</v>
      </c>
      <c r="I15" s="21" t="n">
        <v>34.63</v>
      </c>
    </row>
    <row r="16">
      <c r="A16" s="7" t="inlineStr">
        <is>
          <t>76</t>
        </is>
      </c>
      <c r="B16" s="28" t="n">
        <v>19.62</v>
      </c>
      <c r="C16" s="19" t="n">
        <v>3.75</v>
      </c>
      <c r="D16" s="11" t="inlineStr">
        <is>
          <t>1647 – 1838</t>
        </is>
      </c>
      <c r="E16" s="11" t="n">
        <v>191</v>
      </c>
      <c r="F16" s="11" t="n">
        <v>26.25</v>
      </c>
      <c r="G16" s="18" t="n">
        <v>0.4925</v>
      </c>
      <c r="H16" s="19" t="n">
        <v>46.27</v>
      </c>
      <c r="I16" s="19" t="n">
        <v>54.14</v>
      </c>
    </row>
    <row r="17">
      <c r="A17" s="12" t="inlineStr">
        <is>
          <t>71</t>
        </is>
      </c>
      <c r="B17" s="29" t="n">
        <v>10.67</v>
      </c>
      <c r="C17" s="21" t="n">
        <v>2.04</v>
      </c>
      <c r="D17" s="13" t="inlineStr">
        <is>
          <t>1478 – 1609</t>
        </is>
      </c>
      <c r="E17" s="13" t="n">
        <v>131</v>
      </c>
      <c r="F17" s="13" t="n">
        <v>29.45</v>
      </c>
      <c r="G17" s="20" t="n">
        <v>0.5571</v>
      </c>
      <c r="H17" s="21" t="n">
        <v>81.37</v>
      </c>
      <c r="I17" s="21" t="n">
        <v>25.94</v>
      </c>
    </row>
    <row r="18">
      <c r="A18" s="16" t="inlineStr">
        <is>
          <t>TOTAL / PROMEDIO</t>
        </is>
      </c>
      <c r="B18" s="33">
        <f>SUM(B10:B17)</f>
        <v/>
      </c>
      <c r="C18" s="23">
        <f>SUM(C10:C17)</f>
        <v/>
      </c>
      <c r="D18" s="17" t="inlineStr">
        <is>
          <t>912 – 2491</t>
        </is>
      </c>
      <c r="E18" s="17" t="inlineStr"/>
      <c r="F18" s="17">
        <f>ROUND(AVERAGE(F10:F17),2)</f>
        <v/>
      </c>
      <c r="G18" s="22">
        <f>ROUND(AVERAGE(G10:G17),4)</f>
        <v/>
      </c>
      <c r="H18" s="23">
        <f>ROUND(AVERAGE(H10:H17),2)</f>
        <v/>
      </c>
      <c r="I18" s="23">
        <f>ROUND(AVERAGE(I10:I17),2)</f>
        <v/>
      </c>
    </row>
    <row r="19"/>
    <row r="20" ht="84" customHeight="1">
      <c r="A20" s="9" t="inlineStr">
        <is>
          <t>LECTURA INTRAMICROCUENCA. El bloque 20 ocupa el puesto 4 de 8 por superficie dentro de la microcuenca C1076-Q9593 (15.52 % de las 523.87 ha preliminares de la microcuenca). Su pendiente promedio (24.54 %, clase «15-25% (Fuert. inclinado)») es la 2.ª más baja de 8 y se sitúa por debajo del promedio de la microcuenca (28.06 %). Su MSAVI 2024 (0.4851) es el 8.º de 8 y queda por debajo del promedio local (0.5477). Amplitud altitudinal del bloque: 390 m (1217–1607 msnm). El cuadro conserva todos los bloques catalogados en la microcuenca, incluidos los descartados en el tamizaje, para referencia del conjunto. Los bloques sin ficha DT figuran con sus parámetros de gabinete. BRECHA ESPECTRAL. El 59.23 % de la superficie del bloque (48.171 ha de 81.334 ha) se sitúa bajo el umbral MSAVI 0.4976, por encima del promedio local de la microcuenca (31.88 %) calculado sobre los bloques con dato MSAVI disponible.</t>
        </is>
      </c>
      <c r="B20" s="41" t="n"/>
      <c r="C20" s="41" t="n"/>
      <c r="D20" s="41" t="n"/>
      <c r="E20" s="41" t="n"/>
      <c r="F20" s="41" t="n"/>
      <c r="G20" s="41" t="n"/>
      <c r="H20" s="42" t="n"/>
    </row>
    <row r="21"/>
    <row r="22" ht="60" customHeight="1">
      <c r="A22"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2" s="41" t="n"/>
      <c r="C22" s="41" t="n"/>
      <c r="D22" s="41" t="n"/>
      <c r="E22" s="41" t="n"/>
      <c r="F22" s="41" t="n"/>
      <c r="G22" s="41" t="n"/>
      <c r="H22" s="42" t="n"/>
    </row>
  </sheetData>
  <mergeCells count="9">
    <mergeCell ref="A1:I1"/>
    <mergeCell ref="A4:I4"/>
    <mergeCell ref="A3:I3"/>
    <mergeCell ref="A20:I20"/>
    <mergeCell ref="A2:I2"/>
    <mergeCell ref="A5:I5"/>
    <mergeCell ref="A8:I8"/>
    <mergeCell ref="A6:I6"/>
    <mergeCell ref="A22:I2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4"/>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20</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Ficha DT y catálogo maestro coinciden en «C1076-Q9593»</t>
        </is>
      </c>
      <c r="D10" s="35" t="inlineStr">
        <is>
          <t>CONFORME</t>
        </is>
      </c>
      <c r="E10" s="34" t="inlineStr">
        <is>
          <t>Sin acción.</t>
        </is>
      </c>
    </row>
    <row r="11" ht="48" customHeight="1">
      <c r="A11" s="36" t="inlineStr">
        <is>
          <t>D-02</t>
        </is>
      </c>
      <c r="B11" s="36" t="inlineStr">
        <is>
          <t>UTM del punto de muestreo</t>
        </is>
      </c>
      <c r="C11" s="36" t="inlineStr">
        <is>
          <t>El punto de muestreo declarado dista 361 m del centroide de catálogo, compatible con la extensión del bloque</t>
        </is>
      </c>
      <c r="D11" s="35" t="inlineStr">
        <is>
          <t>CONFORME</t>
        </is>
      </c>
      <c r="E11" s="36" t="inlineStr">
        <is>
          <t>Sin acción.</t>
        </is>
      </c>
    </row>
    <row r="12" ht="48" customHeight="1">
      <c r="A12" s="34" t="inlineStr">
        <is>
          <t>D-03</t>
        </is>
      </c>
      <c r="B12" s="34" t="inlineStr">
        <is>
          <t>Superficie del polígono</t>
        </is>
      </c>
      <c r="C12" s="34" t="inlineStr">
        <is>
          <t>La superficie clasificada por el NDVI 2025 (81.353 ha) coincide con la de catálogo (81.33 ha) dentro del ±2 % (+0.03 %)</t>
        </is>
      </c>
      <c r="D12" s="35" t="inlineStr">
        <is>
          <t>CONFORME</t>
        </is>
      </c>
      <c r="E12" s="34" t="inlineStr">
        <is>
          <t>Sin acción: la segmentación valida la geometría del bloque.</t>
        </is>
      </c>
    </row>
    <row r="13" ht="48" customHeight="1">
      <c r="A13" s="36" t="inlineStr">
        <is>
          <t>D-04</t>
        </is>
      </c>
      <c r="B13" s="36" t="inlineStr">
        <is>
          <t>Inventario georreferenciado de cárcavas</t>
        </is>
      </c>
      <c r="C13" s="36" t="inlineStr">
        <is>
          <t>El inventario de cárcavas no fue ejecutado o no consta en la ficha DT</t>
        </is>
      </c>
      <c r="D13" s="37" t="inlineStr">
        <is>
          <t>SUSTANTIVA</t>
        </is>
      </c>
      <c r="E13" s="36" t="inlineStr">
        <is>
          <t>La ausencia de registros NO equivale a ausencia verificada de cárcavas. Queda pendiente el levantamiento instrumental a cargo del especialista de Infraestructura Marrón antes de fijar metas físicas de infraestructura gris.</t>
        </is>
      </c>
    </row>
    <row r="14" ht="48" customHeight="1">
      <c r="A14" s="34" t="inlineStr">
        <is>
          <t>D-05</t>
        </is>
      </c>
      <c r="B14" s="34" t="inlineStr">
        <is>
          <t>Elenco florístico</t>
        </is>
      </c>
      <c r="C14" s="34" t="inlineStr">
        <is>
          <t>La ficha registra 12 taxones, por debajo del mínimo de 15 que exige el formato V5</t>
        </is>
      </c>
      <c r="D14" s="37" t="inlineStr">
        <is>
          <t>SUSTANTIVA</t>
        </is>
      </c>
      <c r="E14" s="34" t="inlineStr">
        <is>
          <t>Registro florístico preliminar, sin colecta ni determinación botánica formal. Debe cerrarse con colecta botánica en la siguiente campaña.</t>
        </is>
      </c>
    </row>
    <row r="15" ht="48" customHeight="1">
      <c r="A15" s="36" t="inlineStr">
        <is>
          <t>D-06</t>
        </is>
      </c>
      <c r="B15" s="36" t="inlineStr">
        <is>
          <t>Representatividad del levantamiento</t>
        </is>
      </c>
      <c r="C15" s="36" t="inlineStr">
        <is>
          <t>Ninguna de las estaciones fotográficas georreferenciadas se localiza dentro del polígono del bloque</t>
        </is>
      </c>
      <c r="D15" s="37" t="inlineStr">
        <is>
          <t>SUSTANTIVA</t>
        </is>
      </c>
      <c r="E15" s="36" t="inlineStr">
        <is>
          <t>La verificación documenta el perímetro y la vista panorámica del bloque, no su interior. Los parámetros que exigen recorrido interno se consignan «Por determinar».</t>
        </is>
      </c>
    </row>
    <row r="16" ht="48" customHeight="1">
      <c r="A16" s="34" t="inlineStr">
        <is>
          <t>D-07</t>
        </is>
      </c>
      <c r="B16" s="34" t="inlineStr">
        <is>
          <t>Centro poblado asociado</t>
        </is>
      </c>
      <c r="C16" s="34" t="inlineStr">
        <is>
          <t>La ficha DT declara «Túpac Amaru»; el cruce INEI-Bloques V5 identifica 1 centro(s) poblado(s) en el bloque: TUPAC AMARU</t>
        </is>
      </c>
      <c r="D16" s="15" t="inlineStr">
        <is>
          <t>NO SUSTANTIVA</t>
        </is>
      </c>
      <c r="E16" s="34" t="inlineStr">
        <is>
          <t>Se conserva el registro de campo como referencia y se adopta el listado INEI para el diagnóstico social y el cálculo de población beneficiaria.</t>
        </is>
      </c>
    </row>
    <row r="17" ht="48" customHeight="1">
      <c r="A17" s="36" t="inlineStr">
        <is>
          <t>D-08</t>
        </is>
      </c>
      <c r="B17" s="36" t="inlineStr">
        <is>
          <t>Peligro integrado (MCA-AHP)</t>
        </is>
      </c>
      <c r="C17" s="36" t="inlineStr">
        <is>
          <t>El nivel de peligro integrado no está disponible en los insumos de este entregable</t>
        </is>
      </c>
      <c r="D17" s="37" t="inlineStr">
        <is>
          <t>SUSTANTIVA</t>
        </is>
      </c>
      <c r="E17" s="36" t="inlineStr">
        <is>
          <t>Debe tomarse del modelamiento de mesolocalización (PMM + EPH + PGI ponderados por AHP) antes de fijar la prioridad definitiva de intervención del bloque.</t>
        </is>
      </c>
    </row>
    <row r="18" ht="48" customHeight="1">
      <c r="A18" s="36" t="inlineStr">
        <is>
          <t>D-09</t>
        </is>
      </c>
      <c r="B18" s="36" t="inlineStr">
        <is>
          <t>Distribución areal MSAVI 2024</t>
        </is>
      </c>
      <c r="C18" s="36" t="inlineStr">
        <is>
          <t>La distribución por clase de MSAVI no figuraba en los insumos del entregable y se consignaba «Por determinar»; se incorpora la estadística zonal del ráster MSAVI clasificado (303 polígonos, 81.334 ha)</t>
        </is>
      </c>
      <c r="D18" s="37" t="inlineStr">
        <is>
          <t>CORREGIDO</t>
        </is>
      </c>
      <c r="E18" s="36" t="inlineStr">
        <is>
          <t>Se completó la sección A de la hoja «Cobertura MSAVI-NDVI» con superficie y porcentaje por clase DN 1 a DN 5, totales, superficie sobre y bajo el umbral 0.4976 y contraste con el catálogo. La equivalencia DN → clase se sustenta en la nota metodológica de esa hoja (r = 0.9965, error absoluto medio = 0.0091, n = 117 bloques).</t>
        </is>
      </c>
    </row>
    <row r="19" ht="48" customHeight="1">
      <c r="A19" s="36" t="inlineStr">
        <is>
          <t>D-10</t>
        </is>
      </c>
      <c r="B19" s="36" t="inlineStr">
        <is>
          <t>Superficie MSAVI vs. catálogo</t>
        </is>
      </c>
      <c r="C19" s="36" t="inlineStr">
        <is>
          <t>La superficie total clasificada por el MSAVI 2024 (81.334 ha) frente a la de catálogo V5/V6 (81.330 ha): desviación de +0.00 %</t>
        </is>
      </c>
      <c r="D19" s="37" t="inlineStr">
        <is>
          <t>CONFORME</t>
        </is>
      </c>
      <c r="E19" s="36" t="inlineStr">
        <is>
          <t>Sin acción: la segmentación del ráster valida la geometría del bloque dentro del ±2 %.</t>
        </is>
      </c>
    </row>
    <row r="20" ht="48" customHeight="1">
      <c r="A20" s="36" t="inlineStr">
        <is>
          <t>D-11</t>
        </is>
      </c>
      <c r="B20" s="36" t="inlineStr">
        <is>
          <t>Media MSAVI vs. clase DN dominante</t>
        </is>
      </c>
      <c r="C20" s="36" t="inlineStr">
        <is>
          <t>La media del bloque (0.4851) cae en la clase «DN 3 · 0.3813 - 0.4976 (Vigor bajo)»; la clase de mayor superficie es «DN 3 · 0.3813 - 0.4976 (Vigor bajo)», con 52.32 % del bloque. Superficie bajo el umbral 0.4976: 48.171 ha (59.23 %)</t>
        </is>
      </c>
      <c r="D20" s="37" t="inlineStr">
        <is>
          <t>CONFORME</t>
        </is>
      </c>
      <c r="E20" s="36" t="inlineStr">
        <is>
          <t>Sin acción: la media del bloque y la clase de mayor superficie coinciden.</t>
        </is>
      </c>
    </row>
    <row r="21"/>
    <row r="22">
      <c r="A22" s="16" t="inlineStr">
        <is>
          <t>RESUMEN</t>
        </is>
      </c>
      <c r="B22" s="17" t="inlineStr">
        <is>
          <t>11 verificaciones</t>
        </is>
      </c>
      <c r="C22" s="17" t="inlineStr">
        <is>
          <t>CONFORME: 5 · CORREGIDO: 1 · NO SUSTANTIVA: 1 · SUSTANTIVA: 4</t>
        </is>
      </c>
      <c r="D22" s="17" t="inlineStr"/>
      <c r="E22" s="17" t="inlineStr"/>
    </row>
    <row r="23"/>
    <row r="24" ht="60" customHeight="1">
      <c r="A24"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24" s="41" t="n"/>
      <c r="C24" s="41" t="n"/>
      <c r="D24" s="41" t="n"/>
      <c r="E24" s="42" t="n"/>
    </row>
  </sheetData>
  <mergeCells count="8">
    <mergeCell ref="A4:E4"/>
    <mergeCell ref="A24:E24"/>
    <mergeCell ref="A2:E2"/>
    <mergeCell ref="A5:E5"/>
    <mergeCell ref="A1:E1"/>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20 — IN Piura</dc:title>
  <dc:subject>Diagnóstico Territorial por bloque de intervención</dc:subject>
  <dcterms:created xsi:type="dcterms:W3CDTF">2026-09-08T03:39:55Z</dcterms:created>
  <dcterms:modified xsi:type="dcterms:W3CDTF">2026-09-09T23:30:50Z</dcterms:modified>
</cp:coreProperties>
</file>