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Túpac Amaru</t>
        </is>
      </c>
      <c r="C13" s="6" t="inlineStr">
        <is>
          <t>Comunidad campesina</t>
        </is>
      </c>
      <c r="D13" s="7" t="inlineStr">
        <is>
          <t>Por verificar</t>
        </is>
      </c>
      <c r="E13" s="8" t="n"/>
      <c r="F13" s="8" t="n"/>
    </row>
    <row r="14">
      <c r="A14" s="6" t="inlineStr">
        <is>
          <t>Superficie de catálogo (V5/V6), ha</t>
        </is>
      </c>
      <c r="B14" s="7" t="n">
        <v>81.33</v>
      </c>
      <c r="C14" s="6" t="inlineStr">
        <is>
          <t>Fuente de superficie</t>
        </is>
      </c>
      <c r="D14" s="7" t="inlineStr">
        <is>
          <t>Catálogo maestro Bloques V5/V6</t>
        </is>
      </c>
      <c r="E14" s="8" t="n"/>
      <c r="F14" s="8" t="n"/>
    </row>
    <row r="15">
      <c r="A15" s="6" t="inlineStr">
        <is>
          <t>Centroide UTM ESTE (m)</t>
        </is>
      </c>
      <c r="B15" s="7" t="n">
        <v>649847</v>
      </c>
      <c r="C15" s="6" t="inlineStr">
        <is>
          <t>Centroide UTM NORTE (m)</t>
        </is>
      </c>
      <c r="D15" s="7" t="n">
        <v>9376260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1217</v>
      </c>
      <c r="C19" s="6" t="inlineStr">
        <is>
          <t>Altitud máxima (msnm)</t>
        </is>
      </c>
      <c r="D19" s="7" t="n">
        <v>1607</v>
      </c>
      <c r="E19" s="8" t="n"/>
      <c r="F19" s="8" t="n"/>
    </row>
    <row r="20">
      <c r="A20" s="6" t="inlineStr">
        <is>
          <t>Amplitud altitudinal (m)</t>
        </is>
      </c>
      <c r="B20" s="7" t="n">
        <v>390</v>
      </c>
      <c r="C20" s="6" t="inlineStr">
        <is>
          <t>Piso altitudinal dominante</t>
        </is>
      </c>
      <c r="D20" s="7" t="inlineStr">
        <is>
          <t>1000-1500 m (Quechua baja)</t>
        </is>
      </c>
      <c r="E20" s="8" t="n"/>
      <c r="F20" s="8" t="n"/>
    </row>
    <row r="21">
      <c r="A21" s="6" t="inlineStr">
        <is>
          <t>Pendiente promedio (%)</t>
        </is>
      </c>
      <c r="B21" s="7" t="n">
        <v>24.54</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0.4851</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alta (52.44 %)</t>
        </is>
      </c>
      <c r="E29" s="8" t="n"/>
      <c r="F29" s="8" t="n"/>
    </row>
    <row r="30">
      <c r="A30" s="6" t="inlineStr">
        <is>
          <t>Superficie clasificada NDVI 2025 (ha)</t>
        </is>
      </c>
      <c r="B30" s="7" t="n">
        <v>81.35299999999999</v>
      </c>
      <c r="C30" s="6" t="inlineStr">
        <is>
          <t>Desviación frente al catálogo (%)</t>
        </is>
      </c>
      <c r="D30" s="7" t="n">
        <v>0.03</v>
      </c>
      <c r="E30" s="8" t="n"/>
      <c r="F30" s="8" t="n"/>
    </row>
    <row r="31">
      <c r="A31" s="6" t="inlineStr">
        <is>
          <t>Superficie clasificada MSAVI 2024 (ha)</t>
        </is>
      </c>
      <c r="B31" s="38" t="n">
        <v>81.334</v>
      </c>
      <c r="C31" s="6" t="inlineStr">
        <is>
          <t>Desviación MSAVI frente al catálogo (%)</t>
        </is>
      </c>
      <c r="D31" s="39" t="n">
        <v>0</v>
      </c>
      <c r="E31" s="8" t="n"/>
      <c r="F31" s="8" t="n"/>
    </row>
    <row r="32">
      <c r="A32" s="6" t="inlineStr">
        <is>
          <t>Superficie bajo umbral MSAVI 0.4976 (ha)</t>
        </is>
      </c>
      <c r="B32" s="38" t="n">
        <v>48.171</v>
      </c>
      <c r="C32" s="6" t="inlineStr">
        <is>
          <t>% del bloque bajo umbral (brecha espectral)</t>
        </is>
      </c>
      <c r="D32" s="39" t="n">
        <v>59.23</v>
      </c>
      <c r="E32" s="8" t="n"/>
      <c r="F32" s="8" t="n"/>
    </row>
    <row r="33">
      <c r="A33" s="6" t="inlineStr">
        <is>
          <t>Clase DN dominante (MSAVI 2024)</t>
        </is>
      </c>
      <c r="B33" s="7" t="inlineStr">
        <is>
          <t>DN 3 · 0.3813 - 0.4976 (Vigor bajo)</t>
        </is>
      </c>
      <c r="C33" s="6" t="inlineStr">
        <is>
          <t>N.° de polígonos MSAVI del bloque</t>
        </is>
      </c>
      <c r="D33" s="40" t="n">
        <v>303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confirmar</t>
        </is>
      </c>
      <c r="C44" s="6" t="inlineStr">
        <is>
          <t>Fecha de evaluación</t>
        </is>
      </c>
      <c r="D44" s="7" t="inlineStr">
        <is>
          <t>2026-08-18</t>
        </is>
      </c>
      <c r="E44" s="8" t="n"/>
      <c r="F44" s="8" t="n"/>
    </row>
    <row r="45">
      <c r="A45" s="6" t="inlineStr">
        <is>
          <t>Hora de registro</t>
        </is>
      </c>
      <c r="B45" s="7" t="inlineStr">
        <is>
          <t>12:05 - 12:15 h</t>
        </is>
      </c>
      <c r="C45" s="6" t="inlineStr">
        <is>
          <t>Correlativo de ficha</t>
        </is>
      </c>
      <c r="D45" s="7" t="inlineStr">
        <is>
          <t>DT-B20-2026-01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instalaron parcelas de muestreo</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habilitación de accesos y de frontera agropecuaria sobre laderas de vertiente occidental</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4.9654</v>
      </c>
      <c r="C10" s="19">
        <f>ROUND(B10/$B$15*100,2)</f>
        <v>6.1</v>
      </c>
      <c r="D10" s="11" t="inlineStr">
        <is>
          <t>Vigor alto</t>
        </is>
      </c>
      <c r="E10" s="11" t="inlineStr">
        <is>
          <t>Sobre umbral</t>
        </is>
      </c>
    </row>
    <row r="11">
      <c r="A11" s="12" t="inlineStr">
        <is>
          <t>0.4976 - 0.6139 · DN 4</t>
        </is>
      </c>
      <c r="B11" s="20" t="n">
        <v>28.1972</v>
      </c>
      <c r="C11" s="21">
        <f>ROUND(B11/$B$15*100,2)</f>
        <v>34.67</v>
      </c>
      <c r="D11" s="13" t="inlineStr">
        <is>
          <t>Vigor moderado</t>
        </is>
      </c>
      <c r="E11" s="13" t="inlineStr">
        <is>
          <t>Sobre umbral</t>
        </is>
      </c>
    </row>
    <row r="12">
      <c r="A12" s="14" t="inlineStr">
        <is>
          <t>0.3813 - 0.4976 · DN 3</t>
        </is>
      </c>
      <c r="B12" s="32" t="n">
        <v>42.5576</v>
      </c>
      <c r="C12" s="31">
        <f>ROUND(B12/$B$15*100,2)</f>
        <v>52.32</v>
      </c>
      <c r="D12" s="15" t="inlineStr">
        <is>
          <t>Vigor bajo</t>
        </is>
      </c>
      <c r="E12" s="15" t="inlineStr">
        <is>
          <t>BAJO umbral 0.4976</t>
        </is>
      </c>
    </row>
    <row r="13">
      <c r="A13" s="12" t="inlineStr">
        <is>
          <t>0.2650 - 0.3813 · DN 2</t>
        </is>
      </c>
      <c r="B13" s="20" t="n">
        <v>5.6135</v>
      </c>
      <c r="C13" s="21">
        <f>ROUND(B13/$B$15*100,2)</f>
        <v>6.9</v>
      </c>
      <c r="D13" s="13" t="inlineStr">
        <is>
          <t>Vigor muy bajo</t>
        </is>
      </c>
      <c r="E13" s="13"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81.3337</v>
      </c>
      <c r="C15" s="45">
        <f>SUM(C10:C14)</f>
        <v>99.99</v>
      </c>
      <c r="D15" s="43" t="inlineStr">
        <is>
          <t>Suma de la distribución areal · 303 polígonos</t>
        </is>
      </c>
      <c r="E15" s="43" t="inlineStr">
        <is>
          <t>—</t>
        </is>
      </c>
    </row>
    <row r="16" ht="30" customHeight="1">
      <c r="A16" s="46" t="inlineStr">
        <is>
          <t>Superficie SOBRE umbral 0.4976 (ha)</t>
        </is>
      </c>
      <c r="B16" s="47">
        <f>SUM(B10:B11)</f>
        <v>33.1626</v>
      </c>
      <c r="C16" s="48">
        <f>ROUND(B16/B15*100,2)</f>
        <v>40.77</v>
      </c>
      <c r="D16" s="46" t="inlineStr">
        <is>
          <t>Vigor alto y moderado (DN 4 y DN 5)</t>
        </is>
      </c>
      <c r="E16" s="46" t="inlineStr">
        <is>
          <t>Sobre umbral 0.4976</t>
        </is>
      </c>
    </row>
    <row r="17" ht="30" customHeight="1">
      <c r="A17" s="46" t="inlineStr">
        <is>
          <t>Superficie BAJO umbral 0.4976 (ha) — brecha</t>
        </is>
      </c>
      <c r="B17" s="47">
        <f>SUM(B12:B14)</f>
        <v>48.1711</v>
      </c>
      <c r="C17" s="48">
        <f>ROUND(B17/B15*100,2)</f>
        <v>59.23</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81.33</v>
      </c>
      <c r="C18" s="49" t="inlineStr">
        <is>
          <t>—</t>
        </is>
      </c>
      <c r="D18" s="46" t="inlineStr">
        <is>
          <t>Desviación planimétrica frente al catálogo</t>
        </is>
      </c>
      <c r="E18" s="46" t="inlineStr">
        <is>
          <t>+0.00 %</t>
        </is>
      </c>
    </row>
    <row r="19">
      <c r="A19" s="16" t="inlineStr">
        <is>
          <t>MSAVI 2024 — MEDIA DEL BLOQUE</t>
        </is>
      </c>
      <c r="B19" s="17" t="n">
        <v>0.48513</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(0.4851)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42.6631</v>
      </c>
      <c r="C25" s="19" t="n">
        <v>52.44</v>
      </c>
      <c r="D25" s="11" t="inlineStr">
        <is>
          <t>Dosel continuo, matorral denso o mosaico agroforestal</t>
        </is>
      </c>
      <c r="E25" s="11" t="inlineStr"/>
    </row>
    <row r="26">
      <c r="A26" s="12" t="inlineStr">
        <is>
          <t>Vegetación mediana</t>
        </is>
      </c>
      <c r="B26" s="20" t="n">
        <v>38.4235</v>
      </c>
      <c r="C26" s="21" t="n">
        <v>47.23</v>
      </c>
      <c r="D26" s="13" t="inlineStr">
        <is>
          <t>Pastizal cultivado, matorral ralo, parcelas agrícolas</t>
        </is>
      </c>
      <c r="E26" s="13" t="inlineStr"/>
    </row>
    <row r="27">
      <c r="A27" s="7" t="inlineStr">
        <is>
          <t>Vegetación ligera</t>
        </is>
      </c>
      <c r="B27" s="18" t="n">
        <v>0.257</v>
      </c>
      <c r="C27" s="19" t="n">
        <v>0.32</v>
      </c>
      <c r="D27" s="11" t="inlineStr">
        <is>
          <t>Cobertura discontinua, suelo parcialmente expuesto</t>
        </is>
      </c>
      <c r="E27" s="11" t="inlineStr"/>
    </row>
    <row r="28">
      <c r="A28" s="12" t="inlineStr">
        <is>
          <t>Tierra desnuda</t>
        </is>
      </c>
      <c r="B28" s="20" t="n">
        <v>0.009900000000000001</v>
      </c>
      <c r="C28" s="21" t="n">
        <v>0.01</v>
      </c>
      <c r="D28" s="13" t="inlineStr">
        <is>
          <t>Suelo desnudo, afloramientos, plataformas y taludes</t>
        </is>
      </c>
      <c r="E28" s="13" t="inlineStr"/>
    </row>
    <row r="29">
      <c r="A29" s="16" t="inlineStr">
        <is>
          <t>TOTAL CLASIFICADO</t>
        </is>
      </c>
      <c r="B29" s="22">
        <f>SUM(B25:B28)</f>
        <v>81.3535</v>
      </c>
      <c r="C29" s="23">
        <f>SUM(C25:C28)</f>
        <v>100.0</v>
      </c>
      <c r="D29" s="17" t="inlineStr"/>
      <c r="E29" s="17" t="inlineStr"/>
    </row>
    <row r="30">
      <c r="A30" s="24" t="inlineStr">
        <is>
          <t>Superficie de catálogo (V5/V6)</t>
        </is>
      </c>
      <c r="B30" s="25" t="n">
        <v>81.33</v>
      </c>
      <c r="C30" s="25" t="inlineStr">
        <is>
          <t>—</t>
        </is>
      </c>
      <c r="D30" s="25" t="inlineStr">
        <is>
          <t>Desviación planimétrica frente al catálogo</t>
        </is>
      </c>
      <c r="E30" s="25" t="inlineStr">
        <is>
          <t>+0.03 %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20</t>
        </is>
      </c>
    </row>
    <row r="6" ht="24" customHeight="1">
      <c r="A6" s="4" t="inlineStr">
        <is>
          <t>Levantamiento del 2026-08-18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649839</v>
      </c>
      <c r="D10" s="26" t="n">
        <v>9376621</v>
      </c>
      <c r="E10" s="11" t="n">
        <v>361.1</v>
      </c>
      <c r="F10" s="11" t="inlineStr"/>
      <c r="G10" s="11" t="inlineStr">
        <is>
          <t>Coordenada consignada en F-DT-01</t>
        </is>
      </c>
    </row>
    <row r="11">
      <c r="A11" s="12" t="inlineStr">
        <is>
          <t>H-01</t>
        </is>
      </c>
      <c r="B11" s="13" t="inlineStr">
        <is>
          <t>Fuente de agua — Quebrada estacional</t>
        </is>
      </c>
      <c r="C11" s="27" t="n">
        <v>650350</v>
      </c>
      <c r="D11" s="27" t="n">
        <v>9376569</v>
      </c>
      <c r="E11" s="13" t="n">
        <v>590.3</v>
      </c>
      <c r="F11" s="13" t="inlineStr">
        <is>
          <t>Estacional</t>
        </is>
      </c>
      <c r="G11" s="13" t="inlineStr">
        <is>
          <t>Vaguada de lecho pedregoso</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649847</v>
      </c>
      <c r="C14" s="6" t="inlineStr">
        <is>
          <t>Centroide del bloque — UTM NORTE (m)</t>
        </is>
      </c>
      <c r="D14" s="7" t="n">
        <v>9376260</v>
      </c>
      <c r="E14" s="8" t="n"/>
      <c r="F14" s="8" t="n"/>
      <c r="G14" s="8" t="n"/>
      <c r="H14" s="8" t="n"/>
    </row>
    <row r="15">
      <c r="A15" s="6" t="inlineStr">
        <is>
          <t>N.° de estaciones fotográficas declaradas</t>
        </is>
      </c>
      <c r="B15" s="7" t="n">
        <v>12</v>
      </c>
      <c r="C15" s="6" t="inlineStr">
        <is>
          <t>Estaciones dentro del polígono</t>
        </is>
      </c>
      <c r="D15" s="7" t="n">
        <v>0</v>
      </c>
      <c r="E15" s="8" t="n"/>
      <c r="F15" s="8" t="n"/>
      <c r="G15" s="8" t="n"/>
      <c r="H15" s="8" t="n"/>
    </row>
    <row r="16"/>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FICHAS F-DT NO FUERON DILIGENCIADAS EN CAMPO: los valores cualitativos son propuesta de gabinete sustentada en fotointerpretación y deben ser ratificados por la brigada. CONTROL GEOMÉTRICO: las 12 tomas se localizan entre 21 y 63 m POR FUERA del límite norte del polígono; la caracterización es representativa del borde septentrional, no del interior. REMOCIÓN EN MASA ACTIVA: árbol descalzado con sistema radicular expuesto por retroceso del talud y agrietamiento del material (649925 E / 9376647 N). Neblina densa, visibilidad panorámica reducida.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20</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8</t>
        </is>
      </c>
      <c r="B11" s="29" t="n">
        <v>126.95</v>
      </c>
      <c r="C11" s="21" t="n">
        <v>24.23</v>
      </c>
      <c r="D11" s="13" t="inlineStr">
        <is>
          <t>1504 – 1970</t>
        </is>
      </c>
      <c r="E11" s="13" t="n">
        <v>466</v>
      </c>
      <c r="F11" s="13"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 20</t>
        </is>
      </c>
      <c r="B13" s="30" t="n">
        <v>81.33</v>
      </c>
      <c r="C13" s="31" t="n">
        <v>15.52</v>
      </c>
      <c r="D13" s="15" t="inlineStr">
        <is>
          <t>1217 – 1607</t>
        </is>
      </c>
      <c r="E13" s="15" t="n">
        <v>390</v>
      </c>
      <c r="F13" s="15" t="n">
        <v>24.54</v>
      </c>
      <c r="G13" s="32" t="n">
        <v>0.4851</v>
      </c>
      <c r="H13" s="31" t="n">
        <v>52.44</v>
      </c>
      <c r="I13" s="3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2" t="inlineStr">
        <is>
          <t>51</t>
        </is>
      </c>
      <c r="B15" s="29" t="n">
        <v>22.93</v>
      </c>
      <c r="C15" s="21" t="n">
        <v>4.38</v>
      </c>
      <c r="D15" s="13" t="inlineStr">
        <is>
          <t>1734 – 2018</t>
        </is>
      </c>
      <c r="E15" s="13" t="n">
        <v>284</v>
      </c>
      <c r="F15" s="13"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2" t="inlineStr">
        <is>
          <t>71</t>
        </is>
      </c>
      <c r="B17" s="29" t="n">
        <v>10.67</v>
      </c>
      <c r="C17" s="21" t="n">
        <v>2.04</v>
      </c>
      <c r="D17" s="13" t="inlineStr">
        <is>
          <t>1478 – 1609</t>
        </is>
      </c>
      <c r="E17" s="13" t="n">
        <v>131</v>
      </c>
      <c r="F17" s="13" t="n">
        <v>29.45</v>
      </c>
      <c r="G17" s="20" t="n">
        <v>0.5571</v>
      </c>
      <c r="H17" s="21" t="n">
        <v>81.37</v>
      </c>
      <c r="I17" s="21" t="n">
        <v>25.94</v>
      </c>
    </row>
    <row r="18">
      <c r="A18" s="16" t="inlineStr">
        <is>
          <t>TOTAL / PROMEDIO</t>
        </is>
      </c>
      <c r="B18" s="33">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20 ocupa el puesto 4 de 8 por superficie dentro de la microcuenca C1076-Q9593 (15.52 % de las 523.87 ha preliminares de la microcuenca). Su pendiente promedio (24.54 %, clase «15-25% (Fuert. inclinado)») es la 2.ª más baja de 8 y se sitúa por debajo del promedio de la microcuenca (28.06 %). Su MSAVI 2024 (0.4851) es el 8.º de 8 y queda por debajo del promedio local (0.5477). Amplitud altitudinal del bloque: 390 m (1217–1607 msnm). El cuadro conserva todos los bloques catalogados en la microcuenca, incluidos los descartados en el tamizaje, para referencia del conjunto. Los bloques sin ficha DT figuran con sus parámetros de gabinete. BRECHA ESPECTRAL. El 59.23 % de la superficie del bloque (48.171 ha de 81.334 ha) se sitúa bajo el umbral MSAVI 0.4976, por encima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361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(81.353 ha) coincide con la de catálogo (81.33 ha) dentro del ±2 % (+0.03 %)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«Túpac Amaru»; el cruce INEI-Bloques V5 identifica 1 centro(s) poblado(s) en el bloque: TUPAC AMARU</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(303 polígonos, 81.334 ha)</t>
        </is>
      </c>
      <c r="D18" s="37"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(81.334 ha) frente a la de catálogo V5/V6 (81.330 ha): desviación de +0.00 %</t>
        </is>
      </c>
      <c r="D19" s="37"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(0.4851) cae en la clase «DN 3 · 0.3813 - 0.4976 (Vigor bajo)»; la clase de mayor superficie es «DN 3 · 0.3813 - 0.4976 (Vigor bajo)», con 52.32 % del bloque. Superficie bajo el umbral 0.4976: 48.171 ha (59.23 %)</t>
        </is>
      </c>
      <c r="D20" s="37"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5 · CORREGIDO: 1 · NO SUSTANTIVA: 1 · SUSTANTIVA: 4</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20 — IN Piura</dc:title>
  <dc:subject>Diagnóstico Territorial por bloque de intervención</dc:subject>
  <dcterms:created xsi:type="dcterms:W3CDTF">2026-09-08T03:39:55Z</dcterms:created>
  <dcterms:modified xsi:type="dcterms:W3CDTF">2026-09-10T00:28:26Z</dcterms:modified>
</cp:coreProperties>
</file>