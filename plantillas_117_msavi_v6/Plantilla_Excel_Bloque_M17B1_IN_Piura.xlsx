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M17B1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M17B1</t>
        </is>
      </c>
      <c r="C9" s="6" t="inlineStr">
        <is>
          <t>Microcuenca (catálogo)</t>
        </is>
      </c>
      <c r="D9" s="7" t="inlineStr">
        <is>
          <t>C1096-Q9556</t>
        </is>
      </c>
      <c r="E9" s="8" t="n"/>
      <c r="F9" s="8" t="n"/>
    </row>
    <row r="10">
      <c r="A10" s="6" t="inlineStr">
        <is>
          <t>Zona de planificación</t>
        </is>
      </c>
      <c r="B10" s="7" t="inlineStr">
        <is>
          <t>Z01</t>
        </is>
      </c>
      <c r="C10" s="6" t="inlineStr">
        <is>
          <t>Microcuenca declarada en ficha DT</t>
        </is>
      </c>
      <c r="D10" s="7" t="inlineStr">
        <is>
          <t>C1096-Q9556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Chulucanas</t>
        </is>
      </c>
      <c r="C12" s="6" t="inlineStr">
        <is>
          <t>Capital distrital</t>
        </is>
      </c>
      <c r="D12" s="7" t="inlineStr">
        <is>
          <t>Chulucanas</t>
        </is>
      </c>
      <c r="E12" s="8" t="n"/>
      <c r="F12" s="8" t="n"/>
    </row>
    <row r="13">
      <c r="A13" s="6" t="inlineStr">
        <is>
          <t>Centro poblado asociado</t>
        </is>
      </c>
      <c r="B13" s="7" t="inlineStr">
        <is>
          <t>C.P. Papelillo</t>
        </is>
      </c>
      <c r="C13" s="6" t="inlineStr">
        <is>
          <t>Comunidad campesina</t>
        </is>
      </c>
      <c r="D13" s="7" t="inlineStr">
        <is>
          <t>Por verificar</t>
        </is>
      </c>
      <c r="E13" s="8" t="n"/>
      <c r="F13" s="8" t="n"/>
    </row>
    <row r="14">
      <c r="A14" s="6" t="inlineStr">
        <is>
          <t>Superficie de catálogo (V5/V6), ha</t>
        </is>
      </c>
      <c r="B14" s="7" t="n">
        <v>42.45</v>
      </c>
      <c r="C14" s="6" t="inlineStr">
        <is>
          <t>Fuente de superficie</t>
        </is>
      </c>
      <c r="D14" s="7" t="inlineStr">
        <is>
          <t>Catálogo maestro Bloques V5/V6</t>
        </is>
      </c>
      <c r="E14" s="8" t="n"/>
      <c r="F14" s="8" t="n"/>
    </row>
    <row r="15">
      <c r="A15" s="6" t="inlineStr">
        <is>
          <t>Centroide UTM ESTE (m)</t>
        </is>
      </c>
      <c r="B15" s="7" t="n">
        <v>600644</v>
      </c>
      <c r="C15" s="6" t="inlineStr">
        <is>
          <t>Centroide UTM NORTE (m)</t>
        </is>
      </c>
      <c r="D15" s="7" t="n">
        <v>9440436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177</v>
      </c>
      <c r="C19" s="6" t="inlineStr">
        <is>
          <t>Altitud máxima (msnm)</t>
        </is>
      </c>
      <c r="D19" s="7" t="n">
        <v>313</v>
      </c>
      <c r="E19" s="8" t="n"/>
      <c r="F19" s="8" t="n"/>
    </row>
    <row r="20">
      <c r="A20" s="6" t="inlineStr">
        <is>
          <t>Amplitud altitudinal (m)</t>
        </is>
      </c>
      <c r="B20" s="7" t="n">
        <v>136</v>
      </c>
      <c r="C20" s="6" t="inlineStr">
        <is>
          <t>Piso altitudinal dominante</t>
        </is>
      </c>
      <c r="D20" s="7" t="inlineStr">
        <is>
          <t>&lt;1000 m (Yunga)</t>
        </is>
      </c>
      <c r="E20" s="8" t="n"/>
      <c r="F20" s="8" t="n"/>
    </row>
    <row r="21">
      <c r="A21" s="6" t="inlineStr">
        <is>
          <t>Pendiente promedio (%)</t>
        </is>
      </c>
      <c r="B21" s="7" t="n">
        <v>14.73</v>
      </c>
      <c r="C21" s="6" t="inlineStr">
        <is>
          <t>Pendiente promedio (grados)</t>
        </is>
      </c>
      <c r="D21" s="7" t="n">
        <v>8.4</v>
      </c>
      <c r="E21" s="8" t="n"/>
      <c r="F21" s="8" t="n"/>
    </row>
    <row r="22">
      <c r="A22" s="6" t="inlineStr">
        <is>
          <t>Clase de pendiente equivalente</t>
        </is>
      </c>
      <c r="B22" s="7" t="inlineStr">
        <is>
          <t>8-15% (Mod. inclinado)</t>
        </is>
      </c>
      <c r="C22" s="6" t="inlineStr">
        <is>
          <t>Rango de pendiente declarado en campo</t>
        </is>
      </c>
      <c r="D22" s="7" t="inlineStr">
        <is>
          <t>8-15% (Mod. inclinado)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Sureste</t>
        </is>
      </c>
      <c r="C24" s="6" t="inlineStr">
        <is>
          <t>Afloramientos rocosos</t>
        </is>
      </c>
      <c r="D24" s="7" t="inlineStr">
        <is>
          <t>Sí (de origen antrópico: cortes de talud)</t>
        </is>
      </c>
      <c r="E24" s="8" t="n"/>
      <c r="F24" s="8" t="n"/>
    </row>
    <row r="25">
      <c r="A25" s="6" t="inlineStr">
        <is>
          <t>Escarpes activos</t>
        </is>
      </c>
      <c r="B25" s="7" t="inlineStr">
        <is>
          <t>Sí (de origen antrópico)</t>
        </is>
      </c>
      <c r="C25" s="6" t="inlineStr">
        <is>
          <t>Remociones en masa activas</t>
        </is>
      </c>
      <c r="D25" s="7" t="inlineStr">
        <is>
          <t>Sí (caída de rocas activa)</t>
        </is>
      </c>
      <c r="E25" s="8" t="n"/>
      <c r="F25" s="8" t="n"/>
    </row>
    <row r="26"/>
    <row r="27" ht="18" customHeight="1">
      <c r="A27" s="5" t="inlineStr">
        <is>
          <t>3. ÍNDICES DE VEGETACIÓN (SENTINEL-2)</t>
        </is>
      </c>
    </row>
    <row r="28">
      <c r="A28" s="6" t="inlineStr">
        <is>
          <t>MSAVI 2024 — media del bloque</t>
        </is>
      </c>
      <c r="B28" s="7" t="n">
        <v>0.3323</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(81.83 %)</t>
        </is>
      </c>
      <c r="E29" s="8" t="n"/>
      <c r="F29" s="8" t="n"/>
    </row>
    <row r="30">
      <c r="A30" s="6" t="inlineStr">
        <is>
          <t>Superficie clasificada NDVI 2025 (ha)</t>
        </is>
      </c>
      <c r="B30" s="7" t="n">
        <v>42.472</v>
      </c>
      <c r="C30" s="6" t="inlineStr">
        <is>
          <t>Desviación frente al catálogo (%)</t>
        </is>
      </c>
      <c r="D30" s="7" t="n">
        <v>0.05</v>
      </c>
      <c r="E30" s="8" t="n"/>
      <c r="F30" s="8" t="n"/>
    </row>
    <row r="31">
      <c r="A31" s="6" t="inlineStr">
        <is>
          <t>Superficie clasificada MSAVI 2024 (ha)</t>
        </is>
      </c>
      <c r="B31" s="39" t="n">
        <v>42.449</v>
      </c>
      <c r="C31" s="6" t="inlineStr">
        <is>
          <t>Desviación MSAVI frente al catálogo (%)</t>
        </is>
      </c>
      <c r="D31" s="40" t="n">
        <v>0</v>
      </c>
      <c r="E31" s="8" t="n"/>
      <c r="F31" s="8" t="n"/>
    </row>
    <row r="32">
      <c r="A32" s="6" t="inlineStr">
        <is>
          <t>Superficie bajo umbral MSAVI 0.4976 (ha)</t>
        </is>
      </c>
      <c r="B32" s="39" t="n">
        <v>42.379</v>
      </c>
      <c r="C32" s="6" t="inlineStr">
        <is>
          <t>% del bloque bajo umbral (brecha espectral)</t>
        </is>
      </c>
      <c r="D32" s="40" t="n">
        <v>99.84</v>
      </c>
      <c r="E32" s="8" t="n"/>
      <c r="F32" s="8" t="n"/>
    </row>
    <row r="33">
      <c r="A33" s="6" t="inlineStr">
        <is>
          <t>Clase DN dominante (MSAVI 2024)</t>
        </is>
      </c>
      <c r="B33" s="7" t="inlineStr">
        <is>
          <t>DN 2 · 0.2650 - 0.3813 (Vigor muy bajo)</t>
        </is>
      </c>
      <c r="C33" s="6" t="inlineStr">
        <is>
          <t>N.° de polígonos MSAVI del bloque</t>
        </is>
      </c>
      <c r="D33" s="41" t="n">
        <v>123</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Por verificar</t>
        </is>
      </c>
      <c r="E36" s="8" t="n"/>
      <c r="F36" s="8" t="n"/>
    </row>
    <row r="37">
      <c r="A37" s="6" t="inlineStr">
        <is>
          <t>Estado de conservación</t>
        </is>
      </c>
      <c r="B37" s="7" t="inlineStr">
        <is>
          <t>Medianamente alterado</t>
        </is>
      </c>
      <c r="C37" s="6" t="inlineStr">
        <is>
          <t>Uso actual dominante del suelo</t>
        </is>
      </c>
      <c r="D37" s="7" t="inlineStr">
        <is>
          <t>Forestal de protección (sujeto a la clasificación oficial de CUM)</t>
        </is>
      </c>
      <c r="E37" s="8" t="n"/>
      <c r="F37" s="8" t="n"/>
    </row>
    <row r="38">
      <c r="A38" s="6" t="inlineStr">
        <is>
          <t>Tipo de cobertura dominante</t>
        </is>
      </c>
      <c r="B38" s="7" t="inlineStr">
        <is>
          <t>Bosque ralo (30-70%)</t>
        </is>
      </c>
      <c r="C38" s="6" t="inlineStr">
        <is>
          <t>Cobertura vegetal total — campo (%)</t>
        </is>
      </c>
      <c r="D38" s="7" t="inlineStr">
        <is>
          <t>40 - 60</t>
        </is>
      </c>
      <c r="E38" s="8" t="n"/>
      <c r="F38" s="8" t="n"/>
    </row>
    <row r="39">
      <c r="A39" s="6" t="inlineStr">
        <is>
          <t>Suelo desnudo — campo (%)</t>
        </is>
      </c>
      <c r="B39" s="7" t="inlineStr">
        <is>
          <t>Por verificar</t>
        </is>
      </c>
      <c r="C39" s="6" t="inlineStr">
        <is>
          <t>Regeneración natural</t>
        </is>
      </c>
      <c r="D39" s="7" t="inlineStr">
        <is>
          <t>Regular (10-50 pl./100m²) — por equivalencia cualitativa, NO cuantificada</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6</v>
      </c>
      <c r="C41" s="6" t="inlineStr">
        <is>
          <t>Estado sanitario</t>
        </is>
      </c>
      <c r="D41" s="7" t="inlineStr">
        <is>
          <t>Daño mecánico</t>
        </is>
      </c>
      <c r="E41" s="8" t="n"/>
      <c r="F41" s="8" t="n"/>
    </row>
    <row r="42"/>
    <row r="43" ht="18" customHeight="1">
      <c r="A43" s="5" t="inlineStr">
        <is>
          <t>5. RESPONSABLE Y MODALIDAD DE LA EVALUACIÓN</t>
        </is>
      </c>
    </row>
    <row r="44">
      <c r="A44" s="6" t="inlineStr">
        <is>
          <t>Responsable de la evaluación</t>
        </is>
      </c>
      <c r="B44" s="7" t="inlineStr">
        <is>
          <t>Por verificar</t>
        </is>
      </c>
      <c r="C44" s="6" t="inlineStr">
        <is>
          <t>Fecha de evaluación</t>
        </is>
      </c>
      <c r="D44" s="7" t="inlineStr">
        <is>
          <t>2026-07-02</t>
        </is>
      </c>
      <c r="E44" s="8" t="n"/>
      <c r="F44" s="8" t="n"/>
    </row>
    <row r="45">
      <c r="A45" s="6" t="inlineStr">
        <is>
          <t>Hora de registro</t>
        </is>
      </c>
      <c r="B45" s="7" t="inlineStr">
        <is>
          <t>16:02 - 16:21 h</t>
        </is>
      </c>
      <c r="C45" s="6" t="inlineStr">
        <is>
          <t>Correlativo de ficha</t>
        </is>
      </c>
      <c r="D45" s="7" t="inlineStr">
        <is>
          <t>Por verificar</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 (recorrido de reconocimiento)</t>
        </is>
      </c>
      <c r="E47" s="8" t="n"/>
      <c r="F47" s="8" t="n"/>
    </row>
    <row r="48">
      <c r="A48" s="6" t="inlineStr">
        <is>
          <t>Estaciones fotográficas georreferenciadas</t>
        </is>
      </c>
      <c r="B48" s="7" t="n">
        <v>12</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Ejecución de una obra vial sin medidas de manejo ambiental ni revegetación de taludes, sobre un ecosistema de bosque seco</t>
        </is>
      </c>
      <c r="C51" s="6" t="inlineStr">
        <is>
          <t>Velocidad de degradación</t>
        </is>
      </c>
      <c r="D51" s="7" t="inlineStr">
        <is>
          <t>Rápida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No (condición no evaluada)</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M17B1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0.0693</v>
      </c>
      <c r="C11" s="21">
        <f>ROUND(B11/$B$15*100,2)</f>
        <v/>
      </c>
      <c r="D11" s="13" t="inlineStr">
        <is>
          <t>Vigor moderado</t>
        </is>
      </c>
      <c r="E11" s="13" t="inlineStr">
        <is>
          <t>Sobre umbral</t>
        </is>
      </c>
    </row>
    <row r="12">
      <c r="A12" s="7" t="inlineStr">
        <is>
          <t>0.3813 - 0.4976 · DN 3</t>
        </is>
      </c>
      <c r="B12" s="18" t="n">
        <v>7.6468</v>
      </c>
      <c r="C12" s="19">
        <f>ROUND(B12/$B$15*100,2)</f>
        <v/>
      </c>
      <c r="D12" s="11" t="inlineStr">
        <is>
          <t>Vigor bajo</t>
        </is>
      </c>
      <c r="E12" s="11" t="inlineStr">
        <is>
          <t>BAJO umbral 0.4976</t>
        </is>
      </c>
    </row>
    <row r="13">
      <c r="A13" s="14" t="inlineStr">
        <is>
          <t>0.2650 - 0.3813 · DN 2</t>
        </is>
      </c>
      <c r="B13" s="32" t="n">
        <v>30.741</v>
      </c>
      <c r="C13" s="31">
        <f>ROUND(B13/$B$15*100,2)</f>
        <v/>
      </c>
      <c r="D13" s="15" t="inlineStr">
        <is>
          <t>Vigor muy bajo</t>
        </is>
      </c>
      <c r="E13" s="15" t="inlineStr">
        <is>
          <t>BAJO umbral 0.4976</t>
        </is>
      </c>
    </row>
    <row r="14">
      <c r="A14" s="7" t="inlineStr">
        <is>
          <t>&lt;= 0.2650 · DN 1</t>
        </is>
      </c>
      <c r="B14" s="18" t="n">
        <v>3.9915</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123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42.45</v>
      </c>
      <c r="C18" s="50" t="inlineStr">
        <is>
          <t>—</t>
        </is>
      </c>
      <c r="D18" s="47" t="inlineStr">
        <is>
          <t>Desviación planimétrica frente al catálogo</t>
        </is>
      </c>
      <c r="E18" s="47" t="inlineStr">
        <is>
          <t>+0.00 %</t>
        </is>
      </c>
    </row>
    <row r="19">
      <c r="A19" s="16" t="inlineStr">
        <is>
          <t>MSAVI 2024 — MEDIA DEL BLOQUE</t>
        </is>
      </c>
      <c r="B19" s="17" t="n">
        <v>0.332263</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123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(0.3323) se conserva del catálogo maestro y es dato oficial; la fila resaltada indica la clase en la que cae dicha media. Los totales y porcentajes se calculan con fórmulas sobre las filas del cuadro.</t>
        </is>
      </c>
      <c r="B21" s="42" t="n"/>
      <c r="C21" s="42" t="n"/>
      <c r="D21" s="42" t="n"/>
      <c r="E21" s="43"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mediana</t>
        </is>
      </c>
      <c r="B25" s="18" t="n">
        <v>6.1053</v>
      </c>
      <c r="C25" s="19" t="n">
        <v>14.38</v>
      </c>
      <c r="D25" s="11" t="inlineStr">
        <is>
          <t>Pastizal cultivado, matorral ralo, parcelas agrícolas</t>
        </is>
      </c>
      <c r="E25" s="11" t="inlineStr"/>
    </row>
    <row r="26">
      <c r="A26" s="12" t="inlineStr">
        <is>
          <t>Vegetación ligera</t>
        </is>
      </c>
      <c r="B26" s="20" t="n">
        <v>34.7541</v>
      </c>
      <c r="C26" s="21" t="n">
        <v>81.83</v>
      </c>
      <c r="D26" s="13" t="inlineStr">
        <is>
          <t>Cobertura discontinua, suelo parcialmente expuesto</t>
        </is>
      </c>
      <c r="E26" s="13" t="inlineStr"/>
    </row>
    <row r="27">
      <c r="A27" s="7" t="inlineStr">
        <is>
          <t>Tierra desnuda</t>
        </is>
      </c>
      <c r="B27" s="18" t="n">
        <v>1.6125</v>
      </c>
      <c r="C27" s="19" t="n">
        <v>3.8</v>
      </c>
      <c r="D27" s="11" t="inlineStr">
        <is>
          <t>Suelo desnudo, afloramientos, plataformas y taludes</t>
        </is>
      </c>
      <c r="E27" s="11" t="inlineStr"/>
    </row>
    <row r="28">
      <c r="A28" s="16" t="inlineStr">
        <is>
          <t>TOTAL CLASIFICADO</t>
        </is>
      </c>
      <c r="B28" s="22">
        <f>SUM(B25:B27)</f>
        <v/>
      </c>
      <c r="C28" s="23">
        <f>SUM(C25:C27)</f>
        <v/>
      </c>
      <c r="D28" s="17" t="inlineStr"/>
      <c r="E28" s="17" t="inlineStr"/>
    </row>
    <row r="29">
      <c r="A29" s="24" t="inlineStr">
        <is>
          <t>Superficie de catálogo (V5/V6)</t>
        </is>
      </c>
      <c r="B29" s="25" t="n">
        <v>42.45</v>
      </c>
      <c r="C29" s="25" t="inlineStr">
        <is>
          <t>—</t>
        </is>
      </c>
      <c r="D29" s="25" t="inlineStr">
        <is>
          <t>Desviación planimétrica frente al catálogo</t>
        </is>
      </c>
      <c r="E29" s="25" t="inlineStr">
        <is>
          <t>+0.05 %</t>
        </is>
      </c>
    </row>
    <row r="30"/>
    <row r="31" ht="72"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1" s="42" t="n"/>
      <c r="C31" s="42" t="n"/>
      <c r="D31" s="42" t="n"/>
      <c r="E31" s="43"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M17B1</t>
        </is>
      </c>
    </row>
    <row r="6" ht="24" customHeight="1">
      <c r="A6" s="4" t="inlineStr">
        <is>
          <t>Levantamiento del 2026-07-02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600020</v>
      </c>
      <c r="D10" s="26" t="n">
        <v>9440272</v>
      </c>
      <c r="E10" s="11" t="n">
        <v>645.2</v>
      </c>
      <c r="F10" s="11" t="inlineStr"/>
      <c r="G10" s="11" t="inlineStr">
        <is>
          <t>Coordenada consignada en F-DT-01</t>
        </is>
      </c>
    </row>
    <row r="11">
      <c r="A11" s="12" t="inlineStr">
        <is>
          <t>P-01</t>
        </is>
      </c>
      <c r="B11" s="13" t="inlineStr">
        <is>
          <t>Estación fotográfica</t>
        </is>
      </c>
      <c r="C11" s="27" t="n">
        <v>600020</v>
      </c>
      <c r="D11" s="27" t="n">
        <v>9440272</v>
      </c>
      <c r="E11" s="13" t="n">
        <v>645.2</v>
      </c>
      <c r="F11" s="13" t="inlineStr"/>
      <c r="G11" s="13" t="inlineStr">
        <is>
          <t>Registro fotográfico georreferenciado</t>
        </is>
      </c>
    </row>
    <row r="12">
      <c r="A12" s="7" t="inlineStr">
        <is>
          <t>P-caída de rocas</t>
        </is>
      </c>
      <c r="B12" s="11" t="inlineStr">
        <is>
          <t>Estación fotográfica</t>
        </is>
      </c>
      <c r="C12" s="26" t="n">
        <v>600587</v>
      </c>
      <c r="D12" s="26" t="n">
        <v>9440722</v>
      </c>
      <c r="E12" s="11" t="n">
        <v>291.6</v>
      </c>
      <c r="F12" s="11" t="inlineStr"/>
      <c r="G12" s="11" t="inlineStr">
        <is>
          <t>Registro fotográfico georreferenciado</t>
        </is>
      </c>
    </row>
    <row r="13">
      <c r="A13" s="12" t="inlineStr">
        <is>
          <t>P-surcos</t>
        </is>
      </c>
      <c r="B13" s="13" t="inlineStr">
        <is>
          <t>Estación fotográfica</t>
        </is>
      </c>
      <c r="C13" s="27" t="n">
        <v>600547</v>
      </c>
      <c r="D13" s="27" t="n">
        <v>9440698</v>
      </c>
      <c r="E13" s="13" t="n">
        <v>279.4</v>
      </c>
      <c r="F13" s="13" t="inlineStr"/>
      <c r="G13" s="13" t="inlineStr">
        <is>
          <t>Registro fotográfico georreferenciado</t>
        </is>
      </c>
    </row>
    <row r="14">
      <c r="A14" s="7" t="inlineStr">
        <is>
          <t>P-laminar</t>
        </is>
      </c>
      <c r="B14" s="11" t="inlineStr">
        <is>
          <t>Estación fotográfica</t>
        </is>
      </c>
      <c r="C14" s="26" t="n">
        <v>600601</v>
      </c>
      <c r="D14" s="26" t="n">
        <v>9440729</v>
      </c>
      <c r="E14" s="11" t="n">
        <v>296.1</v>
      </c>
      <c r="F14" s="11" t="inlineStr"/>
      <c r="G14" s="11" t="inlineStr">
        <is>
          <t>Registro fotográfico georreferenciado</t>
        </is>
      </c>
    </row>
    <row r="15">
      <c r="A15" s="12" t="inlineStr">
        <is>
          <t>P-final</t>
        </is>
      </c>
      <c r="B15" s="13" t="inlineStr">
        <is>
          <t>Estación fotográfica</t>
        </is>
      </c>
      <c r="C15" s="27" t="n">
        <v>601042</v>
      </c>
      <c r="D15" s="27" t="n">
        <v>9440961</v>
      </c>
      <c r="E15" s="13" t="n">
        <v>658.8</v>
      </c>
      <c r="F15" s="13" t="inlineStr"/>
      <c r="G15" s="13" t="inlineStr">
        <is>
          <t>Registro fotográfico georreferenciado</t>
        </is>
      </c>
    </row>
    <row r="16">
      <c r="A16" s="7" t="inlineStr">
        <is>
          <t>H-01</t>
        </is>
      </c>
      <c r="B16" s="11" t="inlineStr">
        <is>
          <t>Fuente de agua — Río</t>
        </is>
      </c>
      <c r="C16" s="26" t="inlineStr">
        <is>
          <t>Por verificar</t>
        </is>
      </c>
      <c r="D16" s="26" t="inlineStr">
        <is>
          <t>Por verificar</t>
        </is>
      </c>
      <c r="E16" s="11" t="inlineStr"/>
      <c r="F16" s="11" t="inlineStr">
        <is>
          <t>Permanente</t>
        </is>
      </c>
      <c r="G16" s="11" t="inlineStr">
        <is>
          <t>Río Piura. Cauce ancho</t>
        </is>
      </c>
    </row>
    <row r="17">
      <c r="A17" s="12" t="inlineStr">
        <is>
          <t>H-02</t>
        </is>
      </c>
      <c r="B17" s="13" t="inlineStr">
        <is>
          <t>Fuente de agua — Quebrada estacional</t>
        </is>
      </c>
      <c r="C17" s="27" t="inlineStr">
        <is>
          <t>Por verificar</t>
        </is>
      </c>
      <c r="D17" s="27" t="inlineStr">
        <is>
          <t>Por verificar</t>
        </is>
      </c>
      <c r="E17" s="13" t="inlineStr"/>
      <c r="F17" s="13" t="inlineStr">
        <is>
          <t>Efímero</t>
        </is>
      </c>
      <c r="G17" s="13" t="inlineStr">
        <is>
          <t>Cauces efímeros de bajo orden</t>
        </is>
      </c>
    </row>
    <row r="18">
      <c r="A18" s="16" t="inlineStr">
        <is>
          <t>TOTAL: 8 puntos</t>
        </is>
      </c>
      <c r="B18" s="17" t="inlineStr"/>
      <c r="C18" s="17" t="inlineStr"/>
      <c r="D18" s="17" t="inlineStr"/>
      <c r="E18" s="17" t="inlineStr"/>
      <c r="F18" s="17" t="inlineStr"/>
      <c r="G18" s="17" t="inlineStr"/>
    </row>
    <row r="20">
      <c r="A20" s="6" t="inlineStr">
        <is>
          <t>Centroide del bloque — UTM ESTE (m)</t>
        </is>
      </c>
      <c r="B20" s="7" t="n">
        <v>600644</v>
      </c>
      <c r="C20" s="6" t="inlineStr">
        <is>
          <t>Centroide del bloque — UTM NORTE (m)</t>
        </is>
      </c>
      <c r="D20" s="7" t="n">
        <v>9440436</v>
      </c>
      <c r="E20" s="8" t="n"/>
      <c r="F20" s="8" t="n"/>
      <c r="G20" s="8" t="n"/>
      <c r="H20" s="8" t="n"/>
    </row>
    <row r="21">
      <c r="A21" s="6" t="inlineStr">
        <is>
          <t>N.° de estaciones fotográficas declaradas</t>
        </is>
      </c>
      <c r="B21" s="7" t="n">
        <v>12</v>
      </c>
      <c r="C21" s="6" t="inlineStr">
        <is>
          <t>Estaciones dentro del polígono</t>
        </is>
      </c>
      <c r="D21" s="7" t="inlineStr">
        <is>
          <t>Por determinar (faja vial)</t>
        </is>
      </c>
      <c r="E21" s="8" t="n"/>
      <c r="F21" s="8" t="n"/>
      <c r="G21" s="8" t="n"/>
      <c r="H21" s="8" t="n"/>
    </row>
    <row r="23" ht="180" customHeight="1">
      <c r="A23"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ALCANCE DEL LEVANTAMIENTO: verificación del 02/07/2026. SE RECORRIÓ LA FAJA DE LA TROCHA CARROZABLE (APROX. 25% DEL BLOQUE); EL INTERIOR NO FUE RECORRIDO A PIE. 12 puntos GPS y 12 registros fotográficos (Garmin 66sr). Rango de los puntos: 600 020-601 042 E · 9 440 272-9 440 961 N. FISIOGRAFÍA: perfil sobre transecto de 622 m: desnivel +91.2 / −17.1 m; pendiente media 14.6% y máxima 34.5%; altitudes 184-259 msnm. VALORES VÁLIDOS PARA EL SECTOR BAJO; EL SECTOR ALTO NO FUE TRANSECTADO. INDICIOS DE REMOCIÓN EN MASA: LOS AFLORAMIENTOS Y ESCARPES REGISTRADOS SON DE ORIGEN ANTRÓPICO (cortes de talud de 2-3 m, localmente &gt;3 m, en material coluvial suelto con bolonería embebida). SE REGISTRÓ CAÍDA DE ROCAS ACTIVA: bolonería desprendida acumulada sobre la plataforma vial (600 587 · 9 440 722). DISCREPANCIA A RESOLVER: el catálogo maestro asigna 42.45 ha y centroide 600 644 · 9 440 436; LA FICHA DE CAMPO PREVIA CONSIGNABA 30.348 ha. Prevalece el valor del catálogo. PENDIENTE: brigada/responsable, N.° de ficha, altitud GPS del punto de muestreo, comunidad campesina y tenencia predial.</t>
        </is>
      </c>
      <c r="B23" s="42" t="n"/>
      <c r="C23" s="42" t="n"/>
      <c r="D23" s="42" t="n"/>
      <c r="E23" s="42" t="n"/>
      <c r="F23" s="42" t="n"/>
      <c r="G23" s="43" t="n"/>
    </row>
  </sheetData>
  <mergeCells count="8">
    <mergeCell ref="A1:G1"/>
    <mergeCell ref="A8:G8"/>
    <mergeCell ref="A3:G3"/>
    <mergeCell ref="A6:G6"/>
    <mergeCell ref="A4:G4"/>
    <mergeCell ref="A2:G2"/>
    <mergeCell ref="A5:G5"/>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C1096-Q9556 — BLOQUE M17B1</t>
        </is>
      </c>
    </row>
    <row r="6" ht="24" customHeight="1">
      <c r="A6" s="4" t="inlineStr">
        <is>
          <t>Distrito de Chulucanas · Provincia de Morropon · Comparación de los bloques preliminares de intervención de la misma microcuenca</t>
        </is>
      </c>
    </row>
    <row r="7"/>
    <row r="8" ht="18" customHeight="1">
      <c r="A8" s="5" t="inlineStr">
        <is>
          <t>BLOQUES DE LA MICROCUENCA C1096-Q9556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M17B7</t>
        </is>
      </c>
      <c r="B10" s="28" t="n">
        <v>258.84</v>
      </c>
      <c r="C10" s="19" t="n">
        <v>29.57</v>
      </c>
      <c r="D10" s="11" t="inlineStr">
        <is>
          <t>553 – 1517</t>
        </is>
      </c>
      <c r="E10" s="11" t="n">
        <v>964</v>
      </c>
      <c r="F10" s="11" t="n">
        <v>29.82</v>
      </c>
      <c r="G10" s="18" t="n">
        <v>0.5087</v>
      </c>
      <c r="H10" s="19" t="n">
        <v>58.63</v>
      </c>
      <c r="I10" s="19" t="n">
        <v>48.4</v>
      </c>
    </row>
    <row r="11">
      <c r="A11" s="12" t="inlineStr">
        <is>
          <t>M17B4</t>
        </is>
      </c>
      <c r="B11" s="29" t="n">
        <v>124.71</v>
      </c>
      <c r="C11" s="21" t="n">
        <v>14.25</v>
      </c>
      <c r="D11" s="13" t="inlineStr">
        <is>
          <t>294 – 629</t>
        </is>
      </c>
      <c r="E11" s="13" t="n">
        <v>335</v>
      </c>
      <c r="F11" s="13" t="n">
        <v>18.69</v>
      </c>
      <c r="G11" s="20" t="n">
        <v>0.4235</v>
      </c>
      <c r="H11" s="21" t="n">
        <v>3.97</v>
      </c>
      <c r="I11" s="21" t="n">
        <v>91.94</v>
      </c>
    </row>
    <row r="12">
      <c r="A12" s="7" t="inlineStr">
        <is>
          <t>M17B6</t>
        </is>
      </c>
      <c r="B12" s="28" t="n">
        <v>106.54</v>
      </c>
      <c r="C12" s="19" t="n">
        <v>12.17</v>
      </c>
      <c r="D12" s="11" t="inlineStr">
        <is>
          <t>403 – 1049</t>
        </is>
      </c>
      <c r="E12" s="11" t="n">
        <v>646</v>
      </c>
      <c r="F12" s="11" t="n">
        <v>23.42</v>
      </c>
      <c r="G12" s="18" t="n">
        <v>0.4464</v>
      </c>
      <c r="H12" s="19" t="n">
        <v>18.53</v>
      </c>
      <c r="I12" s="19" t="n">
        <v>81.81999999999999</v>
      </c>
    </row>
    <row r="13">
      <c r="A13" s="12" t="inlineStr">
        <is>
          <t>22</t>
        </is>
      </c>
      <c r="B13" s="29" t="n">
        <v>79.33</v>
      </c>
      <c r="C13" s="21" t="n">
        <v>9.06</v>
      </c>
      <c r="D13" s="13" t="inlineStr">
        <is>
          <t>235 – 596</t>
        </is>
      </c>
      <c r="E13" s="13" t="n">
        <v>361</v>
      </c>
      <c r="F13" s="13" t="n">
        <v>22.51</v>
      </c>
      <c r="G13" s="20" t="n">
        <v>0.4232</v>
      </c>
      <c r="H13" s="21" t="n">
        <v>0.32</v>
      </c>
      <c r="I13" s="21" t="n">
        <v>93.29000000000001</v>
      </c>
    </row>
    <row r="14">
      <c r="A14" s="7" t="inlineStr">
        <is>
          <t>27</t>
        </is>
      </c>
      <c r="B14" s="28" t="n">
        <v>78.15000000000001</v>
      </c>
      <c r="C14" s="19" t="n">
        <v>8.93</v>
      </c>
      <c r="D14" s="11" t="inlineStr">
        <is>
          <t>1518 – 1895</t>
        </is>
      </c>
      <c r="E14" s="11" t="n">
        <v>377</v>
      </c>
      <c r="F14" s="11" t="n">
        <v>30.25</v>
      </c>
      <c r="G14" s="18" t="n">
        <v>0.5323</v>
      </c>
      <c r="H14" s="19" t="n">
        <v>64.75</v>
      </c>
      <c r="I14" s="19" t="n">
        <v>37.5</v>
      </c>
    </row>
    <row r="15">
      <c r="A15" s="12" t="inlineStr">
        <is>
          <t>M17B10</t>
        </is>
      </c>
      <c r="B15" s="29" t="n">
        <v>75.36</v>
      </c>
      <c r="C15" s="21" t="n">
        <v>8.609999999999999</v>
      </c>
      <c r="D15" s="13" t="inlineStr">
        <is>
          <t>466 – 902</t>
        </is>
      </c>
      <c r="E15" s="13" t="n">
        <v>436</v>
      </c>
      <c r="F15" s="13" t="n">
        <v>25.94</v>
      </c>
      <c r="G15" s="20" t="n">
        <v>0.4725</v>
      </c>
      <c r="H15" s="21" t="n">
        <v>29.2</v>
      </c>
      <c r="I15" s="21" t="n">
        <v>73.33</v>
      </c>
    </row>
    <row r="16">
      <c r="A16" s="7" t="inlineStr">
        <is>
          <t>M17B5</t>
        </is>
      </c>
      <c r="B16" s="28" t="n">
        <v>74.03</v>
      </c>
      <c r="C16" s="19" t="n">
        <v>8.460000000000001</v>
      </c>
      <c r="D16" s="11" t="inlineStr">
        <is>
          <t>794 – 1317</t>
        </is>
      </c>
      <c r="E16" s="11" t="n">
        <v>523</v>
      </c>
      <c r="F16" s="11" t="n">
        <v>27.42</v>
      </c>
      <c r="G16" s="18" t="n">
        <v>0.5482</v>
      </c>
      <c r="H16" s="19" t="n">
        <v>61.34</v>
      </c>
      <c r="I16" s="19" t="n">
        <v>28.94</v>
      </c>
    </row>
    <row r="17">
      <c r="A17" s="14" t="inlineStr">
        <is>
          <t>► M17B1</t>
        </is>
      </c>
      <c r="B17" s="30" t="n">
        <v>42.45</v>
      </c>
      <c r="C17" s="31" t="n">
        <v>4.85</v>
      </c>
      <c r="D17" s="15" t="inlineStr">
        <is>
          <t>177 – 313</t>
        </is>
      </c>
      <c r="E17" s="15" t="n">
        <v>136</v>
      </c>
      <c r="F17" s="15" t="n">
        <v>14.73</v>
      </c>
      <c r="G17" s="32" t="n">
        <v>0.3323</v>
      </c>
      <c r="H17" s="31" t="n">
        <v>0</v>
      </c>
      <c r="I17" s="31" t="n">
        <v>99.84</v>
      </c>
    </row>
    <row r="18">
      <c r="A18" s="7" t="inlineStr">
        <is>
          <t>32</t>
        </is>
      </c>
      <c r="B18" s="28" t="n">
        <v>35.83</v>
      </c>
      <c r="C18" s="19" t="n">
        <v>4.09</v>
      </c>
      <c r="D18" s="11" t="inlineStr">
        <is>
          <t>197 – 269</t>
        </is>
      </c>
      <c r="E18" s="11" t="n">
        <v>72</v>
      </c>
      <c r="F18" s="11" t="n">
        <v>12.87</v>
      </c>
      <c r="G18" s="18" t="n">
        <v>0.3716</v>
      </c>
      <c r="H18" s="19" t="inlineStr">
        <is>
          <t>Por determinar</t>
        </is>
      </c>
      <c r="I18" s="11" t="inlineStr">
        <is>
          <t>s/d</t>
        </is>
      </c>
    </row>
    <row r="19">
      <c r="A19" s="16" t="inlineStr">
        <is>
          <t>TOTAL / PROMEDIO</t>
        </is>
      </c>
      <c r="B19" s="33">
        <f>SUM(B10:B18)</f>
        <v/>
      </c>
      <c r="C19" s="23">
        <f>SUM(C10:C18)</f>
        <v/>
      </c>
      <c r="D19" s="17" t="inlineStr">
        <is>
          <t>177 – 1895</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el promedio de VEGETACIÓN ALTA (NDVI 2025) se calcula sobre 8 de los 9 bloques; el bloque restante carece de estadística zonal de NDVI. Los totales de ÁREA y % de microcuenca sí comprenden la totalidad de los 9 bloques. No se estima ningún valor ausente.</t>
        </is>
      </c>
      <c r="B20" s="42" t="n"/>
      <c r="C20" s="42" t="n"/>
      <c r="D20" s="42" t="n"/>
      <c r="E20" s="42" t="n"/>
      <c r="F20" s="42" t="n"/>
      <c r="G20" s="42" t="n"/>
      <c r="H20" s="43" t="n"/>
    </row>
    <row r="21"/>
    <row r="22" ht="84" customHeight="1">
      <c r="A22" s="9" t="inlineStr">
        <is>
          <t>LECTURA INTRAMICROCUENCA. El bloque M17B1 ocupa el puesto 8 de 9 por superficie dentro de la microcuenca C1096-Q9556 (4.85 % de las 875.24 ha preliminares de la microcuenca). Su pendiente promedio (14.73 %, clase «8-15% (Mod. inclinado)») es la 2.ª más baja de 9 y se sitúa por debajo del promedio de la microcuenca (22.85 %). Su MSAVI 2024 (0.3323) es el 9.º de 9 y queda por debajo del promedio local (0.4510). Amplitud altitudinal del bloque: 136 m (177–313 msnm). El cuadro conserva todos los bloques catalogados en la microcuenca, incluidos los descartados en el tamizaje, para referencia del conjunto. Los bloques sin ficha DT figuran con sus parámetros de gabinete. BRECHA ESPECTRAL. El 99.84 % de la superficie del bloque (42.379 ha de 42.449 ha) se sitúa bajo el umbral MSAVI 0.4976, por encima del promedio local de la microcuenca (69.38 %) calculado sobre los bloques con dato MSAVI disponible.</t>
        </is>
      </c>
      <c r="B22" s="42" t="n"/>
      <c r="C22" s="42" t="n"/>
      <c r="D22" s="42" t="n"/>
      <c r="E22" s="42" t="n"/>
      <c r="F22" s="42" t="n"/>
      <c r="G22" s="42" t="n"/>
      <c r="H22" s="43"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2" t="n"/>
      <c r="C24" s="42" t="n"/>
      <c r="D24" s="42" t="n"/>
      <c r="E24" s="42" t="n"/>
      <c r="F24" s="42" t="n"/>
      <c r="G24" s="42" t="n"/>
      <c r="H24" s="43" t="n"/>
    </row>
  </sheetData>
  <mergeCells count="10">
    <mergeCell ref="A1:I1"/>
    <mergeCell ref="A4:I4"/>
    <mergeCell ref="A3:I3"/>
    <mergeCell ref="A20:I20"/>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M17B1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«C1096-Q9556»</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645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(42.472 ha) coincide con la de catálogo (42.45 ha) dentro del ±2 % (+0.05 %)</t>
        </is>
      </c>
      <c r="D12" s="35" t="inlineStr">
        <is>
          <t>CONFORME</t>
        </is>
      </c>
      <c r="E12" s="34" t="inlineStr">
        <is>
          <t>Sin acción: la segmentación valida la geometría del bloque.</t>
        </is>
      </c>
    </row>
    <row r="13" ht="48" customHeight="1">
      <c r="A13" s="36" t="inlineStr">
        <is>
          <t>D-04</t>
        </is>
      </c>
      <c r="B13" s="36" t="inlineStr">
        <is>
          <t>Elenco florístico</t>
        </is>
      </c>
      <c r="C13" s="36" t="inlineStr">
        <is>
          <t>La ficha registra 6 taxones, por debajo del mínimo de 15 que exige el formato V5</t>
        </is>
      </c>
      <c r="D13" s="37" t="inlineStr">
        <is>
          <t>SUSTANTIVA</t>
        </is>
      </c>
      <c r="E13" s="36" t="inlineStr">
        <is>
          <t>Registro florístico preliminar, sin colecta ni determinación botánica formal. Debe cerrarse con colecta botánica en la siguiente campaña.</t>
        </is>
      </c>
    </row>
    <row r="14" ht="48" customHeight="1">
      <c r="A14" s="34" t="inlineStr">
        <is>
          <t>D-05</t>
        </is>
      </c>
      <c r="B14" s="34" t="inlineStr">
        <is>
          <t>Centro poblado asociado</t>
        </is>
      </c>
      <c r="C14" s="34" t="inlineStr">
        <is>
          <t>La ficha DT declara «C.P. Papelillo»; el cruce INEI-Bloques V5 identifica 1 centro(s) poblado(s) en el bloque: PAPELILLO</t>
        </is>
      </c>
      <c r="D14" s="35" t="inlineStr">
        <is>
          <t>CONFORME</t>
        </is>
      </c>
      <c r="E14" s="34" t="inlineStr">
        <is>
          <t>Se conserva el registro de campo como referencia y se adopta el listado INEI para el diagnóstico social y el cálculo de población beneficiaria.</t>
        </is>
      </c>
    </row>
    <row r="15" ht="48" customHeight="1">
      <c r="A15" s="36" t="inlineStr">
        <is>
          <t>D-06</t>
        </is>
      </c>
      <c r="B15" s="36" t="inlineStr">
        <is>
          <t>Peligro integrado (MCA-AHP)</t>
        </is>
      </c>
      <c r="C15" s="36" t="inlineStr">
        <is>
          <t>El nivel de peligro integrado no está disponible en los insumos de este entregable</t>
        </is>
      </c>
      <c r="D15" s="37" t="inlineStr">
        <is>
          <t>SUSTANTIVA</t>
        </is>
      </c>
      <c r="E15" s="36" t="inlineStr">
        <is>
          <t>Debe tomarse del modelamiento de mesolocalización (PMM + EPH + PGI ponderados por AHP) antes de fijar la prioridad definitiva de intervención del bloque.</t>
        </is>
      </c>
    </row>
    <row r="16" ht="48" customHeight="1">
      <c r="A16" s="34" t="inlineStr">
        <is>
          <t>D-07</t>
        </is>
      </c>
      <c r="B16" s="34" t="inlineStr">
        <is>
          <t>Plan de Ingreso</t>
        </is>
      </c>
      <c r="C16" s="34" t="inlineStr">
        <is>
          <t>Altitud = 0 msnm (captura por defecto del aplicativo)</t>
        </is>
      </c>
      <c r="D16" s="38" t="inlineStr">
        <is>
          <t>CORREGIDO</t>
        </is>
      </c>
      <c r="E16" s="34" t="inlineStr">
        <is>
          <t>Se reemplaza por el rango del transecto 184-259 msnm</t>
        </is>
      </c>
    </row>
    <row r="17" ht="48" customHeight="1">
      <c r="A17" s="36" t="inlineStr">
        <is>
          <t>D-08</t>
        </is>
      </c>
      <c r="B17" s="36" t="inlineStr">
        <is>
          <t>F-DT-01</t>
        </is>
      </c>
      <c r="C17" s="36" t="inlineStr">
        <is>
          <t>DISCREPANCIA DE ÁREA: catálogo maestro 42.45 ha frente a 30.348 ha de la ficha de campo previa</t>
        </is>
      </c>
      <c r="D17" s="37" t="inlineStr">
        <is>
          <t>SUSTANTIVA</t>
        </is>
      </c>
      <c r="E17" s="36" t="inlineStr">
        <is>
          <t>Prevalece el catálogo; verificar el origen del dato de 30.348 ha antes de consolidar el entregable</t>
        </is>
      </c>
    </row>
    <row r="18" ht="48" customHeight="1">
      <c r="A18" s="34" t="inlineStr">
        <is>
          <t>D-09</t>
        </is>
      </c>
      <c r="B18" s="34" t="inlineStr">
        <is>
          <t>F-DT-01</t>
        </is>
      </c>
      <c r="C18" s="34" t="inlineStr">
        <is>
          <t>Completitud del levantamiento ≈25% (faja de la trocha); el interior no fue recorrido a pie</t>
        </is>
      </c>
      <c r="D18" s="37" t="inlineStr">
        <is>
          <t>SUSTANTIVA</t>
        </is>
      </c>
      <c r="E18" s="34" t="inlineStr">
        <is>
          <t>Segunda salida de campo requerida</t>
        </is>
      </c>
    </row>
    <row r="19" ht="48" customHeight="1">
      <c r="A19" s="36" t="inlineStr">
        <is>
          <t>D-10</t>
        </is>
      </c>
      <c r="B19" s="36" t="inlineStr">
        <is>
          <t>F-DT-01</t>
        </is>
      </c>
      <c r="C19" s="36" t="inlineStr">
        <is>
          <t>Brigada/responsable, N.° de ficha, altitud GPS del punto de muestreo, comunidad campesina y tenencia predial sin consignar</t>
        </is>
      </c>
      <c r="D19" s="37" t="inlineStr">
        <is>
          <t>SUSTANTIVA</t>
        </is>
      </c>
      <c r="E19" s="36" t="inlineStr">
        <is>
          <t>Por completar</t>
        </is>
      </c>
    </row>
    <row r="20" ht="48" customHeight="1">
      <c r="A20" s="34" t="inlineStr">
        <is>
          <t>D-11</t>
        </is>
      </c>
      <c r="B20" s="34" t="inlineStr">
        <is>
          <t>F-DT-02</t>
        </is>
      </c>
      <c r="C20" s="34" t="inlineStr">
        <is>
          <t>Sellamiento/costra y raíces expuestas no evaluados; inventario de cárcavas deliberadamente en blanco</t>
        </is>
      </c>
      <c r="D20" s="15" t="inlineStr">
        <is>
          <t>NO SUSTANTIVA</t>
        </is>
      </c>
      <c r="E20" s="34" t="inlineStr">
        <is>
          <t>Declarado en la propia ficha</t>
        </is>
      </c>
    </row>
    <row r="21" ht="48" customHeight="1">
      <c r="A21" s="36" t="inlineStr">
        <is>
          <t>D-12</t>
        </is>
      </c>
      <c r="B21" s="36" t="inlineStr">
        <is>
          <t>F-DT-03</t>
        </is>
      </c>
      <c r="C21" s="36" t="inlineStr">
        <is>
          <t>Listado florístico preliminar (6 taxones) con nombres científicos asignados por correspondencia con el nombre común</t>
        </is>
      </c>
      <c r="D21" s="37" t="inlineStr">
        <is>
          <t>SUSTANTIVA</t>
        </is>
      </c>
      <c r="E21" s="36" t="inlineStr">
        <is>
          <t>Requiere colecta botánica</t>
        </is>
      </c>
    </row>
    <row r="22" ht="48" customHeight="1">
      <c r="A22" s="34" t="inlineStr">
        <is>
          <t>D-13</t>
        </is>
      </c>
      <c r="B22" s="34" t="inlineStr">
        <is>
          <t>F-DT-03</t>
        </is>
      </c>
      <c r="C22" s="34" t="inlineStr">
        <is>
          <t>Coberturas por estrato, altura máxima, DAP y superficie de ecosistema sin medir</t>
        </is>
      </c>
      <c r="D22" s="37" t="inlineStr">
        <is>
          <t>SUSTANTIVA</t>
        </is>
      </c>
      <c r="E22" s="34" t="inlineStr">
        <is>
          <t>Por verificar</t>
        </is>
      </c>
    </row>
    <row r="23" ht="48" customHeight="1">
      <c r="A23" s="36" t="inlineStr">
        <is>
          <t>D-14</t>
        </is>
      </c>
      <c r="B23" s="36" t="inlineStr">
        <is>
          <t>F-DT-04</t>
        </is>
      </c>
      <c r="C23" s="36" t="inlineStr">
        <is>
          <t>6 de los 8 indicadores cuantitativos por verificar; celdas de presencia en blanco no equivalen a ausencia</t>
        </is>
      </c>
      <c r="D23" s="37" t="inlineStr">
        <is>
          <t>SUSTANTIVA</t>
        </is>
      </c>
      <c r="E23" s="36" t="inlineStr">
        <is>
          <t>Cuantificación pendiente</t>
        </is>
      </c>
    </row>
    <row r="24" ht="48" customHeight="1">
      <c r="A24" s="34" t="inlineStr">
        <is>
          <t>D-15</t>
        </is>
      </c>
      <c r="B24" s="34" t="inlineStr">
        <is>
          <t>F-DT-05</t>
        </is>
      </c>
      <c r="C24" s="34" t="inlineStr">
        <is>
          <t>HALLAZGO CRÍTICO: obra vial en ejecución DENTRO del polígono (progresiva 1+020)</t>
        </is>
      </c>
      <c r="D24" s="37" t="inlineStr">
        <is>
          <t>SUSTANTIVA</t>
        </is>
      </c>
      <c r="E24" s="34" t="inlineStr">
        <is>
          <t>Verificar superposición con el derecho de vía, titularidad y compatibilidad ANTES de consolidar el bloque</t>
        </is>
      </c>
    </row>
    <row r="25" ht="48" customHeight="1">
      <c r="A25" s="34" t="inlineStr">
        <is>
          <t>D-16</t>
        </is>
      </c>
      <c r="B25" s="34" t="inlineStr">
        <is>
          <t>Distribución areal MSAVI 2024</t>
        </is>
      </c>
      <c r="C25" s="34" t="inlineStr">
        <is>
          <t>La distribución por clase de MSAVI no figuraba en los insumos del entregable y se consignaba «Por determinar»; se incorpora la estadística zonal del ráster MSAVI clasificado (123 polígonos, 42.449 ha)</t>
        </is>
      </c>
      <c r="D25" s="37" t="inlineStr">
        <is>
          <t>CORREGIDO</t>
        </is>
      </c>
      <c r="E25"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6" ht="48" customHeight="1">
      <c r="A26" s="34" t="inlineStr">
        <is>
          <t>D-17</t>
        </is>
      </c>
      <c r="B26" s="34" t="inlineStr">
        <is>
          <t>Superficie MSAVI vs. catálogo</t>
        </is>
      </c>
      <c r="C26" s="34" t="inlineStr">
        <is>
          <t>La superficie total clasificada por el MSAVI 2024 (42.449 ha) frente a la de catálogo V5/V6 (42.450 ha): desviación de +0.00 %</t>
        </is>
      </c>
      <c r="D26" s="37" t="inlineStr">
        <is>
          <t>CONFORME</t>
        </is>
      </c>
      <c r="E26" s="34" t="inlineStr">
        <is>
          <t>Sin acción: la segmentación del ráster valida la geometría del bloque dentro del ±2 %.</t>
        </is>
      </c>
    </row>
    <row r="27" ht="48" customHeight="1">
      <c r="A27" s="34" t="inlineStr">
        <is>
          <t>D-18</t>
        </is>
      </c>
      <c r="B27" s="34" t="inlineStr">
        <is>
          <t>Media MSAVI vs. clase DN dominante</t>
        </is>
      </c>
      <c r="C27" s="34" t="inlineStr">
        <is>
          <t>La media del bloque (0.3323) cae en la clase «DN 2 · 0.2650 - 0.3813 (Vigor muy bajo)»; la clase de mayor superficie es «DN 2 · 0.2650 - 0.3813 (Vigor muy bajo)», con 72.42 % del bloque. Superficie bajo el umbral 0.4976: 42.379 ha (99.84 %)</t>
        </is>
      </c>
      <c r="D27" s="37" t="inlineStr">
        <is>
          <t>CONFORME</t>
        </is>
      </c>
      <c r="E27" s="34" t="inlineStr">
        <is>
          <t>Sin acción: la media del bloque y la clase de mayor superficie coinciden.</t>
        </is>
      </c>
    </row>
    <row r="28"/>
    <row r="29">
      <c r="A29" s="16" t="inlineStr">
        <is>
          <t>RESUMEN</t>
        </is>
      </c>
      <c r="B29" s="17" t="inlineStr">
        <is>
          <t>18 verificaciones</t>
        </is>
      </c>
      <c r="C29" s="17" t="inlineStr">
        <is>
          <t>CONFORME: 6 · CORREGIDO: 2 · NO SUSTANTIVA: 1 · SUSTANTIVA: 9</t>
        </is>
      </c>
      <c r="D29" s="17" t="inlineStr"/>
      <c r="E29" s="17" t="inlineStr"/>
    </row>
    <row r="30"/>
    <row r="31" ht="60" customHeight="1">
      <c r="A3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1" s="42" t="n"/>
      <c r="C31" s="42" t="n"/>
      <c r="D31" s="42" t="n"/>
      <c r="E31" s="43" t="n"/>
    </row>
  </sheetData>
  <mergeCells count="8">
    <mergeCell ref="A4:E4"/>
    <mergeCell ref="A2:E2"/>
    <mergeCell ref="A8:E8"/>
    <mergeCell ref="A5:E5"/>
    <mergeCell ref="A1:E1"/>
    <mergeCell ref="A31:E31"/>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M17B1 — IN Piura</dc:title>
  <dc:subject>Diagnóstico Territorial por bloque de intervención</dc:subject>
  <dcterms:created xsi:type="dcterms:W3CDTF">2026-09-08T03:39:53Z</dcterms:created>
  <dcterms:modified xsi:type="dcterms:W3CDTF">2026-09-09T23:30:54Z</dcterms:modified>
</cp:coreProperties>
</file>