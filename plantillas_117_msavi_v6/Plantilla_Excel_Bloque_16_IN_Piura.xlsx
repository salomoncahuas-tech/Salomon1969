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16</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Laguna de Paltama</t>
        </is>
      </c>
      <c r="C13" s="6" t="inlineStr">
        <is>
          <t>Comunidad campesina</t>
        </is>
      </c>
      <c r="D13" s="7" t="inlineStr">
        <is>
          <t>Por determinar</t>
        </is>
      </c>
      <c r="E13" s="8" t="n"/>
      <c r="F13" s="8" t="n"/>
    </row>
    <row r="14">
      <c r="A14" s="6" t="inlineStr">
        <is>
          <t>Superficie de catálogo (V5/V6), ha</t>
        </is>
      </c>
      <c r="B14" s="7" t="n">
        <v>83.33</v>
      </c>
      <c r="C14" s="6" t="inlineStr">
        <is>
          <t>Fuente de superficie</t>
        </is>
      </c>
      <c r="D14" s="7" t="inlineStr">
        <is>
          <t>Catálogo maestro Bloques V5/V6</t>
        </is>
      </c>
      <c r="E14" s="8" t="n"/>
      <c r="F14" s="8" t="n"/>
    </row>
    <row r="15">
      <c r="A15" s="6" t="inlineStr">
        <is>
          <t>Centroide UTM ESTE (m)</t>
        </is>
      </c>
      <c r="B15" s="7" t="n">
        <v>652939</v>
      </c>
      <c r="C15" s="6" t="inlineStr">
        <is>
          <t>Centroide UTM NORTE (m)</t>
        </is>
      </c>
      <c r="D15" s="7" t="n">
        <v>9382105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1349</v>
      </c>
      <c r="C19" s="6" t="inlineStr">
        <is>
          <t>Altitud máxima (msnm)</t>
        </is>
      </c>
      <c r="D19" s="7" t="n">
        <v>1746</v>
      </c>
      <c r="E19" s="8" t="n"/>
      <c r="F19" s="8" t="n"/>
    </row>
    <row r="20">
      <c r="A20" s="6" t="inlineStr">
        <is>
          <t>Amplitud altitudinal (m)</t>
        </is>
      </c>
      <c r="B20" s="7" t="n">
        <v>397</v>
      </c>
      <c r="C20" s="6" t="inlineStr">
        <is>
          <t>Piso altitudinal dominante</t>
        </is>
      </c>
      <c r="D20" s="7" t="inlineStr">
        <is>
          <t>1500-2000 m (Quechua media)</t>
        </is>
      </c>
      <c r="E20" s="8" t="n"/>
      <c r="F20" s="8" t="n"/>
    </row>
    <row r="21">
      <c r="A21" s="6" t="inlineStr">
        <is>
          <t>Pendiente promedio (%)</t>
        </is>
      </c>
      <c r="B21" s="7" t="n">
        <v>22.34</v>
      </c>
      <c r="C21" s="6" t="inlineStr">
        <is>
          <t>Pendiente promedio (grados)</t>
        </is>
      </c>
      <c r="D21" s="7" t="n">
        <v>12.6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0.6284</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(94.13 %)</t>
        </is>
      </c>
      <c r="E29" s="8" t="n"/>
      <c r="F29" s="8" t="n"/>
    </row>
    <row r="30">
      <c r="A30" s="6" t="inlineStr">
        <is>
          <t>Superficie clasificada NDVI 2025 (ha)</t>
        </is>
      </c>
      <c r="B30" s="7" t="n">
        <v>83.346</v>
      </c>
      <c r="C30" s="6" t="inlineStr">
        <is>
          <t>Desviación frente al catálogo (%)</t>
        </is>
      </c>
      <c r="D30" s="7" t="n">
        <v>0.02</v>
      </c>
      <c r="E30" s="8" t="n"/>
      <c r="F30" s="8" t="n"/>
    </row>
    <row r="31">
      <c r="A31" s="6" t="inlineStr">
        <is>
          <t>Superficie clasificada MSAVI 2024 (ha)</t>
        </is>
      </c>
      <c r="B31" s="38" t="n">
        <v>83.328</v>
      </c>
      <c r="C31" s="6" t="inlineStr">
        <is>
          <t>Desviación MSAVI frente al catálogo (%)</t>
        </is>
      </c>
      <c r="D31" s="39" t="n">
        <v>0</v>
      </c>
      <c r="E31" s="8" t="n"/>
      <c r="F31" s="8" t="n"/>
    </row>
    <row r="32">
      <c r="A32" s="6" t="inlineStr">
        <is>
          <t>Superficie bajo umbral MSAVI 0.4976 (ha)</t>
        </is>
      </c>
      <c r="B32" s="38" t="n">
        <v>6.081</v>
      </c>
      <c r="C32" s="6" t="inlineStr">
        <is>
          <t>% del bloque bajo umbral (brecha espectral)</t>
        </is>
      </c>
      <c r="D32" s="39" t="n">
        <v>7.3</v>
      </c>
      <c r="E32" s="8" t="n"/>
      <c r="F32" s="8" t="n"/>
    </row>
    <row r="33">
      <c r="A33" s="6" t="inlineStr">
        <is>
          <t>Clase DN dominante (MSAVI 2024)</t>
        </is>
      </c>
      <c r="B33" s="7" t="inlineStr">
        <is>
          <t>DN 5 · &gt; 0.6139 (Vigor alto)</t>
        </is>
      </c>
      <c r="C33" s="6" t="inlineStr">
        <is>
          <t>N.° de polígonos MSAVI del bloque</t>
        </is>
      </c>
      <c r="D33" s="40" t="n">
        <v>276</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Forestal protección</t>
        </is>
      </c>
      <c r="E37" s="8" t="n"/>
      <c r="F37" s="8" t="n"/>
    </row>
    <row r="38">
      <c r="A38" s="6" t="inlineStr">
        <is>
          <t>Tipo de cobertura dominante</t>
        </is>
      </c>
      <c r="B38" s="7" t="inlineStr">
        <is>
          <t>Matorral denso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Ligera (laminar)</t>
        </is>
      </c>
      <c r="C40" s="6" t="inlineStr">
        <is>
          <t>N.° de cárcavas registradas</t>
        </is>
      </c>
      <c r="D40" s="7" t="inlineStr">
        <is>
          <t>Por determinar</t>
        </is>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Brigada SESDI – IN Piura</t>
        </is>
      </c>
      <c r="C44" s="6" t="inlineStr">
        <is>
          <t>Fecha de evaluación</t>
        </is>
      </c>
      <c r="D44" s="7" t="inlineStr">
        <is>
          <t>2026-08-12</t>
        </is>
      </c>
      <c r="E44" s="8" t="n"/>
      <c r="F44" s="8" t="n"/>
    </row>
    <row r="45">
      <c r="A45" s="6" t="inlineStr">
        <is>
          <t>Hora de registro</t>
        </is>
      </c>
      <c r="B45" s="7" t="inlineStr">
        <is>
          <t>15:42 - 15:52 h</t>
        </is>
      </c>
      <c r="C45" s="6" t="inlineStr">
        <is>
          <t>Correlativo de ficha</t>
        </is>
      </c>
      <c r="D45" s="7" t="inlineStr">
        <is>
          <t>F-DT-01-B16-2026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t>
        </is>
      </c>
      <c r="E47" s="8" t="n"/>
      <c r="F47" s="8" t="n"/>
    </row>
    <row r="48">
      <c r="A48" s="6" t="inlineStr">
        <is>
          <t>Estaciones fotográficas georreferenciadas</t>
        </is>
      </c>
      <c r="B48" s="7" t="n">
        <v>6</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borde asociada al corredor vial y al pastoreo extensivo del entorno del C.P. Laguna de Paltama</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47.8809</v>
      </c>
      <c r="C10" s="31">
        <f>ROUND(B10/$B$15*100,2)</f>
        <v/>
      </c>
      <c r="D10" s="12" t="inlineStr">
        <is>
          <t>Vigor alto</t>
        </is>
      </c>
      <c r="E10" s="12" t="inlineStr">
        <is>
          <t>Sobre umbral</t>
        </is>
      </c>
    </row>
    <row r="11">
      <c r="A11" s="13" t="inlineStr">
        <is>
          <t>0.4976 - 0.6139 · DN 4</t>
        </is>
      </c>
      <c r="B11" s="20" t="n">
        <v>29.3656</v>
      </c>
      <c r="C11" s="21">
        <f>ROUND(B11/$B$15*100,2)</f>
        <v/>
      </c>
      <c r="D11" s="14" t="inlineStr">
        <is>
          <t>Vigor moderado</t>
        </is>
      </c>
      <c r="E11" s="14" t="inlineStr">
        <is>
          <t>Sobre umbral</t>
        </is>
      </c>
    </row>
    <row r="12">
      <c r="A12" s="7" t="inlineStr">
        <is>
          <t>0.3813 - 0.4976 · DN 3</t>
        </is>
      </c>
      <c r="B12" s="18" t="n">
        <v>5.8869</v>
      </c>
      <c r="C12" s="19">
        <f>ROUND(B12/$B$15*100,2)</f>
        <v/>
      </c>
      <c r="D12" s="15" t="inlineStr">
        <is>
          <t>Vigor bajo</t>
        </is>
      </c>
      <c r="E12" s="15" t="inlineStr">
        <is>
          <t>BAJO umbral 0.4976</t>
        </is>
      </c>
    </row>
    <row r="13">
      <c r="A13" s="13" t="inlineStr">
        <is>
          <t>0.2650 - 0.3813 · DN 2</t>
        </is>
      </c>
      <c r="B13" s="20" t="n">
        <v>0.1941</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276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83.33</v>
      </c>
      <c r="C18" s="49" t="inlineStr">
        <is>
          <t>—</t>
        </is>
      </c>
      <c r="D18" s="46" t="inlineStr">
        <is>
          <t>Desviación planimétrica frente al catálogo</t>
        </is>
      </c>
      <c r="E18" s="46" t="inlineStr">
        <is>
          <t>+0.00 %</t>
        </is>
      </c>
    </row>
    <row r="19">
      <c r="A19" s="16" t="inlineStr">
        <is>
          <t>MSAVI 2024 — MEDIA DEL BLOQUE</t>
        </is>
      </c>
      <c r="B19" s="17" t="n">
        <v>0.628423</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276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(0.6284)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78.4551</v>
      </c>
      <c r="C25" s="19" t="n">
        <v>94.13</v>
      </c>
      <c r="D25" s="15" t="inlineStr">
        <is>
          <t>Dosel continuo, matorral denso o mosaico agroforestal</t>
        </is>
      </c>
      <c r="E25" s="15" t="inlineStr"/>
    </row>
    <row r="26">
      <c r="A26" s="13" t="inlineStr">
        <is>
          <t>Vegetación mediana</t>
        </is>
      </c>
      <c r="B26" s="20" t="n">
        <v>4.8709</v>
      </c>
      <c r="C26" s="21" t="n">
        <v>5.84</v>
      </c>
      <c r="D26" s="14" t="inlineStr">
        <is>
          <t>Pastizal cultivado, matorral ralo, parcelas agrícolas</t>
        </is>
      </c>
      <c r="E26" s="14" t="inlineStr"/>
    </row>
    <row r="27">
      <c r="A27" s="7" t="inlineStr">
        <is>
          <t>Vegetación ligera</t>
        </is>
      </c>
      <c r="B27" s="18" t="n">
        <v>0.0199</v>
      </c>
      <c r="C27" s="19" t="n">
        <v>0.02</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83.33</v>
      </c>
      <c r="C29" s="25" t="inlineStr">
        <is>
          <t>—</t>
        </is>
      </c>
      <c r="D29" s="25" t="inlineStr">
        <is>
          <t>Desviación planimétrica frente al catálogo</t>
        </is>
      </c>
      <c r="E29" s="25" t="inlineStr">
        <is>
          <t>+0.02 %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16</t>
        </is>
      </c>
    </row>
    <row r="6" ht="24" customHeight="1">
      <c r="A6" s="4" t="inlineStr">
        <is>
          <t>Levantamiento del 2026-08-12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652674</v>
      </c>
      <c r="D10" s="26" t="n">
        <v>9382061</v>
      </c>
      <c r="E10" s="15" t="n">
        <v>268.6</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Red de vaguadas tributarias</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652939</v>
      </c>
      <c r="C14" s="6" t="inlineStr">
        <is>
          <t>Centroide del bloque — UTM NORTE (m)</t>
        </is>
      </c>
      <c r="D14" s="7" t="n">
        <v>9382105</v>
      </c>
      <c r="E14" s="8" t="n"/>
      <c r="F14" s="8" t="n"/>
      <c r="G14" s="8" t="n"/>
      <c r="H14" s="8" t="n"/>
    </row>
    <row r="15">
      <c r="A15" s="6" t="inlineStr">
        <is>
          <t>N.° de estaciones fotográficas declaradas</t>
        </is>
      </c>
      <c r="B15" s="7" t="n">
        <v>6</v>
      </c>
      <c r="C15" s="6" t="inlineStr">
        <is>
          <t>Estaciones dentro del polígono</t>
        </is>
      </c>
      <c r="D15" s="7" t="n">
        <v>0</v>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PRELLENADO DE GABINETE. Reconocimiento del 12-08-2026 por recorrido vehicular con registro fotográfico georreferenciado; la ficha NO fue diligenciada en campo. LAS SEIS ESTACIONES SE UBICAN FUERA DEL POLÍGONO (de ~47 m a ~332 m del borde): el interior del bloque no ha sido verificado.</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16</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8" t="n">
        <v>150.21</v>
      </c>
      <c r="C10" s="19" t="n">
        <v>28.67</v>
      </c>
      <c r="D10" s="15" t="inlineStr">
        <is>
          <t>912 – 1510</t>
        </is>
      </c>
      <c r="E10" s="15" t="n">
        <v>598</v>
      </c>
      <c r="F10" s="15" t="n">
        <v>27.39</v>
      </c>
      <c r="G10" s="18" t="n">
        <v>0.5465</v>
      </c>
      <c r="H10" s="19" t="n">
        <v>85.18000000000001</v>
      </c>
      <c r="I10" s="19" t="n">
        <v>28.51</v>
      </c>
    </row>
    <row r="11">
      <c r="A11" s="13" t="inlineStr">
        <is>
          <t>8</t>
        </is>
      </c>
      <c r="B11" s="29" t="n">
        <v>126.95</v>
      </c>
      <c r="C11" s="21" t="n">
        <v>24.23</v>
      </c>
      <c r="D11" s="14" t="inlineStr">
        <is>
          <t>1504 – 1970</t>
        </is>
      </c>
      <c r="E11" s="14" t="n">
        <v>466</v>
      </c>
      <c r="F11" s="14" t="n">
        <v>29.85</v>
      </c>
      <c r="G11" s="20" t="n">
        <v>0.5548</v>
      </c>
      <c r="H11" s="21" t="n">
        <v>72.25</v>
      </c>
      <c r="I11" s="21" t="n">
        <v>28.4</v>
      </c>
    </row>
    <row r="12">
      <c r="A12" s="11" t="inlineStr">
        <is>
          <t>► 16</t>
        </is>
      </c>
      <c r="B12" s="30" t="n">
        <v>83.33</v>
      </c>
      <c r="C12" s="31" t="n">
        <v>15.91</v>
      </c>
      <c r="D12" s="12" t="inlineStr">
        <is>
          <t>1349 – 1746</t>
        </is>
      </c>
      <c r="E12" s="12" t="n">
        <v>397</v>
      </c>
      <c r="F12" s="12" t="n">
        <v>22.34</v>
      </c>
      <c r="G12" s="32" t="n">
        <v>0.6284</v>
      </c>
      <c r="H12" s="31" t="n">
        <v>94.13</v>
      </c>
      <c r="I12" s="31" t="n">
        <v>7.3</v>
      </c>
    </row>
    <row r="13">
      <c r="A13" s="13" t="inlineStr">
        <is>
          <t>20</t>
        </is>
      </c>
      <c r="B13" s="29" t="n">
        <v>81.33</v>
      </c>
      <c r="C13" s="21" t="n">
        <v>15.52</v>
      </c>
      <c r="D13" s="14" t="inlineStr">
        <is>
          <t>1217 – 1607</t>
        </is>
      </c>
      <c r="E13" s="14" t="n">
        <v>390</v>
      </c>
      <c r="F13" s="14" t="n">
        <v>24.54</v>
      </c>
      <c r="G13" s="20" t="n">
        <v>0.4851</v>
      </c>
      <c r="H13" s="21" t="n">
        <v>52.44</v>
      </c>
      <c r="I13" s="21" t="n">
        <v>59.23</v>
      </c>
    </row>
    <row r="14">
      <c r="A14" s="7" t="inlineStr">
        <is>
          <t>80</t>
        </is>
      </c>
      <c r="B14" s="28" t="n">
        <v>28.83</v>
      </c>
      <c r="C14" s="19" t="n">
        <v>5.5</v>
      </c>
      <c r="D14" s="15" t="inlineStr">
        <is>
          <t>2180 – 2491</t>
        </is>
      </c>
      <c r="E14" s="15" t="n">
        <v>311</v>
      </c>
      <c r="F14" s="15" t="n">
        <v>32.9</v>
      </c>
      <c r="G14" s="18" t="n">
        <v>0.5931</v>
      </c>
      <c r="H14" s="19" t="n">
        <v>78.73</v>
      </c>
      <c r="I14" s="19" t="n">
        <v>16.88</v>
      </c>
    </row>
    <row r="15">
      <c r="A15" s="13" t="inlineStr">
        <is>
          <t>51</t>
        </is>
      </c>
      <c r="B15" s="29" t="n">
        <v>22.93</v>
      </c>
      <c r="C15" s="21" t="n">
        <v>4.38</v>
      </c>
      <c r="D15" s="14" t="inlineStr">
        <is>
          <t>1734 – 2018</t>
        </is>
      </c>
      <c r="E15" s="14" t="n">
        <v>284</v>
      </c>
      <c r="F15" s="14" t="n">
        <v>31.74</v>
      </c>
      <c r="G15" s="20" t="n">
        <v>0.5238</v>
      </c>
      <c r="H15" s="21" t="n">
        <v>69.45999999999999</v>
      </c>
      <c r="I15" s="21" t="n">
        <v>34.63</v>
      </c>
    </row>
    <row r="16">
      <c r="A16" s="7" t="inlineStr">
        <is>
          <t>76</t>
        </is>
      </c>
      <c r="B16" s="28" t="n">
        <v>19.62</v>
      </c>
      <c r="C16" s="19" t="n">
        <v>3.75</v>
      </c>
      <c r="D16" s="15" t="inlineStr">
        <is>
          <t>1647 – 1838</t>
        </is>
      </c>
      <c r="E16" s="15" t="n">
        <v>191</v>
      </c>
      <c r="F16" s="15" t="n">
        <v>26.25</v>
      </c>
      <c r="G16" s="18" t="n">
        <v>0.4925</v>
      </c>
      <c r="H16" s="19" t="n">
        <v>46.27</v>
      </c>
      <c r="I16" s="19" t="n">
        <v>54.14</v>
      </c>
    </row>
    <row r="17">
      <c r="A17" s="13" t="inlineStr">
        <is>
          <t>71</t>
        </is>
      </c>
      <c r="B17" s="29" t="n">
        <v>10.67</v>
      </c>
      <c r="C17" s="21" t="n">
        <v>2.04</v>
      </c>
      <c r="D17" s="14" t="inlineStr">
        <is>
          <t>1478 – 1609</t>
        </is>
      </c>
      <c r="E17" s="14" t="n">
        <v>131</v>
      </c>
      <c r="F17" s="14" t="n">
        <v>29.45</v>
      </c>
      <c r="G17" s="20" t="n">
        <v>0.5571</v>
      </c>
      <c r="H17" s="21" t="n">
        <v>81.37</v>
      </c>
      <c r="I17" s="21" t="n">
        <v>25.94</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c r="I18" s="23">
        <f>ROUND(AVERAGE(I10:I17),2)</f>
        <v/>
      </c>
    </row>
    <row r="19"/>
    <row r="20" ht="84" customHeight="1">
      <c r="A20" s="9" t="inlineStr">
        <is>
          <t>LECTURA INTRAMICROCUENCA. El bloque 16 ocupa el puesto 3 de 8 por superficie dentro de la microcuenca C1076-Q9593 (15.91 % de las 523.87 ha preliminares de la microcuenca). Su pendiente promedio (22.34 %, clase «15-25% (Fuert. inclinado)») es la 1.ª más baja de 8 y se sitúa por debajo del promedio de la microcuenca (28.06 %). Su MSAVI 2024 (0.6284) es el 1.º de 8 y queda por encima del promedio local (0.5477). Amplitud altitudinal del bloque: 397 m (1349–1746 msnm). El cuadro conserva todos los bloques catalogados en la microcuenca, incluidos los descartados en el tamizaje, para referencia del conjunto. Los bloques sin ficha DT figuran con sus parámetros de gabinete. BRECHA ESPECTRAL. El 7.30 % de la superficie del bloque (6.081 ha de 83.328 ha) se sitúa bajo el umbral MSAVI 0.4976, por debajo del promedio local de la microcuenca (31.88 %) calculado sobre los bloques con dato MSAVI disponible.</t>
        </is>
      </c>
      <c r="B20" s="41" t="n"/>
      <c r="C20" s="41" t="n"/>
      <c r="D20" s="41" t="n"/>
      <c r="E20" s="41" t="n"/>
      <c r="F20" s="41" t="n"/>
      <c r="G20" s="41" t="n"/>
      <c r="H20" s="42"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1" t="n"/>
      <c r="C22" s="41" t="n"/>
      <c r="D22" s="41" t="n"/>
      <c r="E22" s="41" t="n"/>
      <c r="F22" s="41" t="n"/>
      <c r="G22" s="41" t="n"/>
      <c r="H22" s="42"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«C1076-Q9593»</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269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(83.346 ha) coincide con la de catálogo (83.33 ha) dentro del ±2 % (+0.02 %)</t>
        </is>
      </c>
      <c r="D12" s="37"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1349 y 1746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Altitud GPS del punto de muestreo</t>
        </is>
      </c>
      <c r="C14" s="34" t="inlineStr">
        <is>
          <t>La aplicación de captura no registró altitud GPS en campo</t>
        </is>
      </c>
      <c r="D14" s="12" t="inlineStr">
        <is>
          <t>NO SUSTANTIVA</t>
        </is>
      </c>
      <c r="E14" s="34" t="inlineStr">
        <is>
          <t>El rango altitudinal del bloque (1349–1746 msnm) y la pendiente promedio (22.34 %) se toman de la estadística zonal sobre el MDE, no de medición de campo. Se declara la fuente.</t>
        </is>
      </c>
    </row>
    <row r="15" ht="48" customHeight="1">
      <c r="A15" s="36" t="inlineStr">
        <is>
          <t>D-06</t>
        </is>
      </c>
      <c r="B15" s="36" t="inlineStr">
        <is>
          <t>Inventario georreferenciado de cárcavas</t>
        </is>
      </c>
      <c r="C15" s="36" t="inlineStr">
        <is>
          <t>El inventario de cárcavas no fue ejecutado o no consta en la ficha DT</t>
        </is>
      </c>
      <c r="D15" s="35" t="inlineStr">
        <is>
          <t>SUSTANTIVA</t>
        </is>
      </c>
      <c r="E15" s="36" t="inlineStr">
        <is>
          <t>La ausencia de registros NO equivale a ausencia verificada de cárcavas. Queda pendiente el levantamiento instrumental a cargo del especialista de Infraestructura Marrón antes de fijar metas físicas de infraestructura gris.</t>
        </is>
      </c>
    </row>
    <row r="16" ht="48" customHeight="1">
      <c r="A16" s="34" t="inlineStr">
        <is>
          <t>D-07</t>
        </is>
      </c>
      <c r="B16" s="34" t="inlineStr">
        <is>
          <t>Elenco florístico</t>
        </is>
      </c>
      <c r="C16" s="34" t="inlineStr">
        <is>
          <t>La ficha registra 7 taxones, por debajo del mínimo de 15 que exige el formato V5</t>
        </is>
      </c>
      <c r="D16" s="35"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Representatividad del levantamiento</t>
        </is>
      </c>
      <c r="C17" s="36" t="inlineStr">
        <is>
          <t>Ninguna de las estaciones fotográficas georreferenciadas se localiza dentro del polígono del bloque</t>
        </is>
      </c>
      <c r="D17" s="35" t="inlineStr">
        <is>
          <t>SUSTANTIVA</t>
        </is>
      </c>
      <c r="E17" s="36" t="inlineStr">
        <is>
          <t>La verificación documenta el perímetro y la vista panorámica del bloque, no su interior. Los parámetros que exigen recorrido interno se consignan «Por determinar».</t>
        </is>
      </c>
    </row>
    <row r="18" ht="48" customHeight="1">
      <c r="A18" s="34" t="inlineStr">
        <is>
          <t>D-09</t>
        </is>
      </c>
      <c r="B18" s="34" t="inlineStr">
        <is>
          <t>Centro poblado asociado</t>
        </is>
      </c>
      <c r="C18" s="34" t="inlineStr">
        <is>
          <t>La ficha DT declara «Laguna de Paltama»; el cruce INEI-Bloques V5 identifica 1 centro(s) poblado(s) en el bloque: LAGUNA DE PALTAMA</t>
        </is>
      </c>
      <c r="D18" s="37"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5" t="inlineStr">
        <is>
          <t>SUSTANTIVA</t>
        </is>
      </c>
      <c r="E19" s="36" t="inlineStr">
        <is>
          <t>Debe tomarse del modelamiento de mesolocalización (PMM + EPH + PGI ponderados por AHP) antes de fijar la prioridad definitiva de intervención del bloque.</t>
        </is>
      </c>
    </row>
    <row r="20" ht="48" customHeight="1">
      <c r="A20" s="36" t="inlineStr">
        <is>
          <t>D-11</t>
        </is>
      </c>
      <c r="B20" s="36" t="inlineStr">
        <is>
          <t>Distribución areal MSAVI 2024</t>
        </is>
      </c>
      <c r="C20" s="36" t="inlineStr">
        <is>
          <t>La distribución por clase de MSAVI no figuraba en los insumos del entregable y se consignaba «Por determinar»; se incorpora la estadística zonal del ráster MSAVI clasificado (276 polígonos, 83.328 ha)</t>
        </is>
      </c>
      <c r="D20" s="35" t="inlineStr">
        <is>
          <t>CORREGIDO</t>
        </is>
      </c>
      <c r="E20"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1" ht="48" customHeight="1">
      <c r="A21" s="36" t="inlineStr">
        <is>
          <t>D-12</t>
        </is>
      </c>
      <c r="B21" s="36" t="inlineStr">
        <is>
          <t>Superficie MSAVI vs. catálogo</t>
        </is>
      </c>
      <c r="C21" s="36" t="inlineStr">
        <is>
          <t>La superficie total clasificada por el MSAVI 2024 (83.328 ha) frente a la de catálogo V5/V6 (83.330 ha): desviación de +0.00 %</t>
        </is>
      </c>
      <c r="D21" s="35" t="inlineStr">
        <is>
          <t>CONFORME</t>
        </is>
      </c>
      <c r="E21" s="36" t="inlineStr">
        <is>
          <t>Sin acción: la segmentación del ráster valida la geometría del bloque dentro del ±2 %.</t>
        </is>
      </c>
    </row>
    <row r="22" ht="48" customHeight="1">
      <c r="A22" s="36" t="inlineStr">
        <is>
          <t>D-13</t>
        </is>
      </c>
      <c r="B22" s="36" t="inlineStr">
        <is>
          <t>Media MSAVI vs. clase DN dominante</t>
        </is>
      </c>
      <c r="C22" s="36" t="inlineStr">
        <is>
          <t>La media del bloque (0.6284) cae en la clase «DN 5 · &gt; 0.6139 (Vigor alto)»; la clase de mayor superficie es «DN 5 · &gt; 0.6139 (Vigor alto)», con 57.46 % del bloque. Superficie bajo el umbral 0.4976: 6.081 ha (7.30 %)</t>
        </is>
      </c>
      <c r="D22" s="35" t="inlineStr">
        <is>
          <t>CONFORME</t>
        </is>
      </c>
      <c r="E22" s="36" t="inlineStr">
        <is>
          <t>Sin acción: la media del bloque y la clase de mayor superficie coinciden.</t>
        </is>
      </c>
    </row>
    <row r="23"/>
    <row r="24">
      <c r="A24" s="16" t="inlineStr">
        <is>
          <t>RESUMEN</t>
        </is>
      </c>
      <c r="B24" s="17" t="inlineStr">
        <is>
          <t>13 verificaciones</t>
        </is>
      </c>
      <c r="C24" s="17" t="inlineStr">
        <is>
          <t>CONFORME: 5 · CORREGIDO: 1 · NO SUSTANTIVA: 2 · SUSTANTIVA: 5</t>
        </is>
      </c>
      <c r="D24" s="17" t="inlineStr"/>
      <c r="E24" s="17" t="inlineStr"/>
    </row>
    <row r="25"/>
    <row r="26" ht="60" customHeight="1">
      <c r="A2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6" s="41" t="n"/>
      <c r="C26" s="41" t="n"/>
      <c r="D26" s="41" t="n"/>
      <c r="E26" s="42" t="n"/>
    </row>
  </sheetData>
  <mergeCells count="8">
    <mergeCell ref="A4:E4"/>
    <mergeCell ref="A26:E26"/>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16 — IN Piura</dc:title>
  <dc:subject>Diagnóstico Territorial por bloque de intervención</dc:subject>
  <dcterms:created xsi:type="dcterms:W3CDTF">2026-09-08T03:39:59Z</dcterms:created>
  <dcterms:modified xsi:type="dcterms:W3CDTF">2026-09-09T23:30:50Z</dcterms:modified>
</cp:coreProperties>
</file>