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82</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Santa Fe de Portachuelo</t>
        </is>
      </c>
      <c r="C13" s="6" t="inlineStr">
        <is>
          <t>Comunidad campesina</t>
        </is>
      </c>
      <c r="D13" s="7" t="inlineStr">
        <is>
          <t>Por verificar (predios particulares)</t>
        </is>
      </c>
      <c r="E13" s="8" t="n"/>
      <c r="F13" s="8" t="n"/>
    </row>
    <row r="14">
      <c r="A14" s="6" t="inlineStr">
        <is>
          <t>Superficie de catálogo (V5/V6), ha</t>
        </is>
      </c>
      <c r="B14" s="7" t="n">
        <v>35.66</v>
      </c>
      <c r="C14" s="6" t="inlineStr">
        <is>
          <t>Fuente de superficie</t>
        </is>
      </c>
      <c r="D14" s="7" t="inlineStr">
        <is>
          <t>Catálogo maestro Bloques V5/V6</t>
        </is>
      </c>
      <c r="E14" s="8" t="n"/>
      <c r="F14" s="8" t="n"/>
    </row>
    <row r="15">
      <c r="A15" s="6" t="inlineStr">
        <is>
          <t>Centroide UTM ESTE (m)</t>
        </is>
      </c>
      <c r="B15" s="7" t="n">
        <v>621452</v>
      </c>
      <c r="C15" s="6" t="inlineStr">
        <is>
          <t>Centroide UTM NORTE (m)</t>
        </is>
      </c>
      <c r="D15" s="7" t="n">
        <v>9443855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1796</v>
      </c>
      <c r="C19" s="6" t="inlineStr">
        <is>
          <t>Altitud máxima (msnm)</t>
        </is>
      </c>
      <c r="D19" s="7" t="n">
        <v>2098</v>
      </c>
      <c r="E19" s="8" t="n"/>
      <c r="F19" s="8" t="n"/>
    </row>
    <row r="20">
      <c r="A20" s="6" t="inlineStr">
        <is>
          <t>Amplitud altitudinal (m)</t>
        </is>
      </c>
      <c r="B20" s="7" t="n">
        <v>302</v>
      </c>
      <c r="C20" s="6" t="inlineStr">
        <is>
          <t>Piso altitudinal dominante</t>
        </is>
      </c>
      <c r="D20" s="7" t="inlineStr">
        <is>
          <t>1500-2000 m (Quechua media)</t>
        </is>
      </c>
      <c r="E20" s="8" t="n"/>
      <c r="F20" s="8" t="n"/>
    </row>
    <row r="21">
      <c r="A21" s="6" t="inlineStr">
        <is>
          <t>Pendiente promedio (%)</t>
        </is>
      </c>
      <c r="B21" s="7" t="n">
        <v>23.55</v>
      </c>
      <c r="C21" s="6" t="inlineStr">
        <is>
          <t>Pendiente promedio (grados)</t>
        </is>
      </c>
      <c r="D21" s="7" t="n">
        <v>13.3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Sin registro en ficha</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0.6283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(90.07 %)</t>
        </is>
      </c>
      <c r="E29" s="8" t="n"/>
      <c r="F29" s="8" t="n"/>
    </row>
    <row r="30">
      <c r="A30" s="6" t="inlineStr">
        <is>
          <t>Superficie clasificada NDVI 2025 (ha)</t>
        </is>
      </c>
      <c r="B30" s="7" t="n">
        <v>35.677</v>
      </c>
      <c r="C30" s="6" t="inlineStr">
        <is>
          <t>Desviación frente al catálogo (%)</t>
        </is>
      </c>
      <c r="D30" s="7" t="n">
        <v>0.05</v>
      </c>
      <c r="E30" s="8" t="n"/>
      <c r="F30" s="8" t="n"/>
    </row>
    <row r="31">
      <c r="A31" s="6" t="inlineStr">
        <is>
          <t>Superficie clasificada MSAVI 2024 (ha)</t>
        </is>
      </c>
      <c r="B31" s="39" t="n">
        <v>35.661</v>
      </c>
      <c r="C31" s="6" t="inlineStr">
        <is>
          <t>Desviación MSAVI frente al catálogo (%)</t>
        </is>
      </c>
      <c r="D31" s="40" t="n">
        <v>0</v>
      </c>
      <c r="E31" s="8" t="n"/>
      <c r="F31" s="8" t="n"/>
    </row>
    <row r="32">
      <c r="A32" s="6" t="inlineStr">
        <is>
          <t>Superficie bajo umbral MSAVI 0.4976 (ha)</t>
        </is>
      </c>
      <c r="B32" s="39" t="n">
        <v>4.52</v>
      </c>
      <c r="C32" s="6" t="inlineStr">
        <is>
          <t>% del bloque bajo umbral (brecha espectral)</t>
        </is>
      </c>
      <c r="D32" s="40" t="n">
        <v>12.67</v>
      </c>
      <c r="E32" s="8" t="n"/>
      <c r="F32" s="8" t="n"/>
    </row>
    <row r="33">
      <c r="A33" s="6" t="inlineStr">
        <is>
          <t>Clase DN dominante (MSAVI 2024)</t>
        </is>
      </c>
      <c r="B33" s="7" t="inlineStr">
        <is>
          <t>DN 5 · &gt; 0.6139 (Vigor alto)</t>
        </is>
      </c>
      <c r="C33" s="6" t="inlineStr">
        <is>
          <t>N.° de polígonos MSAVI del bloque</t>
        </is>
      </c>
      <c r="D33" s="41" t="n">
        <v>119</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35.66 ha totales — Matorral andino (Ma) 25.14 ha; Zona agrícola (Agri) 7.37 ha; Bosque relicto montano de vertiente occidental (Br-mvoc) 3.15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Ing. Pedro Talledo Hernández / Ing. Juan Carlos Domínguez Varas (ANIN-DIME-SESDI)</t>
        </is>
      </c>
      <c r="C44" s="6" t="inlineStr">
        <is>
          <t>Fecha de evaluación</t>
        </is>
      </c>
      <c r="D44" s="7" t="inlineStr">
        <is>
          <t>2026-06-10</t>
        </is>
      </c>
      <c r="E44" s="8" t="n"/>
      <c r="F44" s="8" t="n"/>
    </row>
    <row r="45">
      <c r="A45" s="6" t="inlineStr">
        <is>
          <t>Hora de registro</t>
        </is>
      </c>
      <c r="B45" s="7" t="inlineStr">
        <is>
          <t>11:30 h</t>
        </is>
      </c>
      <c r="C45" s="6" t="inlineStr">
        <is>
          <t>Correlativo de ficha</t>
        </is>
      </c>
      <c r="D45" s="7" t="inlineStr">
        <is>
          <t>F-DT-82-2026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(sin parcela permanente)</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sostenida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17.0356</v>
      </c>
      <c r="C10" s="31">
        <f>ROUND(B10/$B$15*100,2)</f>
        <v>47.77</v>
      </c>
      <c r="D10" s="12" t="inlineStr">
        <is>
          <t>Vigor alto</t>
        </is>
      </c>
      <c r="E10" s="12" t="inlineStr">
        <is>
          <t>Sobre umbral</t>
        </is>
      </c>
    </row>
    <row r="11">
      <c r="A11" s="13" t="inlineStr">
        <is>
          <t>0.4976 - 0.6139 · DN 4</t>
        </is>
      </c>
      <c r="B11" s="20" t="n">
        <v>14.1057</v>
      </c>
      <c r="C11" s="21">
        <f>ROUND(B11/$B$15*100,2)</f>
        <v>39.55</v>
      </c>
      <c r="D11" s="14" t="inlineStr">
        <is>
          <t>Vigor moderado</t>
        </is>
      </c>
      <c r="E11" s="14" t="inlineStr">
        <is>
          <t>Sobre umbral</t>
        </is>
      </c>
    </row>
    <row r="12">
      <c r="A12" s="7" t="inlineStr">
        <is>
          <t>0.3813 - 0.4976 · DN 3</t>
        </is>
      </c>
      <c r="B12" s="18" t="n">
        <v>4.5199</v>
      </c>
      <c r="C12" s="19">
        <f>ROUND(B12/$B$15*100,2)</f>
        <v>12.67</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4" t="inlineStr">
        <is>
          <t>TOTAL CLASIFICADO MSAVI 2024</t>
        </is>
      </c>
      <c r="B15" s="45">
        <f>SUM(B10:B14)</f>
        <v>35.6612</v>
      </c>
      <c r="C15" s="46">
        <f>SUM(C10:C14)</f>
        <v>99.99</v>
      </c>
      <c r="D15" s="44" t="inlineStr">
        <is>
          <t>Suma de la distribución areal · 119 polígonos</t>
        </is>
      </c>
      <c r="E15" s="44" t="inlineStr">
        <is>
          <t>—</t>
        </is>
      </c>
    </row>
    <row r="16" ht="30" customHeight="1">
      <c r="A16" s="47" t="inlineStr">
        <is>
          <t>Superficie SOBRE umbral 0.4976 (ha)</t>
        </is>
      </c>
      <c r="B16" s="48">
        <f>SUM(B10:B11)</f>
        <v>31.1413</v>
      </c>
      <c r="C16" s="49">
        <f>ROUND(B16/B15*100,2)</f>
        <v>87.33</v>
      </c>
      <c r="D16" s="47" t="inlineStr">
        <is>
          <t>Vigor alto y moderado (DN 4 y DN 5)</t>
        </is>
      </c>
      <c r="E16" s="47" t="inlineStr">
        <is>
          <t>Sobre umbral 0.4976</t>
        </is>
      </c>
    </row>
    <row r="17" ht="30" customHeight="1">
      <c r="A17" s="47" t="inlineStr">
        <is>
          <t>Superficie BAJO umbral 0.4976 (ha) — brecha</t>
        </is>
      </c>
      <c r="B17" s="48">
        <f>SUM(B12:B14)</f>
        <v>4.5199</v>
      </c>
      <c r="C17" s="49">
        <f>ROUND(B17/B15*100,2)</f>
        <v>12.67</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35.66</v>
      </c>
      <c r="C18" s="50" t="inlineStr">
        <is>
          <t>—</t>
        </is>
      </c>
      <c r="D18" s="47" t="inlineStr">
        <is>
          <t>Desviación planimétrica frente al catálogo</t>
        </is>
      </c>
      <c r="E18" s="47" t="inlineStr">
        <is>
          <t>+0.00 %</t>
        </is>
      </c>
    </row>
    <row r="19">
      <c r="A19" s="16" t="inlineStr">
        <is>
          <t>MSAVI 2024 — MEDIA DEL BLOQUE</t>
        </is>
      </c>
      <c r="B19" s="17" t="n">
        <v>0.62835</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(0.6283)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32.1344</v>
      </c>
      <c r="C25" s="19" t="n">
        <v>90.06999999999999</v>
      </c>
      <c r="D25" s="15" t="inlineStr">
        <is>
          <t>Dosel continuo, matorral denso o mosaico agroforestal</t>
        </is>
      </c>
      <c r="E25" s="15" t="inlineStr"/>
    </row>
    <row r="26">
      <c r="A26" s="13" t="inlineStr">
        <is>
          <t>Vegetación mediana</t>
        </is>
      </c>
      <c r="B26" s="20" t="n">
        <v>3.5423</v>
      </c>
      <c r="C26" s="21" t="n">
        <v>9.93</v>
      </c>
      <c r="D26" s="14" t="inlineStr">
        <is>
          <t>Pastizal cultivado, matorral ralo, parcelas agrícolas</t>
        </is>
      </c>
      <c r="E26" s="14" t="inlineStr"/>
    </row>
    <row r="27">
      <c r="A27" s="16" t="inlineStr">
        <is>
          <t>TOTAL CLASIFICADO</t>
        </is>
      </c>
      <c r="B27" s="22">
        <f>SUM(B25:B26)</f>
        <v>35.6767</v>
      </c>
      <c r="C27" s="23">
        <f>SUM(C25:C26)</f>
        <v>100.0</v>
      </c>
      <c r="D27" s="17" t="inlineStr"/>
      <c r="E27" s="17" t="inlineStr"/>
    </row>
    <row r="28">
      <c r="A28" s="24" t="inlineStr">
        <is>
          <t>Superficie de catálogo (V5/V6)</t>
        </is>
      </c>
      <c r="B28" s="25" t="n">
        <v>35.66</v>
      </c>
      <c r="C28" s="25" t="inlineStr">
        <is>
          <t>—</t>
        </is>
      </c>
      <c r="D28" s="25" t="inlineStr">
        <is>
          <t>Desviación planimétrica frente al catálogo</t>
        </is>
      </c>
      <c r="E28" s="25" t="inlineStr">
        <is>
          <t>+0.05 %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90.07 % del polígono clasificado como «Vegetación alta» por el NDVI 2025; la observación de campo corresponde a una parcela o recorrido puntual y no es estadísticamente representativa de las 35.660 ha del bloque.</t>
        </is>
      </c>
      <c r="B30" s="42" t="n"/>
      <c r="C30" s="42" t="n"/>
      <c r="D30" s="42" t="n"/>
      <c r="E30" s="43"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82</t>
        </is>
      </c>
    </row>
    <row r="6" ht="24" customHeight="1">
      <c r="A6" s="4" t="inlineStr">
        <is>
          <t>Levantamiento del 2026-06-10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621160</v>
      </c>
      <c r="D10" s="26" t="n">
        <v>9444038</v>
      </c>
      <c r="E10" s="15" t="n">
        <v>344.6</v>
      </c>
      <c r="F10" s="15" t="inlineStr"/>
      <c r="G10" s="15" t="inlineStr">
        <is>
          <t>Coordenada consignada en F-DT-01</t>
        </is>
      </c>
    </row>
    <row r="11">
      <c r="A11" s="13" t="inlineStr">
        <is>
          <t>C-01</t>
        </is>
      </c>
      <c r="B11" s="14" t="inlineStr">
        <is>
          <t>Rasgo erosivo — Por determinar</t>
        </is>
      </c>
      <c r="C11" s="27" t="n">
        <v>621081</v>
      </c>
      <c r="D11" s="27" t="n">
        <v>9444077</v>
      </c>
      <c r="E11" s="14" t="n">
        <v>432.3</v>
      </c>
      <c r="F11" s="14" t="inlineStr">
        <is>
          <t>Activa</t>
        </is>
      </c>
      <c r="G11" s="14" t="inlineStr">
        <is>
          <t>Otro (talud de corte de trocha)</t>
        </is>
      </c>
    </row>
    <row r="12">
      <c r="A12" s="7" t="inlineStr">
        <is>
          <t>C-02</t>
        </is>
      </c>
      <c r="B12" s="15" t="inlineStr">
        <is>
          <t>Rasgo erosivo — Por determinar</t>
        </is>
      </c>
      <c r="C12" s="26" t="n">
        <v>621119</v>
      </c>
      <c r="D12" s="26" t="n">
        <v>9444053</v>
      </c>
      <c r="E12" s="15" t="n">
        <v>387.4</v>
      </c>
      <c r="F12" s="15" t="inlineStr">
        <is>
          <t>Activa</t>
        </is>
      </c>
      <c r="G12" s="15" t="inlineStr">
        <is>
          <t>Por determinar</t>
        </is>
      </c>
    </row>
    <row r="13">
      <c r="A13" s="13" t="inlineStr">
        <is>
          <t>C-03</t>
        </is>
      </c>
      <c r="B13" s="14" t="inlineStr">
        <is>
          <t>Rasgo erosivo — Por determinar</t>
        </is>
      </c>
      <c r="C13" s="27" t="n">
        <v>621188</v>
      </c>
      <c r="D13" s="27" t="n">
        <v>9444024</v>
      </c>
      <c r="E13" s="14" t="n">
        <v>313.5</v>
      </c>
      <c r="F13" s="14" t="inlineStr">
        <is>
          <t>Semi-activa</t>
        </is>
      </c>
      <c r="G13" s="14" t="inlineStr">
        <is>
          <t>Quema</t>
        </is>
      </c>
    </row>
    <row r="14">
      <c r="A14" s="7" t="inlineStr">
        <is>
          <t>H-01</t>
        </is>
      </c>
      <c r="B14" s="15" t="inlineStr">
        <is>
          <t>Fuente de agua — Quebrada estacional</t>
        </is>
      </c>
      <c r="C14" s="26" t="n">
        <v>621000</v>
      </c>
      <c r="D14" s="26" t="n">
        <v>9443900</v>
      </c>
      <c r="E14" s="15" t="n">
        <v>454.2</v>
      </c>
      <c r="F14" s="15" t="inlineStr">
        <is>
          <t>Estacional</t>
        </is>
      </c>
      <c r="G14" s="15" t="inlineStr">
        <is>
          <t>Quebrada tributaria</t>
        </is>
      </c>
    </row>
    <row r="15">
      <c r="A15" s="16" t="inlineStr">
        <is>
          <t>TOTAL: 5 puntos</t>
        </is>
      </c>
      <c r="B15" s="17" t="inlineStr"/>
      <c r="C15" s="17" t="inlineStr"/>
      <c r="D15" s="17" t="inlineStr"/>
      <c r="E15" s="17" t="inlineStr"/>
      <c r="F15" s="17" t="inlineStr"/>
      <c r="G15" s="17" t="inlineStr"/>
    </row>
    <row r="16"/>
    <row r="17">
      <c r="A17" s="6" t="inlineStr">
        <is>
          <t>Centroide del bloque — UTM ESTE (m)</t>
        </is>
      </c>
      <c r="B17" s="7" t="n">
        <v>621452</v>
      </c>
      <c r="C17" s="6" t="inlineStr">
        <is>
          <t>Centroide del bloque — UTM NORTE (m)</t>
        </is>
      </c>
      <c r="D17" s="7" t="n">
        <v>9443855</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19"/>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media del recorrido 34.6% y máxima 55.3% (perfil Google Earth, longitud ≈554 m, cotas 1 833-2 029 msnm). LAS EVIDENCIAS DE INESTABILIDAD (escarpes y desprendimientos) SE CONCENTRAN EN LOS TALUDES DE CORTE DE LA TROCHA AFIRMADA (periferia/franja vial), NO EN LA SUPERFICIE NATURAL DEL BLOQUE. Coordenadas fotográficas pueden presentar leve error por señal GPS de celular. Bloque seleccionado por su rol en la REGULACIÓN DE MOVIMIENTOS EN MASA Y DE LA ESCORRENTÍA en la zona de origen de los peligros (cabecera de microcuenca). TIPO DE INTERVENCIÓN: REVEGETACIÓN (no restauración).</t>
        </is>
      </c>
      <c r="B20" s="42" t="n"/>
      <c r="C20" s="42" t="n"/>
      <c r="D20" s="42" t="n"/>
      <c r="E20" s="42" t="n"/>
      <c r="F20" s="42" t="n"/>
      <c r="G20" s="43"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82</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5" t="inlineStr">
        <is>
          <t>672 – 2244</t>
        </is>
      </c>
      <c r="E10" s="15" t="n">
        <v>1572</v>
      </c>
      <c r="F10" s="15" t="n">
        <v>27.41</v>
      </c>
      <c r="G10" s="18" t="n">
        <v>0.7067</v>
      </c>
      <c r="H10" s="19" t="n">
        <v>99.93000000000001</v>
      </c>
      <c r="I10" s="19" t="n">
        <v>0.07000000000000001</v>
      </c>
    </row>
    <row r="11">
      <c r="A11" s="13" t="inlineStr">
        <is>
          <t>11</t>
        </is>
      </c>
      <c r="B11" s="29" t="n">
        <v>103.95</v>
      </c>
      <c r="C11" s="21" t="n">
        <v>12.17</v>
      </c>
      <c r="D11" s="14" t="inlineStr">
        <is>
          <t>1375 – 1928</t>
        </is>
      </c>
      <c r="E11" s="14" t="n">
        <v>553</v>
      </c>
      <c r="F11" s="14" t="n">
        <v>32.19</v>
      </c>
      <c r="G11" s="20" t="n">
        <v>0.6047</v>
      </c>
      <c r="H11" s="21" t="n">
        <v>75.28</v>
      </c>
      <c r="I11" s="21" t="n">
        <v>11.34</v>
      </c>
    </row>
    <row r="12">
      <c r="A12" s="7" t="inlineStr">
        <is>
          <t>17</t>
        </is>
      </c>
      <c r="B12" s="28" t="n">
        <v>96.08</v>
      </c>
      <c r="C12" s="19" t="n">
        <v>11.25</v>
      </c>
      <c r="D12" s="15" t="inlineStr">
        <is>
          <t>1253 – 1880</t>
        </is>
      </c>
      <c r="E12" s="15" t="n">
        <v>627</v>
      </c>
      <c r="F12" s="15" t="n">
        <v>35.56</v>
      </c>
      <c r="G12" s="18" t="n">
        <v>0.6479</v>
      </c>
      <c r="H12" s="19" t="n">
        <v>88.68000000000001</v>
      </c>
      <c r="I12" s="19" t="n">
        <v>2.09</v>
      </c>
    </row>
    <row r="13">
      <c r="A13" s="13" t="inlineStr">
        <is>
          <t>14</t>
        </is>
      </c>
      <c r="B13" s="29" t="n">
        <v>92.90000000000001</v>
      </c>
      <c r="C13" s="21" t="n">
        <v>10.88</v>
      </c>
      <c r="D13" s="14" t="inlineStr">
        <is>
          <t>87 – 1355</t>
        </is>
      </c>
      <c r="E13" s="14" t="n">
        <v>1268</v>
      </c>
      <c r="F13" s="14" t="n">
        <v>23.75</v>
      </c>
      <c r="G13" s="20" t="n">
        <v>0.5197000000000001</v>
      </c>
      <c r="H13" s="21" t="n">
        <v>58.89</v>
      </c>
      <c r="I13" s="21" t="n">
        <v>39.02</v>
      </c>
    </row>
    <row r="14">
      <c r="A14" s="7" t="inlineStr">
        <is>
          <t>15</t>
        </is>
      </c>
      <c r="B14" s="28" t="n">
        <v>86.15000000000001</v>
      </c>
      <c r="C14" s="19" t="n">
        <v>10.09</v>
      </c>
      <c r="D14" s="15" t="inlineStr">
        <is>
          <t>1199 – 1655</t>
        </is>
      </c>
      <c r="E14" s="15" t="n">
        <v>456</v>
      </c>
      <c r="F14" s="15" t="n">
        <v>26.19</v>
      </c>
      <c r="G14" s="18" t="n">
        <v>0.5605</v>
      </c>
      <c r="H14" s="19" t="n">
        <v>56.47</v>
      </c>
      <c r="I14" s="19" t="n">
        <v>22.48</v>
      </c>
    </row>
    <row r="15">
      <c r="A15" s="13" t="inlineStr">
        <is>
          <t>23</t>
        </is>
      </c>
      <c r="B15" s="29" t="n">
        <v>81.78</v>
      </c>
      <c r="C15" s="21" t="n">
        <v>9.58</v>
      </c>
      <c r="D15" s="14" t="inlineStr">
        <is>
          <t>521 – 973</t>
        </is>
      </c>
      <c r="E15" s="14" t="n">
        <v>452</v>
      </c>
      <c r="F15" s="14" t="n">
        <v>35.28</v>
      </c>
      <c r="G15" s="20" t="n">
        <v>0.5731000000000001</v>
      </c>
      <c r="H15" s="21" t="n">
        <v>47.99</v>
      </c>
      <c r="I15" s="21" t="n">
        <v>18.75</v>
      </c>
    </row>
    <row r="16">
      <c r="A16" s="7" t="inlineStr">
        <is>
          <t>42</t>
        </is>
      </c>
      <c r="B16" s="28" t="n">
        <v>80.62</v>
      </c>
      <c r="C16" s="19" t="n">
        <v>9.44</v>
      </c>
      <c r="D16" s="15" t="inlineStr">
        <is>
          <t>1131 – 1548</t>
        </is>
      </c>
      <c r="E16" s="15" t="n">
        <v>417</v>
      </c>
      <c r="F16" s="15" t="n">
        <v>27.86</v>
      </c>
      <c r="G16" s="18" t="n">
        <v>0.6348</v>
      </c>
      <c r="H16" s="19" t="n">
        <v>88.83</v>
      </c>
      <c r="I16" s="19" t="n">
        <v>5.64</v>
      </c>
    </row>
    <row r="17">
      <c r="A17" s="13" t="inlineStr">
        <is>
          <t>M19B2</t>
        </is>
      </c>
      <c r="B17" s="29" t="n">
        <v>74.37</v>
      </c>
      <c r="C17" s="21" t="n">
        <v>8.710000000000001</v>
      </c>
      <c r="D17" s="14" t="inlineStr">
        <is>
          <t>203 – 523</t>
        </is>
      </c>
      <c r="E17" s="14" t="n">
        <v>320</v>
      </c>
      <c r="F17" s="14" t="n">
        <v>21.71</v>
      </c>
      <c r="G17" s="20" t="n">
        <v>0.4012</v>
      </c>
      <c r="H17" s="21" t="n">
        <v>1.28</v>
      </c>
      <c r="I17" s="21" t="n">
        <v>96.23999999999999</v>
      </c>
    </row>
    <row r="18">
      <c r="A18" s="11" t="inlineStr">
        <is>
          <t>► 82</t>
        </is>
      </c>
      <c r="B18" s="30" t="n">
        <v>35.66</v>
      </c>
      <c r="C18" s="31" t="n">
        <v>4.18</v>
      </c>
      <c r="D18" s="12" t="inlineStr">
        <is>
          <t>1796 – 2098</t>
        </is>
      </c>
      <c r="E18" s="12" t="n">
        <v>302</v>
      </c>
      <c r="F18" s="12" t="n">
        <v>23.55</v>
      </c>
      <c r="G18" s="32" t="n">
        <v>0.6283</v>
      </c>
      <c r="H18" s="31" t="n">
        <v>90.06999999999999</v>
      </c>
      <c r="I18" s="31" t="n">
        <v>12.67</v>
      </c>
    </row>
    <row r="19">
      <c r="A19" s="13" t="inlineStr">
        <is>
          <t>78</t>
        </is>
      </c>
      <c r="B19" s="29" t="n">
        <v>35.1</v>
      </c>
      <c r="C19" s="21" t="n">
        <v>4.11</v>
      </c>
      <c r="D19" s="14" t="inlineStr">
        <is>
          <t>1908 – 2236</t>
        </is>
      </c>
      <c r="E19" s="14" t="n">
        <v>328</v>
      </c>
      <c r="F19" s="14" t="n">
        <v>30.64</v>
      </c>
      <c r="G19" s="20" t="n">
        <v>0.7074</v>
      </c>
      <c r="H19" s="21" t="n">
        <v>89.33</v>
      </c>
      <c r="I19" s="21" t="n">
        <v>1.77</v>
      </c>
    </row>
    <row r="20">
      <c r="A20" s="7" t="inlineStr">
        <is>
          <t>M19B7</t>
        </is>
      </c>
      <c r="B20" s="28" t="n">
        <v>34.17</v>
      </c>
      <c r="C20" s="19" t="n">
        <v>4</v>
      </c>
      <c r="D20" s="15" t="inlineStr">
        <is>
          <t>1213 – 1578</t>
        </is>
      </c>
      <c r="E20" s="15" t="n">
        <v>365</v>
      </c>
      <c r="F20" s="15" t="n">
        <v>28.15</v>
      </c>
      <c r="G20" s="18" t="n">
        <v>0.5919</v>
      </c>
      <c r="H20" s="19" t="n">
        <v>78.52</v>
      </c>
      <c r="I20" s="19" t="n">
        <v>5.85</v>
      </c>
    </row>
    <row r="21">
      <c r="A21" s="13" t="inlineStr">
        <is>
          <t>59</t>
        </is>
      </c>
      <c r="B21" s="29" t="n">
        <v>13.55</v>
      </c>
      <c r="C21" s="21" t="n">
        <v>1.59</v>
      </c>
      <c r="D21" s="14" t="inlineStr">
        <is>
          <t>2045 – 2218</t>
        </is>
      </c>
      <c r="E21" s="14" t="n">
        <v>173</v>
      </c>
      <c r="F21" s="14" t="n">
        <v>29.85</v>
      </c>
      <c r="G21" s="20" t="n">
        <v>0.6147</v>
      </c>
      <c r="H21" s="21" t="n">
        <v>86.56999999999999</v>
      </c>
      <c r="I21" s="21" t="n">
        <v>13.72</v>
      </c>
    </row>
    <row r="22">
      <c r="A22" s="16" t="inlineStr">
        <is>
          <t>TOTAL / PROMEDIO</t>
        </is>
      </c>
      <c r="B22" s="33">
        <f>SUM(B10:B21)</f>
        <v>853.87</v>
      </c>
      <c r="C22" s="23">
        <f>SUM(C10:C21)</f>
        <v>100.0</v>
      </c>
      <c r="D22" s="17" t="inlineStr">
        <is>
          <t>87 – 2244</t>
        </is>
      </c>
      <c r="E22" s="17" t="inlineStr"/>
      <c r="F22" s="17">
        <f>ROUND(AVERAGE(F10:F21),2)</f>
        <v>28.51</v>
      </c>
      <c r="G22" s="22">
        <f>ROUND(AVERAGE(G10:G21),4)</f>
        <v>0.5992</v>
      </c>
      <c r="H22" s="23">
        <f>ROUND(AVERAGE(H10:H21),2)</f>
        <v>71.82</v>
      </c>
      <c r="I22" s="23">
        <f>ROUND(AVERAGE(I10:I21),2)</f>
        <v>19.14</v>
      </c>
    </row>
    <row r="23"/>
    <row r="24" ht="84" customHeight="1">
      <c r="A24" s="9" t="inlineStr">
        <is>
          <t>LECTURA INTRAMICROCUENCA. El bloque 82 ocupa el puesto 9 de 12 por superficie dentro de la microcuenca C1086-Q9570 (4.18 % de las 853.87 ha preliminares de la microcuenca). Su pendiente promedio (23.55 %, clase «15-25% (Fuert. inclinado)») es la 2.ª más baja de 12 y se sitúa por debajo del promedio de la microcuenca (28.51 %). Su MSAVI 2024 (0.6283) es el 5.º de 12 y queda por encima del promedio local (0.5993). Amplitud altitudinal del bloque: 302 m (1796–2098 msnm). El cuadro conserva todos los bloques catalogados en la microcuenca, incluidos los descartados en el tamizaje, para referencia del conjunto. Los bloques sin ficha DT figuran con sus parámetros de gabinete. BRECHA ESPECTRAL. El 12.67 % de la superficie del bloque (4.520 ha de 35.661 ha) se sitúa bajo el umbral MSAVI 0.4976, por debajo del promedio local de la microcuenca (19.14 %) calculado sobre los bloques con dato MSAVI disponible.</t>
        </is>
      </c>
      <c r="B24" s="42" t="n"/>
      <c r="C24" s="42" t="n"/>
      <c r="D24" s="42" t="n"/>
      <c r="E24" s="42" t="n"/>
      <c r="F24" s="42" t="n"/>
      <c r="G24" s="42" t="n"/>
      <c r="H24" s="43"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2" t="n"/>
      <c r="C26" s="42" t="n"/>
      <c r="D26" s="42" t="n"/>
      <c r="E26" s="42" t="n"/>
      <c r="F26" s="42" t="n"/>
      <c r="G26" s="42" t="n"/>
      <c r="H26" s="43"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345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(35.677 ha) coincide con la de catálogo (35.66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23.55 %, que corresponde a la clase «15-25% (Fuert. inclinado)»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80 % de cobertura vegetal en campo; el NDVI mediana 2025 clasifica 100.00 % del polígono en clases de vegetación</t>
        </is>
      </c>
      <c r="D14" s="12"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«Santa Fe de Portachuelo»; el cruce INEI-Bloques V5 identifica 1 centro(s) poblado(s) en el bloque: SANTA FE DE PORTACHUELO</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(1940 msnm)</t>
        </is>
      </c>
    </row>
    <row r="20" ht="48" customHeight="1">
      <c r="A20" s="34" t="inlineStr">
        <is>
          <t>D-11</t>
        </is>
      </c>
      <c r="B20" s="34" t="inlineStr">
        <is>
          <t>F-DT-02</t>
        </is>
      </c>
      <c r="C20" s="34" t="inlineStr">
        <is>
          <t>Las 3 cárcavas inventariadas carecen de tipo, dimensiones y (C-02) de causa</t>
        </is>
      </c>
      <c r="D20" s="12" t="inlineStr">
        <is>
          <t>NO SUSTANTIVA</t>
        </is>
      </c>
      <c r="E20" s="34" t="inlineStr">
        <is>
          <t>Levantamiento instrumental pendiente</t>
        </is>
      </c>
    </row>
    <row r="21" ht="48" customHeight="1">
      <c r="A21" s="36" t="inlineStr">
        <is>
          <t>D-12</t>
        </is>
      </c>
      <c r="B21" s="36" t="inlineStr">
        <is>
          <t>F-DT-04</t>
        </is>
      </c>
      <c r="C21" s="36" t="inlineStr">
        <is>
          <t>Frecuencia de quemas no cuantificada pese a haberse registrado quema reciente de pastizal (C-03)</t>
        </is>
      </c>
      <c r="D21" s="37" t="inlineStr">
        <is>
          <t>SUSTANTIVA</t>
        </is>
      </c>
      <c r="E21" s="36" t="inlineStr">
        <is>
          <t>El indicador no puede consignarse en 0</t>
        </is>
      </c>
    </row>
    <row r="22" ht="48" customHeight="1">
      <c r="A22" s="34" t="inlineStr">
        <is>
          <t>D-13</t>
        </is>
      </c>
      <c r="B22" s="34" t="inlineStr">
        <is>
          <t>F-DT-04</t>
        </is>
      </c>
      <c r="C22" s="34" t="inlineStr">
        <is>
          <t>Densidad de cárcavas y carga ganadera sin valor</t>
        </is>
      </c>
      <c r="D22" s="12" t="inlineStr">
        <is>
          <t>NO SUSTANTIVA</t>
        </is>
      </c>
      <c r="E22" s="34" t="inlineStr">
        <is>
          <t>Cuantificación pendiente</t>
        </is>
      </c>
    </row>
    <row r="23" ht="48" customHeight="1">
      <c r="A23" s="36" t="inlineStr">
        <is>
          <t>D-14</t>
        </is>
      </c>
      <c r="B23" s="36" t="inlineStr">
        <is>
          <t>F-DT-03</t>
        </is>
      </c>
      <c r="C23" s="36" t="inlineStr">
        <is>
          <t>Lista florística basada en juicio de experto sobre fotografías y literatura regional, no en colecta</t>
        </is>
      </c>
      <c r="D23" s="37" t="inlineStr">
        <is>
          <t>SUSTANTIVA</t>
        </is>
      </c>
      <c r="E23" s="36" t="inlineStr">
        <is>
          <t>Determinación botánica formal pendiente</t>
        </is>
      </c>
    </row>
    <row r="24" ht="48" customHeight="1">
      <c r="A24" s="34" t="inlineStr">
        <is>
          <t>D-15</t>
        </is>
      </c>
      <c r="B24" s="34" t="inlineStr">
        <is>
          <t>F-DT-03</t>
        </is>
      </c>
      <c r="C24" s="34" t="inlineStr">
        <is>
          <t>El bloque integra 3 ecosistemas MINAM (Ma 25.14 ha, Agri 7.37 ha, Br-mvoc 3.15 ha)</t>
        </is>
      </c>
      <c r="D24" s="12" t="inlineStr">
        <is>
          <t>NO SUSTANTIVA</t>
        </is>
      </c>
      <c r="E24" s="34" t="inlineStr">
        <is>
          <t>La zona agrícola (7.37 ha) debe excluirse del área efectiva en el tamizaje predial</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(119 polígonos, 35.661 ha)</t>
        </is>
      </c>
      <c r="D25" s="12"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(35.661 ha) frente a la de catálogo V5/V6 (35.660 ha): desviación de +0.00 %</t>
        </is>
      </c>
      <c r="D26" s="12"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(0.6283) cae en la clase «DN 5 · &gt; 0.6139 (Vigor alto)»; la clase de mayor superficie es «DN 5 · &gt; 0.6139 (Vigor alto)», con 47.77 % del bloque. Superficie bajo el umbral 0.4976: 4.520 ha (12.67 %)</t>
        </is>
      </c>
      <c r="D27" s="12"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6 · CORREGIDO: 2 · NO SUSTANTIVA: 6 · SUSTANTIVA: 4</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2" t="n"/>
      <c r="C31" s="42" t="n"/>
      <c r="D31" s="42" t="n"/>
      <c r="E31" s="43"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82 — IN Piura</dc:title>
  <dc:subject>Diagnóstico Territorial por bloque de intervención</dc:subject>
  <dcterms:created xsi:type="dcterms:W3CDTF">2026-09-08T03:39:57Z</dcterms:created>
  <dcterms:modified xsi:type="dcterms:W3CDTF">2026-09-10T00:28:30Z</dcterms:modified>
</cp:coreProperties>
</file>