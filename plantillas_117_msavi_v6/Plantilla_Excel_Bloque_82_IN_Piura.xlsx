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10">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
      <patternFill patternType="solid">
        <fgColor rgb="00C6E0B4"/>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51">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82</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82</t>
        </is>
      </c>
      <c r="C9" s="6" t="inlineStr">
        <is>
          <t>Microcuenca (catálogo)</t>
        </is>
      </c>
      <c r="D9" s="7" t="inlineStr">
        <is>
          <t>C1086-Q9570</t>
        </is>
      </c>
      <c r="E9" s="8" t="n"/>
      <c r="F9" s="8" t="n"/>
    </row>
    <row r="10">
      <c r="A10" s="6" t="inlineStr">
        <is>
          <t>Zona de planificación</t>
        </is>
      </c>
      <c r="B10" s="7" t="inlineStr">
        <is>
          <t>Z03</t>
        </is>
      </c>
      <c r="C10" s="6" t="inlineStr">
        <is>
          <t>Microcuenca declarada en ficha DT</t>
        </is>
      </c>
      <c r="D10" s="7" t="inlineStr">
        <is>
          <t>C1086-Q9570</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Santo Domingo</t>
        </is>
      </c>
      <c r="C12" s="6" t="inlineStr">
        <is>
          <t>Capital distrital</t>
        </is>
      </c>
      <c r="D12" s="7" t="inlineStr">
        <is>
          <t>Santo Domingo</t>
        </is>
      </c>
      <c r="E12" s="8" t="n"/>
      <c r="F12" s="8" t="n"/>
    </row>
    <row r="13">
      <c r="A13" s="6" t="inlineStr">
        <is>
          <t>Centro poblado asociado</t>
        </is>
      </c>
      <c r="B13" s="7" t="inlineStr">
        <is>
          <t>Santa Fe de Portachuelo</t>
        </is>
      </c>
      <c r="C13" s="6" t="inlineStr">
        <is>
          <t>Comunidad campesina</t>
        </is>
      </c>
      <c r="D13" s="7" t="inlineStr">
        <is>
          <t>Por verificar (predios particulares)</t>
        </is>
      </c>
      <c r="E13" s="8" t="n"/>
      <c r="F13" s="8" t="n"/>
    </row>
    <row r="14">
      <c r="A14" s="6" t="inlineStr">
        <is>
          <t>Superficie de catálogo (V5/V6), ha</t>
        </is>
      </c>
      <c r="B14" s="7" t="n">
        <v>35.66</v>
      </c>
      <c r="C14" s="6" t="inlineStr">
        <is>
          <t>Fuente de superficie</t>
        </is>
      </c>
      <c r="D14" s="7" t="inlineStr">
        <is>
          <t>Catálogo maestro Bloques V5/V6</t>
        </is>
      </c>
      <c r="E14" s="8" t="n"/>
      <c r="F14" s="8" t="n"/>
    </row>
    <row r="15">
      <c r="A15" s="6" t="inlineStr">
        <is>
          <t>Centroide UTM ESTE (m)</t>
        </is>
      </c>
      <c r="B15" s="7" t="n">
        <v>621452</v>
      </c>
      <c r="C15" s="6" t="inlineStr">
        <is>
          <t>Centroide UTM NORTE (m)</t>
        </is>
      </c>
      <c r="D15" s="7" t="n">
        <v>9443855</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1796</v>
      </c>
      <c r="C19" s="6" t="inlineStr">
        <is>
          <t>Altitud máxima (msnm)</t>
        </is>
      </c>
      <c r="D19" s="7" t="n">
        <v>2098</v>
      </c>
      <c r="E19" s="8" t="n"/>
      <c r="F19" s="8" t="n"/>
    </row>
    <row r="20">
      <c r="A20" s="6" t="inlineStr">
        <is>
          <t>Amplitud altitudinal (m)</t>
        </is>
      </c>
      <c r="B20" s="7" t="n">
        <v>302</v>
      </c>
      <c r="C20" s="6" t="inlineStr">
        <is>
          <t>Piso altitudinal dominante</t>
        </is>
      </c>
      <c r="D20" s="7" t="inlineStr">
        <is>
          <t>1500-2000 m (Quechua media)</t>
        </is>
      </c>
      <c r="E20" s="8" t="n"/>
      <c r="F20" s="8" t="n"/>
    </row>
    <row r="21">
      <c r="A21" s="6" t="inlineStr">
        <is>
          <t>Pendiente promedio (%)</t>
        </is>
      </c>
      <c r="B21" s="7" t="n">
        <v>23.55</v>
      </c>
      <c r="C21" s="6" t="inlineStr">
        <is>
          <t>Pendiente promedio (grados)</t>
        </is>
      </c>
      <c r="D21" s="7" t="n">
        <v>13.3</v>
      </c>
      <c r="E21" s="8" t="n"/>
      <c r="F21" s="8" t="n"/>
    </row>
    <row r="22">
      <c r="A22" s="6" t="inlineStr">
        <is>
          <t>Clase de pendiente equivalente</t>
        </is>
      </c>
      <c r="B22" s="7" t="inlineStr">
        <is>
          <t>15-25% (Fuert. inclinado)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Este</t>
        </is>
      </c>
      <c r="C24" s="6" t="inlineStr">
        <is>
          <t>Afloramientos rocosos</t>
        </is>
      </c>
      <c r="D24" s="7" t="inlineStr">
        <is>
          <t>Sin registro en ficha</t>
        </is>
      </c>
      <c r="E24" s="8" t="n"/>
      <c r="F24" s="8" t="n"/>
    </row>
    <row r="25">
      <c r="A25" s="6" t="inlineStr">
        <is>
          <t>Escarpes activos</t>
        </is>
      </c>
      <c r="B25" s="7" t="inlineStr">
        <is>
          <t>Sí</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0.6283</v>
      </c>
      <c r="C28" s="6" t="inlineStr">
        <is>
          <t>MSAVI 2024 — clase de la media</t>
        </is>
      </c>
      <c r="D28" s="7" t="inlineStr">
        <is>
          <t>&gt; 0.6139 (Vigor alto)</t>
        </is>
      </c>
      <c r="E28" s="8" t="n"/>
      <c r="F28" s="8" t="n"/>
    </row>
    <row r="29">
      <c r="A29" s="6" t="inlineStr">
        <is>
          <t>Condición frente al umbral 0.4976</t>
        </is>
      </c>
      <c r="B29" s="7" t="inlineStr">
        <is>
          <t>Sobre umbral</t>
        </is>
      </c>
      <c r="C29" s="6" t="inlineStr">
        <is>
          <t>NDVI mediana 2025 — clase modal</t>
        </is>
      </c>
      <c r="D29" s="7" t="inlineStr">
        <is>
          <t>Vegetación alta (90.07 %)</t>
        </is>
      </c>
      <c r="E29" s="8" t="n"/>
      <c r="F29" s="8" t="n"/>
    </row>
    <row r="30">
      <c r="A30" s="6" t="inlineStr">
        <is>
          <t>Superficie clasificada NDVI 2025 (ha)</t>
        </is>
      </c>
      <c r="B30" s="7" t="n">
        <v>35.677</v>
      </c>
      <c r="C30" s="6" t="inlineStr">
        <is>
          <t>Desviación frente al catálogo (%)</t>
        </is>
      </c>
      <c r="D30" s="7" t="n">
        <v>0.05</v>
      </c>
      <c r="E30" s="8" t="n"/>
      <c r="F30" s="8" t="n"/>
    </row>
    <row r="31">
      <c r="A31" s="6" t="inlineStr">
        <is>
          <t>Superficie clasificada MSAVI 2024 (ha)</t>
        </is>
      </c>
      <c r="B31" s="39" t="n">
        <v>35.661</v>
      </c>
      <c r="C31" s="6" t="inlineStr">
        <is>
          <t>Desviación MSAVI frente al catálogo (%)</t>
        </is>
      </c>
      <c r="D31" s="40" t="n">
        <v>0</v>
      </c>
      <c r="E31" s="8" t="n"/>
      <c r="F31" s="8" t="n"/>
    </row>
    <row r="32">
      <c r="A32" s="6" t="inlineStr">
        <is>
          <t>Superficie bajo umbral MSAVI 0.4976 (ha)</t>
        </is>
      </c>
      <c r="B32" s="39" t="n">
        <v>4.52</v>
      </c>
      <c r="C32" s="6" t="inlineStr">
        <is>
          <t>% del bloque bajo umbral (brecha espectral)</t>
        </is>
      </c>
      <c r="D32" s="40" t="n">
        <v>12.67</v>
      </c>
      <c r="E32" s="8" t="n"/>
      <c r="F32" s="8" t="n"/>
    </row>
    <row r="33">
      <c r="A33" s="6" t="inlineStr">
        <is>
          <t>Clase DN dominante (MSAVI 2024)</t>
        </is>
      </c>
      <c r="B33" s="7" t="inlineStr">
        <is>
          <t>DN 5 · &gt; 0.6139 (Vigor alto)</t>
        </is>
      </c>
      <c r="C33" s="6" t="inlineStr">
        <is>
          <t>N.° de polígonos MSAVI del bloque</t>
        </is>
      </c>
      <c r="D33" s="41" t="n">
        <v>119</v>
      </c>
      <c r="E33" s="8" t="n"/>
      <c r="F33" s="8" t="n"/>
    </row>
    <row r="34"/>
    <row r="35" ht="18" customHeight="1">
      <c r="A35" s="5" t="inlineStr">
        <is>
          <t>4. ECOSISTEMA Y ESTADO DE CONSERVACIÓN</t>
        </is>
      </c>
    </row>
    <row r="36">
      <c r="A36" s="6" t="inlineStr">
        <is>
          <t>Tipo de ecosistema (UP)</t>
        </is>
      </c>
      <c r="B36" s="7" t="inlineStr">
        <is>
          <t>Matorral Andino subhúmedo</t>
        </is>
      </c>
      <c r="C36" s="6" t="inlineStr">
        <is>
          <t>Superficie de ecosistema (ha)</t>
        </is>
      </c>
      <c r="D36" s="7" t="inlineStr">
        <is>
          <t>35.66 ha totales — Matorral andino (Ma) 25.14 ha; Zona agrícola (Agri) 7.37 ha; Bosque relicto montano de vertiente occidental (Br-mvoc) 3.15 ha</t>
        </is>
      </c>
      <c r="E36" s="8" t="n"/>
      <c r="F36" s="8" t="n"/>
    </row>
    <row r="37">
      <c r="A37" s="6" t="inlineStr">
        <is>
          <t>Estado de conservación</t>
        </is>
      </c>
      <c r="B37" s="7" t="inlineStr">
        <is>
          <t>Medianamente alterado</t>
        </is>
      </c>
      <c r="C37" s="6" t="inlineStr">
        <is>
          <t>Uso actual dominante del suelo</t>
        </is>
      </c>
      <c r="D37" s="7" t="inlineStr">
        <is>
          <t>Uso mixto</t>
        </is>
      </c>
      <c r="E37" s="8" t="n"/>
      <c r="F37" s="8" t="n"/>
    </row>
    <row r="38">
      <c r="A38" s="6" t="inlineStr">
        <is>
          <t>Tipo de cobertura dominante</t>
        </is>
      </c>
      <c r="B38" s="7" t="inlineStr">
        <is>
          <t>Mixto / Mosaico</t>
        </is>
      </c>
      <c r="C38" s="6" t="inlineStr">
        <is>
          <t>Cobertura vegetal total — campo (%)</t>
        </is>
      </c>
      <c r="D38" s="7" t="n">
        <v>80</v>
      </c>
      <c r="E38" s="8" t="n"/>
      <c r="F38" s="8" t="n"/>
    </row>
    <row r="39">
      <c r="A39" s="6" t="inlineStr">
        <is>
          <t>Suelo desnudo — campo (%)</t>
        </is>
      </c>
      <c r="B39" s="7" t="n">
        <v>10</v>
      </c>
      <c r="C39" s="6" t="inlineStr">
        <is>
          <t>Regeneración natural</t>
        </is>
      </c>
      <c r="D39" s="7" t="inlineStr">
        <is>
          <t>Regular (10-50 pl./100m²)</t>
        </is>
      </c>
      <c r="E39" s="8" t="n"/>
      <c r="F39" s="8" t="n"/>
    </row>
    <row r="40">
      <c r="A40" s="6" t="inlineStr">
        <is>
          <t>Nivel general de erosión</t>
        </is>
      </c>
      <c r="B40" s="7" t="inlineStr">
        <is>
          <t>Moderada (surcos)</t>
        </is>
      </c>
      <c r="C40" s="6" t="inlineStr">
        <is>
          <t>N.° de cárcavas registradas</t>
        </is>
      </c>
      <c r="D40" s="7" t="n">
        <v>3</v>
      </c>
      <c r="E40" s="8" t="n"/>
      <c r="F40" s="8" t="n"/>
    </row>
    <row r="41">
      <c r="A41" s="6" t="inlineStr">
        <is>
          <t>Elenco florístico (n.° de taxones)</t>
        </is>
      </c>
      <c r="B41" s="7" t="n">
        <v>15</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Héctor S. Cahuas Miller / Ing. Pedro Talledo Hernández / Ing. Juan Carlos Domínguez Varas (ANIN-DIME-SESDI)</t>
        </is>
      </c>
      <c r="C44" s="6" t="inlineStr">
        <is>
          <t>Fecha de evaluación</t>
        </is>
      </c>
      <c r="D44" s="7" t="inlineStr">
        <is>
          <t>2026-06-10</t>
        </is>
      </c>
      <c r="E44" s="8" t="n"/>
      <c r="F44" s="8" t="n"/>
    </row>
    <row r="45">
      <c r="A45" s="6" t="inlineStr">
        <is>
          <t>Hora de registro</t>
        </is>
      </c>
      <c r="B45" s="7" t="inlineStr">
        <is>
          <t>11:30 h</t>
        </is>
      </c>
      <c r="C45" s="6" t="inlineStr">
        <is>
          <t>Correlativo de ficha</t>
        </is>
      </c>
      <c r="D45" s="7" t="inlineStr">
        <is>
          <t>F-DT-82-2026</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Recorrido (sin parcela permanente)</t>
        </is>
      </c>
      <c r="E47" s="8" t="n"/>
      <c r="F47" s="8" t="n"/>
    </row>
    <row r="48">
      <c r="A48" s="6" t="inlineStr">
        <is>
          <t>Estaciones fotográficas georreferenciadas</t>
        </is>
      </c>
      <c r="B48" s="7" t="n">
        <v>0</v>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7" t="inlineStr">
        <is>
          <t>Presión agropecuaria sostenida sobre laderas de fuerte pendiente, sin prácticas de conservación de suelos</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Media</t>
        </is>
      </c>
      <c r="E52" s="8" t="n"/>
      <c r="F52" s="8" t="n"/>
    </row>
    <row r="53">
      <c r="A53" s="6" t="inlineStr">
        <is>
          <t>Urgencia de control de erosión</t>
        </is>
      </c>
      <c r="B53" s="7" t="inlineStr">
        <is>
          <t>Media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2" t="n"/>
      <c r="C57" s="42" t="n"/>
      <c r="D57" s="42" t="n"/>
      <c r="E57" s="42" t="n"/>
      <c r="F57" s="43"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0"/>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82</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11" t="inlineStr">
        <is>
          <t>&gt; 0.6139 · DN 5</t>
        </is>
      </c>
      <c r="B10" s="32" t="n">
        <v>17.0356</v>
      </c>
      <c r="C10" s="31">
        <f>ROUND(B10/$B$15*100,2)</f>
        <v/>
      </c>
      <c r="D10" s="12" t="inlineStr">
        <is>
          <t>Vigor alto</t>
        </is>
      </c>
      <c r="E10" s="12" t="inlineStr">
        <is>
          <t>Sobre umbral</t>
        </is>
      </c>
    </row>
    <row r="11">
      <c r="A11" s="13" t="inlineStr">
        <is>
          <t>0.4976 - 0.6139 · DN 4</t>
        </is>
      </c>
      <c r="B11" s="20" t="n">
        <v>14.1057</v>
      </c>
      <c r="C11" s="21">
        <f>ROUND(B11/$B$15*100,2)</f>
        <v/>
      </c>
      <c r="D11" s="14" t="inlineStr">
        <is>
          <t>Vigor moderado</t>
        </is>
      </c>
      <c r="E11" s="14" t="inlineStr">
        <is>
          <t>Sobre umbral</t>
        </is>
      </c>
    </row>
    <row r="12">
      <c r="A12" s="7" t="inlineStr">
        <is>
          <t>0.3813 - 0.4976 · DN 3</t>
        </is>
      </c>
      <c r="B12" s="18" t="n">
        <v>4.5199</v>
      </c>
      <c r="C12" s="19">
        <f>ROUND(B12/$B$15*100,2)</f>
        <v/>
      </c>
      <c r="D12" s="15" t="inlineStr">
        <is>
          <t>Vigor bajo</t>
        </is>
      </c>
      <c r="E12" s="15" t="inlineStr">
        <is>
          <t>BAJO umbral 0.4976</t>
        </is>
      </c>
    </row>
    <row r="13">
      <c r="A13" s="13" t="inlineStr">
        <is>
          <t>0.2650 - 0.3813 · DN 2</t>
        </is>
      </c>
      <c r="B13" s="20" t="n">
        <v>0</v>
      </c>
      <c r="C13" s="21">
        <f>ROUND(B13/$B$15*100,2)</f>
        <v/>
      </c>
      <c r="D13" s="14" t="inlineStr">
        <is>
          <t>Vigor muy bajo</t>
        </is>
      </c>
      <c r="E13" s="14" t="inlineStr">
        <is>
          <t>BAJO umbral 0.4976</t>
        </is>
      </c>
    </row>
    <row r="14">
      <c r="A14" s="7" t="inlineStr">
        <is>
          <t>&lt;= 0.2650 · DN 1</t>
        </is>
      </c>
      <c r="B14" s="18" t="n">
        <v>0</v>
      </c>
      <c r="C14" s="19">
        <f>ROUND(B14/$B$15*100,2)</f>
        <v/>
      </c>
      <c r="D14" s="15" t="inlineStr">
        <is>
          <t>Suelo desnudo / no vegetal</t>
        </is>
      </c>
      <c r="E14" s="15" t="inlineStr">
        <is>
          <t>BAJO umbral 0.4976</t>
        </is>
      </c>
    </row>
    <row r="15" ht="30" customHeight="1">
      <c r="A15" s="44" t="inlineStr">
        <is>
          <t>TOTAL CLASIFICADO MSAVI 2024</t>
        </is>
      </c>
      <c r="B15" s="45">
        <f>SUM(B10:B14)</f>
        <v/>
      </c>
      <c r="C15" s="46">
        <f>SUM(C10:C14)</f>
        <v/>
      </c>
      <c r="D15" s="44" t="inlineStr">
        <is>
          <t>Suma de la distribución areal · 119 polígonos</t>
        </is>
      </c>
      <c r="E15" s="44" t="inlineStr">
        <is>
          <t>—</t>
        </is>
      </c>
    </row>
    <row r="16" ht="30" customHeight="1">
      <c r="A16" s="47" t="inlineStr">
        <is>
          <t>Superficie SOBRE umbral 0.4976 (ha)</t>
        </is>
      </c>
      <c r="B16" s="48">
        <f>SUM(B10:B11)</f>
        <v/>
      </c>
      <c r="C16" s="49">
        <f>ROUND(B16/B15*100,2)</f>
        <v/>
      </c>
      <c r="D16" s="47" t="inlineStr">
        <is>
          <t>Vigor alto y moderado (DN 4 y DN 5)</t>
        </is>
      </c>
      <c r="E16" s="47" t="inlineStr">
        <is>
          <t>Sobre umbral 0.4976</t>
        </is>
      </c>
    </row>
    <row r="17" ht="30" customHeight="1">
      <c r="A17" s="47" t="inlineStr">
        <is>
          <t>Superficie BAJO umbral 0.4976 (ha) — brecha</t>
        </is>
      </c>
      <c r="B17" s="48">
        <f>SUM(B12:B14)</f>
        <v/>
      </c>
      <c r="C17" s="49">
        <f>ROUND(B17/B15*100,2)</f>
        <v/>
      </c>
      <c r="D17" s="47" t="inlineStr">
        <is>
          <t>Vigor bajo, muy bajo y suelo desnudo (DN 1 a DN 3)</t>
        </is>
      </c>
      <c r="E17" s="47" t="inlineStr">
        <is>
          <t>Base para el indicador de brecha (R.M. N.° 00213-2024-MINAM)</t>
        </is>
      </c>
    </row>
    <row r="18" ht="30" customHeight="1">
      <c r="A18" s="47" t="inlineStr">
        <is>
          <t>Superficie de catálogo (V5/V6) — contraste MSAVI</t>
        </is>
      </c>
      <c r="B18" s="48" t="n">
        <v>35.66</v>
      </c>
      <c r="C18" s="50" t="inlineStr">
        <is>
          <t>—</t>
        </is>
      </c>
      <c r="D18" s="47" t="inlineStr">
        <is>
          <t>Desviación planimétrica frente al catálogo</t>
        </is>
      </c>
      <c r="E18" s="47" t="inlineStr">
        <is>
          <t>+0.00 %</t>
        </is>
      </c>
    </row>
    <row r="19">
      <c r="A19" s="16" t="inlineStr">
        <is>
          <t>MSAVI 2024 — MEDIA DEL BLOQUE</t>
        </is>
      </c>
      <c r="B19" s="17" t="n">
        <v>0.62835</v>
      </c>
      <c r="C19" s="17" t="inlineStr">
        <is>
          <t>—</t>
        </is>
      </c>
      <c r="D19" s="17" t="inlineStr">
        <is>
          <t>Vigor alto · clase &gt; 0.6139</t>
        </is>
      </c>
      <c r="E19" s="17" t="inlineStr">
        <is>
          <t>Sobre umbral</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119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(0.6283) se conserva del catálogo maestro y es dato oficial; la fila resaltada indica la clase en la que cae dicha media. Los totales y porcentajes se calculan con fórmulas sobre las filas del cuadro.</t>
        </is>
      </c>
      <c r="B21" s="42" t="n"/>
      <c r="C21" s="42" t="n"/>
      <c r="D21" s="42" t="n"/>
      <c r="E21" s="43"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32.1344</v>
      </c>
      <c r="C25" s="19" t="n">
        <v>90.06999999999999</v>
      </c>
      <c r="D25" s="15" t="inlineStr">
        <is>
          <t>Dosel continuo, matorral denso o mosaico agroforestal</t>
        </is>
      </c>
      <c r="E25" s="15" t="inlineStr"/>
    </row>
    <row r="26">
      <c r="A26" s="13" t="inlineStr">
        <is>
          <t>Vegetación mediana</t>
        </is>
      </c>
      <c r="B26" s="20" t="n">
        <v>3.5423</v>
      </c>
      <c r="C26" s="21" t="n">
        <v>9.93</v>
      </c>
      <c r="D26" s="14" t="inlineStr">
        <is>
          <t>Pastizal cultivado, matorral ralo, parcelas agrícolas</t>
        </is>
      </c>
      <c r="E26" s="14" t="inlineStr"/>
    </row>
    <row r="27">
      <c r="A27" s="16" t="inlineStr">
        <is>
          <t>TOTAL CLASIFICADO</t>
        </is>
      </c>
      <c r="B27" s="22">
        <f>SUM(B25:B26)</f>
        <v/>
      </c>
      <c r="C27" s="23">
        <f>SUM(C25:C26)</f>
        <v/>
      </c>
      <c r="D27" s="17" t="inlineStr"/>
      <c r="E27" s="17" t="inlineStr"/>
    </row>
    <row r="28">
      <c r="A28" s="24" t="inlineStr">
        <is>
          <t>Superficie de catálogo (V5/V6)</t>
        </is>
      </c>
      <c r="B28" s="25" t="n">
        <v>35.66</v>
      </c>
      <c r="C28" s="25" t="inlineStr">
        <is>
          <t>—</t>
        </is>
      </c>
      <c r="D28" s="25" t="inlineStr">
        <is>
          <t>Desviación planimétrica frente al catálogo</t>
        </is>
      </c>
      <c r="E28" s="25" t="inlineStr">
        <is>
          <t>+0.05 %</t>
        </is>
      </c>
    </row>
    <row r="29"/>
    <row r="30" ht="108" customHeight="1">
      <c r="A30"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80 % frente a un 90.07 % del polígono clasificado como «Vegetación alta» por el NDVI 2025; la observación de campo corresponde a una parcela o recorrido puntual y no es estadísticamente representativa de las 35.660 ha del bloque.</t>
        </is>
      </c>
      <c r="B30" s="42" t="n"/>
      <c r="C30" s="42" t="n"/>
      <c r="D30" s="42" t="n"/>
      <c r="E30" s="43" t="n"/>
    </row>
  </sheetData>
  <mergeCells count="10">
    <mergeCell ref="A30:E30"/>
    <mergeCell ref="A21:E21"/>
    <mergeCell ref="A4:E4"/>
    <mergeCell ref="A2:E2"/>
    <mergeCell ref="A1:E1"/>
    <mergeCell ref="A23:E23"/>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0"/>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82</t>
        </is>
      </c>
    </row>
    <row r="6" ht="24" customHeight="1">
      <c r="A6" s="4" t="inlineStr">
        <is>
          <t>Levantamiento del 2026-06-10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5" t="inlineStr">
        <is>
          <t>Punto de muestreo declarado en ficha DT</t>
        </is>
      </c>
      <c r="C10" s="26" t="n">
        <v>621160</v>
      </c>
      <c r="D10" s="26" t="n">
        <v>9444038</v>
      </c>
      <c r="E10" s="15" t="n">
        <v>344.6</v>
      </c>
      <c r="F10" s="15" t="inlineStr"/>
      <c r="G10" s="15" t="inlineStr">
        <is>
          <t>Coordenada consignada en F-DT-01</t>
        </is>
      </c>
    </row>
    <row r="11">
      <c r="A11" s="13" t="inlineStr">
        <is>
          <t>C-01</t>
        </is>
      </c>
      <c r="B11" s="14" t="inlineStr">
        <is>
          <t>Rasgo erosivo — Por determinar</t>
        </is>
      </c>
      <c r="C11" s="27" t="n">
        <v>621081</v>
      </c>
      <c r="D11" s="27" t="n">
        <v>9444077</v>
      </c>
      <c r="E11" s="14" t="n">
        <v>432.3</v>
      </c>
      <c r="F11" s="14" t="inlineStr">
        <is>
          <t>Activa</t>
        </is>
      </c>
      <c r="G11" s="14" t="inlineStr">
        <is>
          <t>Otro (talud de corte de trocha)</t>
        </is>
      </c>
    </row>
    <row r="12">
      <c r="A12" s="7" t="inlineStr">
        <is>
          <t>C-02</t>
        </is>
      </c>
      <c r="B12" s="15" t="inlineStr">
        <is>
          <t>Rasgo erosivo — Por determinar</t>
        </is>
      </c>
      <c r="C12" s="26" t="n">
        <v>621119</v>
      </c>
      <c r="D12" s="26" t="n">
        <v>9444053</v>
      </c>
      <c r="E12" s="15" t="n">
        <v>387.4</v>
      </c>
      <c r="F12" s="15" t="inlineStr">
        <is>
          <t>Activa</t>
        </is>
      </c>
      <c r="G12" s="15" t="inlineStr">
        <is>
          <t>Por determinar</t>
        </is>
      </c>
    </row>
    <row r="13">
      <c r="A13" s="13" t="inlineStr">
        <is>
          <t>C-03</t>
        </is>
      </c>
      <c r="B13" s="14" t="inlineStr">
        <is>
          <t>Rasgo erosivo — Por determinar</t>
        </is>
      </c>
      <c r="C13" s="27" t="n">
        <v>621188</v>
      </c>
      <c r="D13" s="27" t="n">
        <v>9444024</v>
      </c>
      <c r="E13" s="14" t="n">
        <v>313.5</v>
      </c>
      <c r="F13" s="14" t="inlineStr">
        <is>
          <t>Semi-activa</t>
        </is>
      </c>
      <c r="G13" s="14" t="inlineStr">
        <is>
          <t>Quema</t>
        </is>
      </c>
    </row>
    <row r="14">
      <c r="A14" s="7" t="inlineStr">
        <is>
          <t>H-01</t>
        </is>
      </c>
      <c r="B14" s="15" t="inlineStr">
        <is>
          <t>Fuente de agua — Quebrada estacional</t>
        </is>
      </c>
      <c r="C14" s="26" t="n">
        <v>621000</v>
      </c>
      <c r="D14" s="26" t="n">
        <v>9443900</v>
      </c>
      <c r="E14" s="15" t="n">
        <v>454.2</v>
      </c>
      <c r="F14" s="15" t="inlineStr">
        <is>
          <t>Estacional</t>
        </is>
      </c>
      <c r="G14" s="15" t="inlineStr">
        <is>
          <t>Quebrada tributaria</t>
        </is>
      </c>
    </row>
    <row r="15">
      <c r="A15" s="16" t="inlineStr">
        <is>
          <t>TOTAL: 5 puntos</t>
        </is>
      </c>
      <c r="B15" s="17" t="inlineStr"/>
      <c r="C15" s="17" t="inlineStr"/>
      <c r="D15" s="17" t="inlineStr"/>
      <c r="E15" s="17" t="inlineStr"/>
      <c r="F15" s="17" t="inlineStr"/>
      <c r="G15" s="17" t="inlineStr"/>
    </row>
    <row r="17">
      <c r="A17" s="6" t="inlineStr">
        <is>
          <t>Centroide del bloque — UTM ESTE (m)</t>
        </is>
      </c>
      <c r="B17" s="7" t="n">
        <v>621452</v>
      </c>
      <c r="C17" s="6" t="inlineStr">
        <is>
          <t>Centroide del bloque — UTM NORTE (m)</t>
        </is>
      </c>
      <c r="D17" s="7" t="n">
        <v>9443855</v>
      </c>
      <c r="E17" s="8" t="n"/>
      <c r="F17" s="8" t="n"/>
      <c r="G17" s="8" t="n"/>
      <c r="H17" s="8" t="n"/>
    </row>
    <row r="18">
      <c r="A18" s="6" t="inlineStr">
        <is>
          <t>N.° de estaciones fotográficas declaradas</t>
        </is>
      </c>
      <c r="B18" s="7" t="n">
        <v>0</v>
      </c>
      <c r="C18" s="6" t="inlineStr">
        <is>
          <t>Estaciones dentro del polígono</t>
        </is>
      </c>
      <c r="D18" s="7" t="n">
        <v>0</v>
      </c>
      <c r="E18" s="8" t="n"/>
      <c r="F18" s="8" t="n"/>
      <c r="G18" s="8" t="n"/>
      <c r="H18" s="8" t="n"/>
    </row>
    <row r="20" ht="132" customHeight="1">
      <c r="A20"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Pendiente media del recorrido 34.6% y máxima 55.3% (perfil Google Earth, longitud ≈554 m, cotas 1 833-2 029 msnm). LAS EVIDENCIAS DE INESTABILIDAD (escarpes y desprendimientos) SE CONCENTRAN EN LOS TALUDES DE CORTE DE LA TROCHA AFIRMADA (periferia/franja vial), NO EN LA SUPERFICIE NATURAL DEL BLOQUE. Coordenadas fotográficas pueden presentar leve error por señal GPS de celular. Bloque seleccionado por su rol en la REGULACIÓN DE MOVIMIENTOS EN MASA Y DE LA ESCORRENTÍA en la zona de origen de los peligros (cabecera de microcuenca). TIPO DE INTERVENCIÓN: REVEGETACIÓN (no restauración).</t>
        </is>
      </c>
      <c r="B20" s="42" t="n"/>
      <c r="C20" s="42" t="n"/>
      <c r="D20" s="42" t="n"/>
      <c r="E20" s="42" t="n"/>
      <c r="F20" s="42" t="n"/>
      <c r="G20" s="43" t="n"/>
    </row>
  </sheetData>
  <mergeCells count="8">
    <mergeCell ref="A1:G1"/>
    <mergeCell ref="A8:G8"/>
    <mergeCell ref="A3:G3"/>
    <mergeCell ref="A6:G6"/>
    <mergeCell ref="A4:G4"/>
    <mergeCell ref="A20:G20"/>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6"/>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C1086-Q9570 — BLOQUE 82</t>
        </is>
      </c>
    </row>
    <row r="6" ht="24" customHeight="1">
      <c r="A6" s="4" t="inlineStr">
        <is>
          <t>Distrito de Santo Domingo · Provincia de Morropon · Comparación de los bloques preliminares de intervención de la misma microcuenca</t>
        </is>
      </c>
    </row>
    <row r="7"/>
    <row r="8" ht="18" customHeight="1">
      <c r="A8" s="5" t="inlineStr">
        <is>
          <t>BLOQUES DE LA MICROCUENCA C1086-Q9570</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12</t>
        </is>
      </c>
      <c r="B10" s="28" t="n">
        <v>119.54</v>
      </c>
      <c r="C10" s="19" t="n">
        <v>14</v>
      </c>
      <c r="D10" s="15" t="inlineStr">
        <is>
          <t>672 – 2244</t>
        </is>
      </c>
      <c r="E10" s="15" t="n">
        <v>1572</v>
      </c>
      <c r="F10" s="15" t="n">
        <v>27.41</v>
      </c>
      <c r="G10" s="18" t="n">
        <v>0.7067</v>
      </c>
      <c r="H10" s="19" t="n">
        <v>99.93000000000001</v>
      </c>
      <c r="I10" s="19" t="n">
        <v>0.07000000000000001</v>
      </c>
    </row>
    <row r="11">
      <c r="A11" s="13" t="inlineStr">
        <is>
          <t>11</t>
        </is>
      </c>
      <c r="B11" s="29" t="n">
        <v>103.95</v>
      </c>
      <c r="C11" s="21" t="n">
        <v>12.17</v>
      </c>
      <c r="D11" s="14" t="inlineStr">
        <is>
          <t>1375 – 1928</t>
        </is>
      </c>
      <c r="E11" s="14" t="n">
        <v>553</v>
      </c>
      <c r="F11" s="14" t="n">
        <v>32.19</v>
      </c>
      <c r="G11" s="20" t="n">
        <v>0.6047</v>
      </c>
      <c r="H11" s="21" t="n">
        <v>75.28</v>
      </c>
      <c r="I11" s="21" t="n">
        <v>11.34</v>
      </c>
    </row>
    <row r="12">
      <c r="A12" s="7" t="inlineStr">
        <is>
          <t>17</t>
        </is>
      </c>
      <c r="B12" s="28" t="n">
        <v>96.08</v>
      </c>
      <c r="C12" s="19" t="n">
        <v>11.25</v>
      </c>
      <c r="D12" s="15" t="inlineStr">
        <is>
          <t>1253 – 1880</t>
        </is>
      </c>
      <c r="E12" s="15" t="n">
        <v>627</v>
      </c>
      <c r="F12" s="15" t="n">
        <v>35.56</v>
      </c>
      <c r="G12" s="18" t="n">
        <v>0.6479</v>
      </c>
      <c r="H12" s="19" t="n">
        <v>88.68000000000001</v>
      </c>
      <c r="I12" s="19" t="n">
        <v>2.09</v>
      </c>
    </row>
    <row r="13">
      <c r="A13" s="13" t="inlineStr">
        <is>
          <t>14</t>
        </is>
      </c>
      <c r="B13" s="29" t="n">
        <v>92.90000000000001</v>
      </c>
      <c r="C13" s="21" t="n">
        <v>10.88</v>
      </c>
      <c r="D13" s="14" t="inlineStr">
        <is>
          <t>87 – 1355</t>
        </is>
      </c>
      <c r="E13" s="14" t="n">
        <v>1268</v>
      </c>
      <c r="F13" s="14" t="n">
        <v>23.75</v>
      </c>
      <c r="G13" s="20" t="n">
        <v>0.5197000000000001</v>
      </c>
      <c r="H13" s="21" t="n">
        <v>58.89</v>
      </c>
      <c r="I13" s="21" t="n">
        <v>39.02</v>
      </c>
    </row>
    <row r="14">
      <c r="A14" s="7" t="inlineStr">
        <is>
          <t>15</t>
        </is>
      </c>
      <c r="B14" s="28" t="n">
        <v>86.15000000000001</v>
      </c>
      <c r="C14" s="19" t="n">
        <v>10.09</v>
      </c>
      <c r="D14" s="15" t="inlineStr">
        <is>
          <t>1199 – 1655</t>
        </is>
      </c>
      <c r="E14" s="15" t="n">
        <v>456</v>
      </c>
      <c r="F14" s="15" t="n">
        <v>26.19</v>
      </c>
      <c r="G14" s="18" t="n">
        <v>0.5605</v>
      </c>
      <c r="H14" s="19" t="n">
        <v>56.47</v>
      </c>
      <c r="I14" s="19" t="n">
        <v>22.48</v>
      </c>
    </row>
    <row r="15">
      <c r="A15" s="13" t="inlineStr">
        <is>
          <t>23</t>
        </is>
      </c>
      <c r="B15" s="29" t="n">
        <v>81.78</v>
      </c>
      <c r="C15" s="21" t="n">
        <v>9.58</v>
      </c>
      <c r="D15" s="14" t="inlineStr">
        <is>
          <t>521 – 973</t>
        </is>
      </c>
      <c r="E15" s="14" t="n">
        <v>452</v>
      </c>
      <c r="F15" s="14" t="n">
        <v>35.28</v>
      </c>
      <c r="G15" s="20" t="n">
        <v>0.5731000000000001</v>
      </c>
      <c r="H15" s="21" t="n">
        <v>47.99</v>
      </c>
      <c r="I15" s="21" t="n">
        <v>18.75</v>
      </c>
    </row>
    <row r="16">
      <c r="A16" s="7" t="inlineStr">
        <is>
          <t>42</t>
        </is>
      </c>
      <c r="B16" s="28" t="n">
        <v>80.62</v>
      </c>
      <c r="C16" s="19" t="n">
        <v>9.44</v>
      </c>
      <c r="D16" s="15" t="inlineStr">
        <is>
          <t>1131 – 1548</t>
        </is>
      </c>
      <c r="E16" s="15" t="n">
        <v>417</v>
      </c>
      <c r="F16" s="15" t="n">
        <v>27.86</v>
      </c>
      <c r="G16" s="18" t="n">
        <v>0.6348</v>
      </c>
      <c r="H16" s="19" t="n">
        <v>88.83</v>
      </c>
      <c r="I16" s="19" t="n">
        <v>5.64</v>
      </c>
    </row>
    <row r="17">
      <c r="A17" s="13" t="inlineStr">
        <is>
          <t>M19B2</t>
        </is>
      </c>
      <c r="B17" s="29" t="n">
        <v>74.37</v>
      </c>
      <c r="C17" s="21" t="n">
        <v>8.710000000000001</v>
      </c>
      <c r="D17" s="14" t="inlineStr">
        <is>
          <t>203 – 523</t>
        </is>
      </c>
      <c r="E17" s="14" t="n">
        <v>320</v>
      </c>
      <c r="F17" s="14" t="n">
        <v>21.71</v>
      </c>
      <c r="G17" s="20" t="n">
        <v>0.4012</v>
      </c>
      <c r="H17" s="21" t="n">
        <v>1.28</v>
      </c>
      <c r="I17" s="21" t="n">
        <v>96.23999999999999</v>
      </c>
    </row>
    <row r="18">
      <c r="A18" s="11" t="inlineStr">
        <is>
          <t>► 82</t>
        </is>
      </c>
      <c r="B18" s="30" t="n">
        <v>35.66</v>
      </c>
      <c r="C18" s="31" t="n">
        <v>4.18</v>
      </c>
      <c r="D18" s="12" t="inlineStr">
        <is>
          <t>1796 – 2098</t>
        </is>
      </c>
      <c r="E18" s="12" t="n">
        <v>302</v>
      </c>
      <c r="F18" s="12" t="n">
        <v>23.55</v>
      </c>
      <c r="G18" s="32" t="n">
        <v>0.6283</v>
      </c>
      <c r="H18" s="31" t="n">
        <v>90.06999999999999</v>
      </c>
      <c r="I18" s="31" t="n">
        <v>12.67</v>
      </c>
    </row>
    <row r="19">
      <c r="A19" s="13" t="inlineStr">
        <is>
          <t>78</t>
        </is>
      </c>
      <c r="B19" s="29" t="n">
        <v>35.1</v>
      </c>
      <c r="C19" s="21" t="n">
        <v>4.11</v>
      </c>
      <c r="D19" s="14" t="inlineStr">
        <is>
          <t>1908 – 2236</t>
        </is>
      </c>
      <c r="E19" s="14" t="n">
        <v>328</v>
      </c>
      <c r="F19" s="14" t="n">
        <v>30.64</v>
      </c>
      <c r="G19" s="20" t="n">
        <v>0.7074</v>
      </c>
      <c r="H19" s="21" t="n">
        <v>89.33</v>
      </c>
      <c r="I19" s="21" t="n">
        <v>1.77</v>
      </c>
    </row>
    <row r="20">
      <c r="A20" s="7" t="inlineStr">
        <is>
          <t>M19B7</t>
        </is>
      </c>
      <c r="B20" s="28" t="n">
        <v>34.17</v>
      </c>
      <c r="C20" s="19" t="n">
        <v>4</v>
      </c>
      <c r="D20" s="15" t="inlineStr">
        <is>
          <t>1213 – 1578</t>
        </is>
      </c>
      <c r="E20" s="15" t="n">
        <v>365</v>
      </c>
      <c r="F20" s="15" t="n">
        <v>28.15</v>
      </c>
      <c r="G20" s="18" t="n">
        <v>0.5919</v>
      </c>
      <c r="H20" s="19" t="n">
        <v>78.52</v>
      </c>
      <c r="I20" s="19" t="n">
        <v>5.85</v>
      </c>
    </row>
    <row r="21">
      <c r="A21" s="13" t="inlineStr">
        <is>
          <t>59</t>
        </is>
      </c>
      <c r="B21" s="29" t="n">
        <v>13.55</v>
      </c>
      <c r="C21" s="21" t="n">
        <v>1.59</v>
      </c>
      <c r="D21" s="14" t="inlineStr">
        <is>
          <t>2045 – 2218</t>
        </is>
      </c>
      <c r="E21" s="14" t="n">
        <v>173</v>
      </c>
      <c r="F21" s="14" t="n">
        <v>29.85</v>
      </c>
      <c r="G21" s="20" t="n">
        <v>0.6147</v>
      </c>
      <c r="H21" s="21" t="n">
        <v>86.56999999999999</v>
      </c>
      <c r="I21" s="21" t="n">
        <v>13.72</v>
      </c>
    </row>
    <row r="22">
      <c r="A22" s="16" t="inlineStr">
        <is>
          <t>TOTAL / PROMEDIO</t>
        </is>
      </c>
      <c r="B22" s="33">
        <f>SUM(B10:B21)</f>
        <v/>
      </c>
      <c r="C22" s="23">
        <f>SUM(C10:C21)</f>
        <v/>
      </c>
      <c r="D22" s="17" t="inlineStr">
        <is>
          <t>87 – 2244</t>
        </is>
      </c>
      <c r="E22" s="17" t="inlineStr"/>
      <c r="F22" s="17">
        <f>ROUND(AVERAGE(F10:F21),2)</f>
        <v/>
      </c>
      <c r="G22" s="22">
        <f>ROUND(AVERAGE(G10:G21),4)</f>
        <v/>
      </c>
      <c r="H22" s="23">
        <f>ROUND(AVERAGE(H10:H21),2)</f>
        <v/>
      </c>
      <c r="I22" s="23">
        <f>ROUND(AVERAGE(I10:I21),2)</f>
        <v/>
      </c>
    </row>
    <row r="23"/>
    <row r="24" ht="84" customHeight="1">
      <c r="A24" s="9" t="inlineStr">
        <is>
          <t>LECTURA INTRAMICROCUENCA. El bloque 82 ocupa el puesto 9 de 12 por superficie dentro de la microcuenca C1086-Q9570 (4.18 % de las 853.87 ha preliminares de la microcuenca). Su pendiente promedio (23.55 %, clase «15-25% (Fuert. inclinado)») es la 2.ª más baja de 12 y se sitúa por debajo del promedio de la microcuenca (28.51 %). Su MSAVI 2024 (0.6283) es el 5.º de 12 y queda por encima del promedio local (0.5993). Amplitud altitudinal del bloque: 302 m (1796–2098 msnm). El cuadro conserva todos los bloques catalogados en la microcuenca, incluidos los descartados en el tamizaje, para referencia del conjunto. Los bloques sin ficha DT figuran con sus parámetros de gabinete. BRECHA ESPECTRAL. El 12.67 % de la superficie del bloque (4.520 ha de 35.661 ha) se sitúa bajo el umbral MSAVI 0.4976, por debajo del promedio local de la microcuenca (19.14 %) calculado sobre los bloques con dato MSAVI disponible.</t>
        </is>
      </c>
      <c r="B24" s="42" t="n"/>
      <c r="C24" s="42" t="n"/>
      <c r="D24" s="42" t="n"/>
      <c r="E24" s="42" t="n"/>
      <c r="F24" s="42" t="n"/>
      <c r="G24" s="42" t="n"/>
      <c r="H24" s="43" t="n"/>
    </row>
    <row r="25"/>
    <row r="26" ht="60" customHeight="1">
      <c r="A26"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6" s="42" t="n"/>
      <c r="C26" s="42" t="n"/>
      <c r="D26" s="42" t="n"/>
      <c r="E26" s="42" t="n"/>
      <c r="F26" s="42" t="n"/>
      <c r="G26" s="42" t="n"/>
      <c r="H26" s="43" t="n"/>
    </row>
  </sheetData>
  <mergeCells count="9">
    <mergeCell ref="A1:I1"/>
    <mergeCell ref="A4:I4"/>
    <mergeCell ref="A3:I3"/>
    <mergeCell ref="A26:I26"/>
    <mergeCell ref="A24:I24"/>
    <mergeCell ref="A2:I2"/>
    <mergeCell ref="A5:I5"/>
    <mergeCell ref="A8:I8"/>
    <mergeCell ref="A6:I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1"/>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82</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«C1086-Q9570»</t>
        </is>
      </c>
      <c r="D10" s="35" t="inlineStr">
        <is>
          <t>CONFORME</t>
        </is>
      </c>
      <c r="E10" s="34" t="inlineStr">
        <is>
          <t>Sin acción.</t>
        </is>
      </c>
    </row>
    <row r="11" ht="48" customHeight="1">
      <c r="A11" s="36" t="inlineStr">
        <is>
          <t>D-02</t>
        </is>
      </c>
      <c r="B11" s="36" t="inlineStr">
        <is>
          <t>UTM del punto de muestreo</t>
        </is>
      </c>
      <c r="C11" s="36" t="inlineStr">
        <is>
          <t>El punto de muestreo declarado dista 345 m del centroide de catálogo, compatible con la extensión del bloque</t>
        </is>
      </c>
      <c r="D11" s="35" t="inlineStr">
        <is>
          <t>CONFORME</t>
        </is>
      </c>
      <c r="E11" s="36" t="inlineStr">
        <is>
          <t>Sin acción.</t>
        </is>
      </c>
    </row>
    <row r="12" ht="48" customHeight="1">
      <c r="A12" s="34" t="inlineStr">
        <is>
          <t>D-03</t>
        </is>
      </c>
      <c r="B12" s="34" t="inlineStr">
        <is>
          <t>Superficie del polígono</t>
        </is>
      </c>
      <c r="C12" s="34" t="inlineStr">
        <is>
          <t>La superficie clasificada por el NDVI 2025 (35.677 ha) coincide con la de catálogo (35.66 ha) dentro del ±2 % (+0.05 %)</t>
        </is>
      </c>
      <c r="D12" s="35" t="inlineStr">
        <is>
          <t>CONFORME</t>
        </is>
      </c>
      <c r="E12" s="34" t="inlineStr">
        <is>
          <t>Sin acción: la segmentación valida la geometría del bloque.</t>
        </is>
      </c>
    </row>
    <row r="13" ht="48" customHeight="1">
      <c r="A13" s="36" t="inlineStr">
        <is>
          <t>D-04</t>
        </is>
      </c>
      <c r="B13" s="36" t="inlineStr">
        <is>
          <t>Rango de pendiente dominante</t>
        </is>
      </c>
      <c r="C13" s="36" t="inlineStr">
        <is>
          <t>La ficha DT declara «25-50% (Mod. escarpado)»; la estadística zonal sobre el MDE arroja una pendiente promedio de 23.55 %, que corresponde a la clase «15-25% (Fuert. inclinado)»</t>
        </is>
      </c>
      <c r="D13" s="12" t="inlineStr">
        <is>
          <t>NO SUSTANTIVA</t>
        </is>
      </c>
      <c r="E13" s="36" t="inlineStr">
        <is>
          <t>Se conserva el registro de campo como observación de sector y se adopta el valor del MDE para el cálculo intramicrocuenca. La divergencia es esperable: el dato de campo es puntual y el del MDE es promedio del polígono.</t>
        </is>
      </c>
    </row>
    <row r="14" ht="48" customHeight="1">
      <c r="A14" s="34" t="inlineStr">
        <is>
          <t>D-05</t>
        </is>
      </c>
      <c r="B14" s="34" t="inlineStr">
        <is>
          <t>Cobertura vegetal total</t>
        </is>
      </c>
      <c r="C14" s="34" t="inlineStr">
        <is>
          <t>La ficha DT estima 80 % de cobertura vegetal en campo; el NDVI mediana 2025 clasifica 100.00 % del polígono en clases de vegetación</t>
        </is>
      </c>
      <c r="D14" s="12" t="inlineStr">
        <is>
          <t>NO SUSTANTIVA</t>
        </is>
      </c>
      <c r="E14" s="34" t="inlineStr">
        <is>
          <t>Se declaran ambos valores. La observación de campo corresponde a una parcela o recorrido puntual y no es representativa de la totalidad del bloque; el índice espectral no discrimina composición ni integridad ecosistémica.</t>
        </is>
      </c>
    </row>
    <row r="15" ht="48" customHeight="1">
      <c r="A15" s="36" t="inlineStr">
        <is>
          <t>D-06</t>
        </is>
      </c>
      <c r="B15" s="36" t="inlineStr">
        <is>
          <t>Dimensiones del inventario de cárcavas</t>
        </is>
      </c>
      <c r="C15" s="36" t="inlineStr">
        <is>
          <t>Se registran 3 rasgos erosivos, pero longitud, profundidad y ancho no fueron medidos instrumentalmente</t>
        </is>
      </c>
      <c r="D15" s="12" t="inlineStr">
        <is>
          <t>NO SUSTANTIVA</t>
        </is>
      </c>
      <c r="E15" s="36" t="inlineStr">
        <is>
          <t>El conteo registrado no debe usarse para calcular densidad de cárcavas por hectárea. Pendiente de levantamiento con GPS submétrico.</t>
        </is>
      </c>
    </row>
    <row r="16" ht="48" customHeight="1">
      <c r="A16" s="34" t="inlineStr">
        <is>
          <t>D-07</t>
        </is>
      </c>
      <c r="B16" s="34" t="inlineStr">
        <is>
          <t>Representatividad del levantamiento</t>
        </is>
      </c>
      <c r="C16" s="34" t="inlineStr">
        <is>
          <t>Ninguna de las estaciones fotográficas georreferenciadas se localiza dentro del polígono del bloque</t>
        </is>
      </c>
      <c r="D16" s="37" t="inlineStr">
        <is>
          <t>SUSTANTIVA</t>
        </is>
      </c>
      <c r="E16" s="34" t="inlineStr">
        <is>
          <t>La verificación documenta el perímetro y la vista panorámica del bloque, no su interior. Los parámetros que exigen recorrido interno se consignan «Por determinar».</t>
        </is>
      </c>
    </row>
    <row r="17" ht="48" customHeight="1">
      <c r="A17" s="36" t="inlineStr">
        <is>
          <t>D-08</t>
        </is>
      </c>
      <c r="B17" s="36" t="inlineStr">
        <is>
          <t>Centro poblado asociado</t>
        </is>
      </c>
      <c r="C17" s="36" t="inlineStr">
        <is>
          <t>La ficha DT declara «Santa Fe de Portachuelo»; el cruce INEI-Bloques V5 identifica 1 centro(s) poblado(s) en el bloque: SANTA FE DE PORTACHUELO</t>
        </is>
      </c>
      <c r="D17" s="35" t="inlineStr">
        <is>
          <t>CONFORME</t>
        </is>
      </c>
      <c r="E17" s="36" t="inlineStr">
        <is>
          <t>Se conserva el registro de campo como referencia y se adopta el listado INEI para el diagnóstico social y el cálculo de población beneficiaria.</t>
        </is>
      </c>
    </row>
    <row r="18" ht="48" customHeight="1">
      <c r="A18" s="34" t="inlineStr">
        <is>
          <t>D-09</t>
        </is>
      </c>
      <c r="B18" s="34" t="inlineStr">
        <is>
          <t>Peligro integrado (MCA-AHP)</t>
        </is>
      </c>
      <c r="C18" s="34" t="inlineStr">
        <is>
          <t>El nivel de peligro integrado no está disponible en los insumos de este entregable</t>
        </is>
      </c>
      <c r="D18" s="37" t="inlineStr">
        <is>
          <t>SUSTANTIVA</t>
        </is>
      </c>
      <c r="E18" s="34" t="inlineStr">
        <is>
          <t>Debe tomarse del modelamiento de mesolocalización (PMM + EPH + PGI ponderados por AHP) antes de fijar la prioridad definitiva de intervención del bloque.</t>
        </is>
      </c>
    </row>
    <row r="19" ht="48" customHeight="1">
      <c r="A19" s="36" t="inlineStr">
        <is>
          <t>D-10</t>
        </is>
      </c>
      <c r="B19" s="36" t="inlineStr">
        <is>
          <t>Plan de Ingreso</t>
        </is>
      </c>
      <c r="C19" s="36" t="inlineStr">
        <is>
          <t>Altitud = 0 msnm (captura por defecto del aplicativo)</t>
        </is>
      </c>
      <c r="D19" s="38" t="inlineStr">
        <is>
          <t>CORREGIDO</t>
        </is>
      </c>
      <c r="E19" s="36" t="inlineStr">
        <is>
          <t>Se reemplaza por la altitud GPS de campo (1940 msnm)</t>
        </is>
      </c>
    </row>
    <row r="20" ht="48" customHeight="1">
      <c r="A20" s="34" t="inlineStr">
        <is>
          <t>D-11</t>
        </is>
      </c>
      <c r="B20" s="34" t="inlineStr">
        <is>
          <t>F-DT-02</t>
        </is>
      </c>
      <c r="C20" s="34" t="inlineStr">
        <is>
          <t>Las 3 cárcavas inventariadas carecen de tipo, dimensiones y (C-02) de causa</t>
        </is>
      </c>
      <c r="D20" s="12" t="inlineStr">
        <is>
          <t>NO SUSTANTIVA</t>
        </is>
      </c>
      <c r="E20" s="34" t="inlineStr">
        <is>
          <t>Levantamiento instrumental pendiente</t>
        </is>
      </c>
    </row>
    <row r="21" ht="48" customHeight="1">
      <c r="A21" s="36" t="inlineStr">
        <is>
          <t>D-12</t>
        </is>
      </c>
      <c r="B21" s="36" t="inlineStr">
        <is>
          <t>F-DT-04</t>
        </is>
      </c>
      <c r="C21" s="36" t="inlineStr">
        <is>
          <t>Frecuencia de quemas no cuantificada pese a haberse registrado quema reciente de pastizal (C-03)</t>
        </is>
      </c>
      <c r="D21" s="37" t="inlineStr">
        <is>
          <t>SUSTANTIVA</t>
        </is>
      </c>
      <c r="E21" s="36" t="inlineStr">
        <is>
          <t>El indicador no puede consignarse en 0</t>
        </is>
      </c>
    </row>
    <row r="22" ht="48" customHeight="1">
      <c r="A22" s="34" t="inlineStr">
        <is>
          <t>D-13</t>
        </is>
      </c>
      <c r="B22" s="34" t="inlineStr">
        <is>
          <t>F-DT-04</t>
        </is>
      </c>
      <c r="C22" s="34" t="inlineStr">
        <is>
          <t>Densidad de cárcavas y carga ganadera sin valor</t>
        </is>
      </c>
      <c r="D22" s="12" t="inlineStr">
        <is>
          <t>NO SUSTANTIVA</t>
        </is>
      </c>
      <c r="E22" s="34" t="inlineStr">
        <is>
          <t>Cuantificación pendiente</t>
        </is>
      </c>
    </row>
    <row r="23" ht="48" customHeight="1">
      <c r="A23" s="36" t="inlineStr">
        <is>
          <t>D-14</t>
        </is>
      </c>
      <c r="B23" s="36" t="inlineStr">
        <is>
          <t>F-DT-03</t>
        </is>
      </c>
      <c r="C23" s="36" t="inlineStr">
        <is>
          <t>Lista florística basada en juicio de experto sobre fotografías y literatura regional, no en colecta</t>
        </is>
      </c>
      <c r="D23" s="37" t="inlineStr">
        <is>
          <t>SUSTANTIVA</t>
        </is>
      </c>
      <c r="E23" s="36" t="inlineStr">
        <is>
          <t>Determinación botánica formal pendiente</t>
        </is>
      </c>
    </row>
    <row r="24" ht="48" customHeight="1">
      <c r="A24" s="34" t="inlineStr">
        <is>
          <t>D-15</t>
        </is>
      </c>
      <c r="B24" s="34" t="inlineStr">
        <is>
          <t>F-DT-03</t>
        </is>
      </c>
      <c r="C24" s="34" t="inlineStr">
        <is>
          <t>El bloque integra 3 ecosistemas MINAM (Ma 25.14 ha, Agri 7.37 ha, Br-mvoc 3.15 ha)</t>
        </is>
      </c>
      <c r="D24" s="12" t="inlineStr">
        <is>
          <t>NO SUSTANTIVA</t>
        </is>
      </c>
      <c r="E24" s="34" t="inlineStr">
        <is>
          <t>La zona agrícola (7.37 ha) debe excluirse del área efectiva en el tamizaje predial</t>
        </is>
      </c>
    </row>
    <row r="25" ht="48" customHeight="1">
      <c r="A25" s="34" t="inlineStr">
        <is>
          <t>D-16</t>
        </is>
      </c>
      <c r="B25" s="34" t="inlineStr">
        <is>
          <t>Distribución areal MSAVI 2024</t>
        </is>
      </c>
      <c r="C25" s="34" t="inlineStr">
        <is>
          <t>La distribución por clase de MSAVI no figuraba en los insumos del entregable y se consignaba «Por determinar»; se incorpora la estadística zonal del ráster MSAVI clasificado (119 polígonos, 35.661 ha)</t>
        </is>
      </c>
      <c r="D25" s="12" t="inlineStr">
        <is>
          <t>CORREGIDO</t>
        </is>
      </c>
      <c r="E25" s="34"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26" ht="48" customHeight="1">
      <c r="A26" s="34" t="inlineStr">
        <is>
          <t>D-17</t>
        </is>
      </c>
      <c r="B26" s="34" t="inlineStr">
        <is>
          <t>Superficie MSAVI vs. catálogo</t>
        </is>
      </c>
      <c r="C26" s="34" t="inlineStr">
        <is>
          <t>La superficie total clasificada por el MSAVI 2024 (35.661 ha) frente a la de catálogo V5/V6 (35.660 ha): desviación de +0.00 %</t>
        </is>
      </c>
      <c r="D26" s="12" t="inlineStr">
        <is>
          <t>CONFORME</t>
        </is>
      </c>
      <c r="E26" s="34" t="inlineStr">
        <is>
          <t>Sin acción: la segmentación del ráster valida la geometría del bloque dentro del ±2 %.</t>
        </is>
      </c>
    </row>
    <row r="27" ht="48" customHeight="1">
      <c r="A27" s="34" t="inlineStr">
        <is>
          <t>D-18</t>
        </is>
      </c>
      <c r="B27" s="34" t="inlineStr">
        <is>
          <t>Media MSAVI vs. clase DN dominante</t>
        </is>
      </c>
      <c r="C27" s="34" t="inlineStr">
        <is>
          <t>La media del bloque (0.6283) cae en la clase «DN 5 · &gt; 0.6139 (Vigor alto)»; la clase de mayor superficie es «DN 5 · &gt; 0.6139 (Vigor alto)», con 47.77 % del bloque. Superficie bajo el umbral 0.4976: 4.520 ha (12.67 %)</t>
        </is>
      </c>
      <c r="D27" s="12" t="inlineStr">
        <is>
          <t>CONFORME</t>
        </is>
      </c>
      <c r="E27" s="34" t="inlineStr">
        <is>
          <t>Sin acción: la media del bloque y la clase de mayor superficie coinciden.</t>
        </is>
      </c>
    </row>
    <row r="28"/>
    <row r="29">
      <c r="A29" s="16" t="inlineStr">
        <is>
          <t>RESUMEN</t>
        </is>
      </c>
      <c r="B29" s="17" t="inlineStr">
        <is>
          <t>18 verificaciones</t>
        </is>
      </c>
      <c r="C29" s="17" t="inlineStr">
        <is>
          <t>CONFORME: 6 · CORREGIDO: 2 · NO SUSTANTIVA: 6 · SUSTANTIVA: 4</t>
        </is>
      </c>
      <c r="D29" s="17" t="inlineStr"/>
      <c r="E29" s="17" t="inlineStr"/>
    </row>
    <row r="30"/>
    <row r="31" ht="60" customHeight="1">
      <c r="A31"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31" s="42" t="n"/>
      <c r="C31" s="42" t="n"/>
      <c r="D31" s="42" t="n"/>
      <c r="E31" s="43" t="n"/>
    </row>
  </sheetData>
  <mergeCells count="8">
    <mergeCell ref="A4:E4"/>
    <mergeCell ref="A2:E2"/>
    <mergeCell ref="A8:E8"/>
    <mergeCell ref="A5:E5"/>
    <mergeCell ref="A1:E1"/>
    <mergeCell ref="A31:E31"/>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82 — IN Piura</dc:title>
  <dc:subject>Diagnóstico Territorial por bloque de intervención</dc:subject>
  <dcterms:created xsi:type="dcterms:W3CDTF">2026-09-08T03:39:57Z</dcterms:created>
  <dcterms:modified xsi:type="dcterms:W3CDTF">2026-09-09T23:30:53Z</dcterms:modified>
</cp:coreProperties>
</file>