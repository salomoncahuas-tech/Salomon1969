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49</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 (caserío Pajal, sector central del bloque)</t>
        </is>
      </c>
      <c r="C13" s="6" t="inlineStr">
        <is>
          <t>Comunidad campesina</t>
        </is>
      </c>
      <c r="D13" s="7" t="inlineStr">
        <is>
          <t>No aplica — predios rurales de propiedad privada dedicados a pastoreo y ganadería</t>
        </is>
      </c>
      <c r="E13" s="8" t="n"/>
      <c r="F13" s="8" t="n"/>
    </row>
    <row r="14">
      <c r="A14" s="6" t="inlineStr">
        <is>
          <t>Superficie de catálogo (V5/V6), ha</t>
        </is>
      </c>
      <c r="B14" s="7" t="n">
        <v>15.84</v>
      </c>
      <c r="C14" s="6" t="inlineStr">
        <is>
          <t>Fuente de superficie</t>
        </is>
      </c>
      <c r="D14" s="7" t="inlineStr">
        <is>
          <t>Catálogo maestro Bloques V5/V6</t>
        </is>
      </c>
      <c r="E14" s="8" t="n"/>
      <c r="F14" s="8" t="n"/>
    </row>
    <row r="15">
      <c r="A15" s="6" t="inlineStr">
        <is>
          <t>Centroide UTM ESTE (m)</t>
        </is>
      </c>
      <c r="B15" s="7" t="n">
        <v>642334</v>
      </c>
      <c r="C15" s="6" t="inlineStr">
        <is>
          <t>Centroide UTM NORTE (m)</t>
        </is>
      </c>
      <c r="D15" s="7" t="n">
        <v>9438263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3065</v>
      </c>
      <c r="C19" s="6" t="inlineStr">
        <is>
          <t>Altitud máxima (msnm)</t>
        </is>
      </c>
      <c r="D19" s="7" t="n">
        <v>3246</v>
      </c>
      <c r="E19" s="8" t="n"/>
      <c r="F19" s="8" t="n"/>
    </row>
    <row r="20">
      <c r="A20" s="6" t="inlineStr">
        <is>
          <t>Amplitud altitudinal (m)</t>
        </is>
      </c>
      <c r="B20" s="7" t="n">
        <v>181</v>
      </c>
      <c r="C20" s="6" t="inlineStr">
        <is>
          <t>Piso altitudinal dominante</t>
        </is>
      </c>
      <c r="D20" s="7" t="inlineStr">
        <is>
          <t>3000-3500 m (Puna baja)</t>
        </is>
      </c>
      <c r="E20" s="8" t="n"/>
      <c r="F20" s="8" t="n"/>
    </row>
    <row r="21">
      <c r="A21" s="6" t="inlineStr">
        <is>
          <t>Pendiente promedio (%)</t>
        </is>
      </c>
      <c r="B21" s="7" t="n">
        <v>25.96</v>
      </c>
      <c r="C21" s="6" t="inlineStr">
        <is>
          <t>Pendiente promedio (grados)</t>
        </is>
      </c>
      <c r="D21" s="7" t="n">
        <v>14.6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0.6860000000000001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(98.80 %)</t>
        </is>
      </c>
      <c r="E29" s="8" t="n"/>
      <c r="F29" s="8" t="n"/>
    </row>
    <row r="30">
      <c r="A30" s="6" t="inlineStr">
        <is>
          <t>Superficie clasificada NDVI 2025 (ha)</t>
        </is>
      </c>
      <c r="B30" s="7" t="n">
        <v>15.844</v>
      </c>
      <c r="C30" s="6" t="inlineStr">
        <is>
          <t>Desviación frente al catálogo (%)</t>
        </is>
      </c>
      <c r="D30" s="7" t="n">
        <v>0.02</v>
      </c>
      <c r="E30" s="8" t="n"/>
      <c r="F30" s="8" t="n"/>
    </row>
    <row r="31">
      <c r="A31" s="6" t="inlineStr">
        <is>
          <t>Superficie clasificada MSAVI 2024 (ha)</t>
        </is>
      </c>
      <c r="B31" s="38" t="n">
        <v>15.839</v>
      </c>
      <c r="C31" s="6" t="inlineStr">
        <is>
          <t>Desviación MSAVI frente al catálogo (%)</t>
        </is>
      </c>
      <c r="D31" s="39" t="n">
        <v>-0.01</v>
      </c>
      <c r="E31" s="8" t="n"/>
      <c r="F31" s="8" t="n"/>
    </row>
    <row r="32">
      <c r="A32" s="6" t="inlineStr">
        <is>
          <t>Superficie bajo umbral MSAVI 0.4976 (ha)</t>
        </is>
      </c>
      <c r="B32" s="38" t="n">
        <v>0.577</v>
      </c>
      <c r="C32" s="6" t="inlineStr">
        <is>
          <t>% del bloque bajo umbral (brecha espectral)</t>
        </is>
      </c>
      <c r="D32" s="39" t="n">
        <v>3.64</v>
      </c>
      <c r="E32" s="8" t="n"/>
      <c r="F32" s="8" t="n"/>
    </row>
    <row r="33">
      <c r="A33" s="6" t="inlineStr">
        <is>
          <t>Clase DN dominante (MSAVI 2024)</t>
        </is>
      </c>
      <c r="B33" s="7" t="inlineStr">
        <is>
          <t>DN 5 · &gt; 0.6139 (Vigor alto)</t>
        </is>
      </c>
      <c r="C33" s="6" t="inlineStr">
        <is>
          <t>N.° de polígonos MSAVI del bloque</t>
        </is>
      </c>
      <c r="D33" s="40" t="n">
        <v>47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15.84 ha (mosaico agropecuario con relictos de bosque montano)</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2026-05-26</t>
        </is>
      </c>
      <c r="E44" s="8" t="n"/>
      <c r="F44" s="8" t="n"/>
    </row>
    <row r="45">
      <c r="A45" s="6" t="inlineStr">
        <is>
          <t>Hora de registro</t>
        </is>
      </c>
      <c r="B45" s="7" t="inlineStr">
        <is>
          <t>12:05 h</t>
        </is>
      </c>
      <c r="C45" s="6" t="inlineStr">
        <is>
          <t>Correlativo de ficha</t>
        </is>
      </c>
      <c r="D45" s="7" t="inlineStr">
        <is>
          <t>DT-B49-001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Transecto de reconocimiento T-01 (sector central)</t>
        </is>
      </c>
      <c r="E47" s="8" t="n"/>
      <c r="F47" s="8" t="n"/>
    </row>
    <row r="48">
      <c r="A48" s="6" t="inlineStr">
        <is>
          <t>Estaciones fotográficas georreferenciadas</t>
        </is>
      </c>
      <c r="B48" s="7" t="n">
        <v>8</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la ganadería extensiva de subsistencia, sin ordenamiento del uso del suelo ni manejo del pastizal</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12.4611</v>
      </c>
      <c r="C10" s="31">
        <f>ROUND(B10/$B$15*100,2)</f>
        <v/>
      </c>
      <c r="D10" s="12" t="inlineStr">
        <is>
          <t>Vigor alto</t>
        </is>
      </c>
      <c r="E10" s="12" t="inlineStr">
        <is>
          <t>Sobre umbral</t>
        </is>
      </c>
    </row>
    <row r="11">
      <c r="A11" s="13" t="inlineStr">
        <is>
          <t>0.4976 - 0.6139 · DN 4</t>
        </is>
      </c>
      <c r="B11" s="20" t="n">
        <v>2.8014</v>
      </c>
      <c r="C11" s="21">
        <f>ROUND(B11/$B$15*100,2)</f>
        <v/>
      </c>
      <c r="D11" s="14" t="inlineStr">
        <is>
          <t>Vigor moderado</t>
        </is>
      </c>
      <c r="E11" s="14" t="inlineStr">
        <is>
          <t>Sobre umbral</t>
        </is>
      </c>
    </row>
    <row r="12">
      <c r="A12" s="7" t="inlineStr">
        <is>
          <t>0.3813 - 0.4976 · DN 3</t>
        </is>
      </c>
      <c r="B12" s="18" t="n">
        <v>0.5766</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47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15.84</v>
      </c>
      <c r="C18" s="49" t="inlineStr">
        <is>
          <t>—</t>
        </is>
      </c>
      <c r="D18" s="46" t="inlineStr">
        <is>
          <t>Desviación planimétrica frente al catálogo</t>
        </is>
      </c>
      <c r="E18" s="46" t="inlineStr">
        <is>
          <t>-0.01 %</t>
        </is>
      </c>
    </row>
    <row r="19">
      <c r="A19" s="16" t="inlineStr">
        <is>
          <t>MSAVI 2024 — MEDIA DEL BLOQUE</t>
        </is>
      </c>
      <c r="B19" s="17" t="n">
        <v>0.686036</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(0.6860)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15.6532</v>
      </c>
      <c r="C25" s="19" t="n">
        <v>98.8</v>
      </c>
      <c r="D25" s="15" t="inlineStr">
        <is>
          <t>Dosel continuo, matorral denso o mosaico agroforestal</t>
        </is>
      </c>
      <c r="E25" s="15" t="inlineStr"/>
    </row>
    <row r="26">
      <c r="A26" s="13" t="inlineStr">
        <is>
          <t>Vegetación mediana</t>
        </is>
      </c>
      <c r="B26" s="20" t="n">
        <v>0.1907</v>
      </c>
      <c r="C26" s="21" t="n">
        <v>1.2</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15.84</v>
      </c>
      <c r="C28" s="25" t="inlineStr">
        <is>
          <t>—</t>
        </is>
      </c>
      <c r="D28" s="25" t="inlineStr">
        <is>
          <t>Desviación planimétrica frente al catálogo</t>
        </is>
      </c>
      <c r="E28" s="25" t="inlineStr">
        <is>
          <t>+0.02 %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98.80 % del polígono clasificado como «Vegetación alta» por el NDVI 2025; la observación de campo corresponde a una parcela o recorrido puntual y no es estadísticamente representativa de las 15.840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49</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642408</v>
      </c>
      <c r="D10" s="26" t="n">
        <v>9438034</v>
      </c>
      <c r="E10" s="15" t="n">
        <v>240.7</v>
      </c>
      <c r="F10" s="15" t="inlineStr"/>
      <c r="G10" s="15" t="inlineStr">
        <is>
          <t>Coordenada consignada en F-DT-01</t>
        </is>
      </c>
    </row>
    <row r="11">
      <c r="A11" s="13" t="inlineStr">
        <is>
          <t>C-01</t>
        </is>
      </c>
      <c r="B11" s="14" t="inlineStr">
        <is>
          <t>Rasgo erosivo — Cárcava incipiente</t>
        </is>
      </c>
      <c r="C11" s="27" t="n">
        <v>642497</v>
      </c>
      <c r="D11" s="27" t="n">
        <v>9438160</v>
      </c>
      <c r="E11" s="14" t="n">
        <v>192.8</v>
      </c>
      <c r="F11" s="14" t="inlineStr">
        <is>
          <t>Semi-activa</t>
        </is>
      </c>
      <c r="G11" s="14" t="inlineStr">
        <is>
          <t>Caminos / huellas de ganado</t>
        </is>
      </c>
    </row>
    <row r="12">
      <c r="A12" s="7" t="inlineStr">
        <is>
          <t>C-02</t>
        </is>
      </c>
      <c r="B12" s="15" t="inlineStr">
        <is>
          <t>Rasgo erosivo — Cárcava somera</t>
        </is>
      </c>
      <c r="C12" s="26" t="n">
        <v>642387</v>
      </c>
      <c r="D12" s="26" t="n">
        <v>9437997</v>
      </c>
      <c r="E12" s="15" t="n">
        <v>271.2</v>
      </c>
      <c r="F12" s="15" t="inlineStr">
        <is>
          <t>Activa</t>
        </is>
      </c>
      <c r="G12" s="15" t="inlineStr">
        <is>
          <t>Caminos / huellas de ganado</t>
        </is>
      </c>
    </row>
    <row r="13">
      <c r="A13" s="13" t="inlineStr">
        <is>
          <t>H-01</t>
        </is>
      </c>
      <c r="B13" s="14" t="inlineStr">
        <is>
          <t>Fuente de agua — Quebrada permanente</t>
        </is>
      </c>
      <c r="C13" s="27" t="n">
        <v>642690</v>
      </c>
      <c r="D13" s="27" t="n">
        <v>9438400</v>
      </c>
      <c r="E13" s="14" t="n">
        <v>381.5</v>
      </c>
      <c r="F13" s="14" t="inlineStr">
        <is>
          <t>Permanente</t>
        </is>
      </c>
      <c r="G13" s="14" t="inlineStr">
        <is>
          <t>Quebrada Huacas — drenaje</t>
        </is>
      </c>
    </row>
    <row r="14">
      <c r="A14" s="7" t="inlineStr">
        <is>
          <t>H-02</t>
        </is>
      </c>
      <c r="B14" s="15" t="inlineStr">
        <is>
          <t>Fuente de agua — Quebrada estacional</t>
        </is>
      </c>
      <c r="C14" s="26" t="n">
        <v>642425</v>
      </c>
      <c r="D14" s="26" t="n">
        <v>9438096</v>
      </c>
      <c r="E14" s="15" t="n">
        <v>190.2</v>
      </c>
      <c r="F14" s="15" t="inlineStr">
        <is>
          <t>Estacional (lluvias)</t>
        </is>
      </c>
      <c r="G14" s="15" t="inlineStr">
        <is>
          <t>Cauce menor interno</t>
        </is>
      </c>
    </row>
    <row r="15">
      <c r="A15" s="13" t="inlineStr">
        <is>
          <t>B-01</t>
        </is>
      </c>
      <c r="B15" s="14" t="inlineStr">
        <is>
          <t>Especie clave — Nogal andino (Juglans neotropica)</t>
        </is>
      </c>
      <c r="C15" s="27" t="n">
        <v>642430</v>
      </c>
      <c r="D15" s="27" t="n">
        <v>9438050</v>
      </c>
      <c r="E15" s="14" t="n">
        <v>233.6</v>
      </c>
      <c r="F15" s="14" t="inlineStr">
        <is>
          <t>Amenazada D.S. 043</t>
        </is>
      </c>
      <c r="G15" s="14" t="inlineStr">
        <is>
          <t>EN — En Peligro</t>
        </is>
      </c>
    </row>
    <row r="16">
      <c r="A16" s="7" t="inlineStr">
        <is>
          <t>B-02</t>
        </is>
      </c>
      <c r="B16" s="15" t="inlineStr">
        <is>
          <t>Especie clave — Queñua (Polylepis sp.)</t>
        </is>
      </c>
      <c r="C16" s="26" t="n">
        <v>642400</v>
      </c>
      <c r="D16" s="26" t="n">
        <v>9438300</v>
      </c>
      <c r="E16" s="15" t="n">
        <v>75.7</v>
      </c>
      <c r="F16" s="15" t="inlineStr">
        <is>
          <t>Amenazada D.S. 043</t>
        </is>
      </c>
      <c r="G16" s="15" t="inlineStr">
        <is>
          <t>VU — Vulnerable</t>
        </is>
      </c>
    </row>
    <row r="17">
      <c r="A17" s="13" t="inlineStr">
        <is>
          <t>B-03</t>
        </is>
      </c>
      <c r="B17" s="14" t="inlineStr">
        <is>
          <t>Especie clave — Aliso (Alnus acuminata)</t>
        </is>
      </c>
      <c r="C17" s="27" t="n">
        <v>642450</v>
      </c>
      <c r="D17" s="27" t="n">
        <v>9438120</v>
      </c>
      <c r="E17" s="14" t="n">
        <v>184.1</v>
      </c>
      <c r="F17" s="14" t="inlineStr">
        <is>
          <t>Indicadora de buen estado</t>
        </is>
      </c>
      <c r="G17" s="14" t="inlineStr">
        <is>
          <t>LC</t>
        </is>
      </c>
    </row>
    <row r="18">
      <c r="A18" s="7" t="inlineStr">
        <is>
          <t>B-04</t>
        </is>
      </c>
      <c r="B18" s="15" t="inlineStr">
        <is>
          <t>Especie clave — Cascarilla / Quina (Cinchona sp.)</t>
        </is>
      </c>
      <c r="C18" s="26" t="n">
        <v>642400</v>
      </c>
      <c r="D18" s="26" t="n">
        <v>9438320</v>
      </c>
      <c r="E18" s="15" t="n">
        <v>87.2</v>
      </c>
      <c r="F18" s="15" t="inlineStr">
        <is>
          <t>Clave cultural</t>
        </is>
      </c>
      <c r="G18" s="15" t="inlineStr">
        <is>
          <t>VU — Vulnerable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642334</v>
      </c>
      <c r="C21" s="6" t="inlineStr">
        <is>
          <t>Centroide del bloque — UTM NORTE (m)</t>
        </is>
      </c>
      <c r="D21" s="7" t="n">
        <v>9438263</v>
      </c>
      <c r="E21" s="8" t="n"/>
      <c r="F21" s="8" t="n"/>
      <c r="G21" s="8" t="n"/>
      <c r="H21" s="8" t="n"/>
    </row>
    <row r="22">
      <c r="A22" s="6" t="inlineStr">
        <is>
          <t>N.° de estaciones fotográficas declaradas</t>
        </is>
      </c>
      <c r="B22" s="7" t="n">
        <v>8</v>
      </c>
      <c r="C22" s="6" t="inlineStr">
        <is>
          <t>Estaciones dentro del polígono</t>
        </is>
      </c>
      <c r="D22" s="7" t="inlineStr">
        <is>
          <t>Por determinar</t>
        </is>
      </c>
      <c r="E22" s="8" t="n"/>
      <c r="F22" s="8" t="n"/>
      <c r="G22" s="8" t="n"/>
      <c r="H22" s="8" t="n"/>
    </row>
    <row r="24" ht="132"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PI-124 (desde Yamango) y empalme con trocha carrozable; tramo final a pie. El bloque integra el cluster B55-B49-B52 (microcuenca C1086-Q9575, zona Z09). Predominan suelos residuales profundos (saprolito) con escasos afloramientos rocosos. Evidencias de REPTACIÓN LENTA (terracetas de pisoteo) en laderas pastoreadas y microescarpes/erosión activa LOCALIZADA en los cortes de talud de la trocha. La alta pendiente, los suelos profundos y la pérdida de cobertura boscosa configuran SUSCEPTIBILIDAD a movimientos en masa y erosión.</t>
        </is>
      </c>
      <c r="B24" s="41" t="n"/>
      <c r="C24" s="41" t="n"/>
      <c r="D24" s="41" t="n"/>
      <c r="E24" s="41" t="n"/>
      <c r="F24" s="41" t="n"/>
      <c r="G24" s="42"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49</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8" t="n">
        <v>283.43</v>
      </c>
      <c r="C10" s="19" t="n">
        <v>58.52</v>
      </c>
      <c r="D10" s="15" t="inlineStr">
        <is>
          <t>297 – 634</t>
        </is>
      </c>
      <c r="E10" s="15" t="n">
        <v>337</v>
      </c>
      <c r="F10" s="15" t="n">
        <v>13.75</v>
      </c>
      <c r="G10" s="18" t="n">
        <v>0.4275</v>
      </c>
      <c r="H10" s="19" t="n">
        <v>18.09</v>
      </c>
      <c r="I10" s="19" t="n">
        <v>74.81</v>
      </c>
    </row>
    <row r="11">
      <c r="A11" s="13" t="inlineStr">
        <is>
          <t>M28B2</t>
        </is>
      </c>
      <c r="B11" s="29" t="n">
        <v>90.2</v>
      </c>
      <c r="C11" s="21" t="n">
        <v>18.62</v>
      </c>
      <c r="D11" s="14" t="inlineStr">
        <is>
          <t>754 – 1111</t>
        </is>
      </c>
      <c r="E11" s="14" t="n">
        <v>357</v>
      </c>
      <c r="F11" s="14" t="n">
        <v>20.65</v>
      </c>
      <c r="G11" s="20" t="n">
        <v>0.4753</v>
      </c>
      <c r="H11" s="21" t="n">
        <v>37.12</v>
      </c>
      <c r="I11" s="21" t="n">
        <v>62.19</v>
      </c>
    </row>
    <row r="12">
      <c r="A12" s="7" t="inlineStr">
        <is>
          <t>M28B3</t>
        </is>
      </c>
      <c r="B12" s="28" t="n">
        <v>58.29</v>
      </c>
      <c r="C12" s="19" t="n">
        <v>12.04</v>
      </c>
      <c r="D12" s="15" t="inlineStr">
        <is>
          <t>73 – 777</t>
        </is>
      </c>
      <c r="E12" s="15" t="n">
        <v>704</v>
      </c>
      <c r="F12" s="15" t="n">
        <v>22.13</v>
      </c>
      <c r="G12" s="18" t="n">
        <v>0.5075</v>
      </c>
      <c r="H12" s="19" t="n">
        <v>45.27</v>
      </c>
      <c r="I12" s="19" t="n">
        <v>49.67</v>
      </c>
    </row>
    <row r="13">
      <c r="A13" s="13" t="inlineStr">
        <is>
          <t>46</t>
        </is>
      </c>
      <c r="B13" s="29" t="n">
        <v>18.87</v>
      </c>
      <c r="C13" s="21" t="n">
        <v>3.9</v>
      </c>
      <c r="D13" s="14" t="inlineStr">
        <is>
          <t>1371 – 1655</t>
        </is>
      </c>
      <c r="E13" s="14" t="n">
        <v>284</v>
      </c>
      <c r="F13" s="14" t="n">
        <v>31.77</v>
      </c>
      <c r="G13" s="20" t="n">
        <v>0.7244</v>
      </c>
      <c r="H13" s="21" t="inlineStr">
        <is>
          <t>Por determinar</t>
        </is>
      </c>
      <c r="I13" s="14" t="inlineStr">
        <is>
          <t>s/d</t>
        </is>
      </c>
    </row>
    <row r="14">
      <c r="A14" s="11" t="inlineStr">
        <is>
          <t>► 49</t>
        </is>
      </c>
      <c r="B14" s="30" t="n">
        <v>15.84</v>
      </c>
      <c r="C14" s="31" t="n">
        <v>3.27</v>
      </c>
      <c r="D14" s="12" t="inlineStr">
        <is>
          <t>3065 – 3246</t>
        </is>
      </c>
      <c r="E14" s="12" t="n">
        <v>181</v>
      </c>
      <c r="F14" s="12" t="n">
        <v>25.96</v>
      </c>
      <c r="G14" s="32" t="n">
        <v>0.6860000000000001</v>
      </c>
      <c r="H14" s="31" t="n">
        <v>98.8</v>
      </c>
      <c r="I14" s="31" t="n">
        <v>3.64</v>
      </c>
    </row>
    <row r="15">
      <c r="A15" s="13" t="inlineStr">
        <is>
          <t>52</t>
        </is>
      </c>
      <c r="B15" s="29" t="n">
        <v>11.06</v>
      </c>
      <c r="C15" s="21" t="n">
        <v>2.28</v>
      </c>
      <c r="D15" s="14" t="inlineStr">
        <is>
          <t>3011 – 3164</t>
        </is>
      </c>
      <c r="E15" s="14" t="n">
        <v>153</v>
      </c>
      <c r="F15" s="14" t="n">
        <v>26.16</v>
      </c>
      <c r="G15" s="20" t="n">
        <v>0.6685</v>
      </c>
      <c r="H15" s="21" t="n">
        <v>97.31999999999999</v>
      </c>
      <c r="I15" s="21" t="n">
        <v>3.8</v>
      </c>
    </row>
    <row r="16">
      <c r="A16" s="7" t="inlineStr">
        <is>
          <t>48</t>
        </is>
      </c>
      <c r="B16" s="28" t="n">
        <v>5.75</v>
      </c>
      <c r="C16" s="19" t="n">
        <v>1.19</v>
      </c>
      <c r="D16" s="15" t="inlineStr">
        <is>
          <t>1458 – 1595</t>
        </is>
      </c>
      <c r="E16" s="15" t="n">
        <v>137</v>
      </c>
      <c r="F16" s="15" t="n">
        <v>33.6</v>
      </c>
      <c r="G16" s="18" t="n">
        <v>0.6978</v>
      </c>
      <c r="H16" s="19" t="inlineStr">
        <is>
          <t>Por determinar</t>
        </is>
      </c>
      <c r="I16" s="15" t="inlineStr">
        <is>
          <t>s/d</t>
        </is>
      </c>
    </row>
    <row r="17">
      <c r="A17" s="13" t="inlineStr">
        <is>
          <t>55</t>
        </is>
      </c>
      <c r="B17" s="29" t="n">
        <v>0.86</v>
      </c>
      <c r="C17" s="21" t="n">
        <v>0.18</v>
      </c>
      <c r="D17" s="14" t="inlineStr">
        <is>
          <t>3066 – 3131</t>
        </is>
      </c>
      <c r="E17" s="14" t="n">
        <v>65</v>
      </c>
      <c r="F17" s="14"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2" t="n"/>
    </row>
    <row r="20"/>
    <row r="21" ht="84" customHeight="1">
      <c r="A21" s="9" t="inlineStr">
        <is>
          <t>LECTURA INTRAMICROCUENCA. El bloque 49 ocupa el puesto 5 de 8 por superficie dentro de la microcuenca C1086-Q9575 (3.27 % de las 484.30 ha preliminares de la microcuenca). Su pendiente promedio (25.96 %, clase «25-50% (Mod. escarpado)») es la 4.ª más baja de 8 y se sitúa por encima del promedio de la microcuenca (25.51 %). Su MSAVI 2024 (0.6860) es el 3.º de 8 y queda por encima del promedio local (0.6021). Amplitud altitudinal del bloque: 181 m (3065–3246 msnm). El cuadro conserva todos los bloques catalogados en la microcuenca, incluidos los descartados en el tamizaje, para referencia del conjunto. Los bloques sin ficha DT figuran con sus parámetros de gabinete. BRECHA ESPECTRAL. El 3.64 % de la superficie del bloque (0.577 ha de 15.839 ha) se sitúa bajo el umbral MSAVI 0.4976, por debajo del promedio local de la microcuenca (32.64 %) calculado sobre los bloques con dato MSAVI disponible.</t>
        </is>
      </c>
      <c r="B21" s="41" t="n"/>
      <c r="C21" s="41" t="n"/>
      <c r="D21" s="41" t="n"/>
      <c r="E21" s="41" t="n"/>
      <c r="F21" s="41" t="n"/>
      <c r="G21" s="41" t="n"/>
      <c r="H21" s="42"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2"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241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(15.844 ha) coincide con la de catálogo (15.84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13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«Huacas (caserío Pajal, sector central del bloque)»; el cruce INEI-Bloques V5 identifica 1 centro(s) poblado(s) en el bloque: LAS HUACAS</t>
        </is>
      </c>
      <c r="D14" s="12" t="inlineStr">
        <is>
          <t>NO SUSTANTIVA</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(47 polígonos, 15.839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(15.839 ha) frente a la de catálogo V5/V6 (15.840 ha): desviación de -0.01 %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(0.6860) cae en la clase «DN 5 · &gt; 0.6139 (Vigor alto)»; la clase de mayor superficie es «DN 5 · &gt; 0.6139 (Vigor alto)», con 78.67 % del bloque. Superficie bajo el umbral 0.4976: 0.577 ha (3.64 %)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5 · CORREGIDO: 1 · NO SUSTANTIVA: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49 — IN Piura</dc:title>
  <dc:subject>Diagnóstico Territorial por bloque de intervención</dc:subject>
  <dcterms:created xsi:type="dcterms:W3CDTF">2026-09-08T03:39:56Z</dcterms:created>
  <dcterms:modified xsi:type="dcterms:W3CDTF">2026-09-09T23:30:52Z</dcterms:modified>
</cp:coreProperties>
</file>