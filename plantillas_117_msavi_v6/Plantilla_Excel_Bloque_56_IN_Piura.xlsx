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56</t>
        </is>
      </c>
      <c r="C9" s="6" t="inlineStr">
        <is>
          <t>Microcuenca (catálogo)</t>
        </is>
      </c>
      <c r="D9" s="7" t="inlineStr">
        <is>
          <t>C1096-Q9564</t>
        </is>
      </c>
      <c r="E9" s="8" t="n"/>
      <c r="F9" s="8" t="n"/>
    </row>
    <row r="10">
      <c r="A10" s="6" t="inlineStr">
        <is>
          <t>Zona de planificación</t>
        </is>
      </c>
      <c r="B10" s="7" t="inlineStr">
        <is>
          <t>Z02</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Putagas (620 357 E · 9 451 508 N; 300 hab.) — referida en ficha; también Banda de la Cruz (75 hab.)</t>
        </is>
      </c>
      <c r="C13" s="6" t="inlineStr">
        <is>
          <t>Comunidad campesina</t>
        </is>
      </c>
      <c r="D13" s="7" t="inlineStr">
        <is>
          <t>Por verificar</t>
        </is>
      </c>
      <c r="E13" s="8" t="n"/>
      <c r="F13" s="8" t="n"/>
    </row>
    <row r="14">
      <c r="A14" s="6" t="inlineStr">
        <is>
          <t>Superficie de catálogo (V5/V6), ha</t>
        </is>
      </c>
      <c r="B14" s="7" t="n">
        <v>77.67</v>
      </c>
      <c r="C14" s="6" t="inlineStr">
        <is>
          <t>Fuente de superficie</t>
        </is>
      </c>
      <c r="D14" s="7" t="inlineStr">
        <is>
          <t>Catálogo maestro Bloques V5/V6</t>
        </is>
      </c>
      <c r="E14" s="8" t="n"/>
      <c r="F14" s="8" t="n"/>
    </row>
    <row r="15">
      <c r="A15" s="6" t="inlineStr">
        <is>
          <t>Centroide UTM ESTE (m)</t>
        </is>
      </c>
      <c r="B15" s="7" t="n">
        <v>631723</v>
      </c>
      <c r="C15" s="6" t="inlineStr">
        <is>
          <t>Centroide UTM NORTE (m)</t>
        </is>
      </c>
      <c r="D15" s="7" t="n">
        <v>9439702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2342</v>
      </c>
      <c r="C19" s="6" t="inlineStr">
        <is>
          <t>Altitud máxima (msnm)</t>
        </is>
      </c>
      <c r="D19" s="7" t="n">
        <v>2770</v>
      </c>
      <c r="E19" s="8" t="n"/>
      <c r="F19" s="8" t="n"/>
    </row>
    <row r="20">
      <c r="A20" s="6" t="inlineStr">
        <is>
          <t>Amplitud altitudinal (m)</t>
        </is>
      </c>
      <c r="B20" s="7" t="n">
        <v>428</v>
      </c>
      <c r="C20" s="6" t="inlineStr">
        <is>
          <t>Piso altitudinal dominante</t>
        </is>
      </c>
      <c r="D20" s="7" t="inlineStr">
        <is>
          <t>2500-3000 m (Suni)</t>
        </is>
      </c>
      <c r="E20" s="8" t="n"/>
      <c r="F20" s="8" t="n"/>
    </row>
    <row r="21">
      <c r="A21" s="6" t="inlineStr">
        <is>
          <t>Pendiente promedio (%)</t>
        </is>
      </c>
      <c r="B21" s="7" t="n">
        <v>27.27</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No evaluado (sin acceso interno)</t>
        </is>
      </c>
      <c r="E24" s="8" t="n"/>
      <c r="F24" s="8" t="n"/>
    </row>
    <row r="25">
      <c r="A25" s="6" t="inlineStr">
        <is>
          <t>Escarpes activos</t>
        </is>
      </c>
      <c r="B25" s="7" t="inlineStr">
        <is>
          <t>Sí</t>
        </is>
      </c>
      <c r="C25" s="6" t="inlineStr">
        <is>
          <t>Remociones en masa activas</t>
        </is>
      </c>
      <c r="D25" s="7" t="inlineStr">
        <is>
          <t>No observadas desde el exterior; por verificar en el interior</t>
        </is>
      </c>
      <c r="E25" s="8" t="n"/>
      <c r="F25" s="8" t="n"/>
    </row>
    <row r="26"/>
    <row r="27" ht="18" customHeight="1">
      <c r="A27" s="5" t="inlineStr">
        <is>
          <t>3. ÍNDICES DE VEGETACIÓN (SENTINEL-2)</t>
        </is>
      </c>
    </row>
    <row r="28">
      <c r="A28" s="6" t="inlineStr">
        <is>
          <t>MSAVI 2024 — media del bloque</t>
        </is>
      </c>
      <c r="B28" s="7" t="n">
        <v>0.6777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(94.90 %)</t>
        </is>
      </c>
      <c r="E29" s="8" t="n"/>
      <c r="F29" s="8" t="n"/>
    </row>
    <row r="30">
      <c r="A30" s="6" t="inlineStr">
        <is>
          <t>Superficie clasificada NDVI 2025 (ha)</t>
        </is>
      </c>
      <c r="B30" s="7" t="n">
        <v>77.699</v>
      </c>
      <c r="C30" s="6" t="inlineStr">
        <is>
          <t>Desviación frente al catálogo (%)</t>
        </is>
      </c>
      <c r="D30" s="7" t="n">
        <v>0.04</v>
      </c>
      <c r="E30" s="8" t="n"/>
      <c r="F30" s="8" t="n"/>
    </row>
    <row r="31">
      <c r="A31" s="6" t="inlineStr">
        <is>
          <t>Superficie clasificada MSAVI 2024 (ha)</t>
        </is>
      </c>
      <c r="B31" s="37" t="n">
        <v>77.666</v>
      </c>
      <c r="C31" s="6" t="inlineStr">
        <is>
          <t>Desviación MSAVI frente al catálogo (%)</t>
        </is>
      </c>
      <c r="D31" s="38" t="n">
        <v>-0.01</v>
      </c>
      <c r="E31" s="8" t="n"/>
      <c r="F31" s="8" t="n"/>
    </row>
    <row r="32">
      <c r="A32" s="6" t="inlineStr">
        <is>
          <t>Superficie bajo umbral MSAVI 0.4976 (ha)</t>
        </is>
      </c>
      <c r="B32" s="37" t="n">
        <v>2.171</v>
      </c>
      <c r="C32" s="6" t="inlineStr">
        <is>
          <t>% del bloque bajo umbral (brecha espectral)</t>
        </is>
      </c>
      <c r="D32" s="38" t="n">
        <v>2.8</v>
      </c>
      <c r="E32" s="8" t="n"/>
      <c r="F32" s="8" t="n"/>
    </row>
    <row r="33">
      <c r="A33" s="6" t="inlineStr">
        <is>
          <t>Clase DN dominante (MSAVI 2024)</t>
        </is>
      </c>
      <c r="B33" s="7" t="inlineStr">
        <is>
          <t>DN 5 · &gt; 0.6139 (Vigor alto)</t>
        </is>
      </c>
      <c r="C33" s="6" t="inlineStr">
        <is>
          <t>N.° de polígonos MSAVI del bloque</t>
        </is>
      </c>
      <c r="D33" s="39" t="n">
        <v>124</v>
      </c>
      <c r="E33" s="8" t="n"/>
      <c r="F33" s="8" t="n"/>
    </row>
    <row r="34"/>
    <row r="35" ht="18" customHeight="1">
      <c r="A35" s="5" t="inlineStr">
        <is>
          <t>4. ECOSISTEMA Y ESTADO DE CONSERVACIÓN</t>
        </is>
      </c>
    </row>
    <row r="36">
      <c r="A36" s="6" t="inlineStr">
        <is>
          <t>Tipo de ecosistema (UP)</t>
        </is>
      </c>
      <c r="B36" s="7" t="inlineStr">
        <is>
          <t>Bosque Relicto Montano de Vertiente Occidental (BMVO)</t>
        </is>
      </c>
      <c r="C36" s="6" t="inlineStr">
        <is>
          <t>Superficie de ecosistema (ha)</t>
        </is>
      </c>
      <c r="D36" s="7" t="inlineStr">
        <is>
          <t>77.67 ha totales — Br-mvoc 41.85 ha (53.9%); Zona agrícola 35.82 ha (46.1%)</t>
        </is>
      </c>
      <c r="E36" s="8" t="n"/>
      <c r="F36" s="8" t="n"/>
    </row>
    <row r="37">
      <c r="A37" s="6" t="inlineStr">
        <is>
          <t>Estado de conservación</t>
        </is>
      </c>
      <c r="B37" s="7" t="inlineStr">
        <is>
          <t>Levemente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Por determinar</t>
        </is>
      </c>
      <c r="E39" s="8" t="n"/>
      <c r="F39" s="8" t="n"/>
    </row>
    <row r="40">
      <c r="A40" s="6" t="inlineStr">
        <is>
          <t>Nivel general de erosión</t>
        </is>
      </c>
      <c r="B40" s="7" t="inlineStr">
        <is>
          <t>Severa (cárcavas activas) — franja de aproximación</t>
        </is>
      </c>
      <c r="C40" s="6" t="inlineStr">
        <is>
          <t>N.° de cárcavas registradas</t>
        </is>
      </c>
      <c r="D40" s="7" t="n">
        <v>4</v>
      </c>
      <c r="E40" s="8" t="n"/>
      <c r="F40" s="8" t="n"/>
    </row>
    <row r="41">
      <c r="A41" s="6" t="inlineStr">
        <is>
          <t>Elenco florístico (n.° de taxones)</t>
        </is>
      </c>
      <c r="B41" s="7" t="n">
        <v>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Héctor Cahuas y Juan Domínguez — SESDI/DIME/ANIN</t>
        </is>
      </c>
      <c r="C44" s="6" t="inlineStr">
        <is>
          <t>Fecha de evaluación</t>
        </is>
      </c>
      <c r="D44" s="7" t="inlineStr">
        <is>
          <t>2026-06-24</t>
        </is>
      </c>
      <c r="E44" s="8" t="n"/>
      <c r="F44" s="8" t="n"/>
    </row>
    <row r="45">
      <c r="A45" s="6" t="inlineStr">
        <is>
          <t>Hora de registro</t>
        </is>
      </c>
      <c r="B45" s="7" t="inlineStr">
        <is>
          <t>09:41 - 10:05 h</t>
        </is>
      </c>
      <c r="C45" s="6" t="inlineStr">
        <is>
          <t>Correlativo de ficha</t>
        </is>
      </c>
      <c r="D45" s="7" t="inlineStr">
        <is>
          <t>F-DT-01..05/B56/2026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caracterización referencial de gabinete (sin acceso al interior)</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sobre laderas de fuerte pendiente y desestabilización asociada a la trocha de acceso</t>
        </is>
      </c>
      <c r="C51" s="6" t="inlineStr">
        <is>
          <t>Velocidad de degradación</t>
        </is>
      </c>
      <c r="D51" s="7" t="inlineStr">
        <is>
          <t>Moderada</t>
        </is>
      </c>
      <c r="E51" s="8" t="n"/>
      <c r="F51" s="8" t="n"/>
    </row>
    <row r="52">
      <c r="A52" s="6" t="inlineStr">
        <is>
          <t>Reversibilidad técnica</t>
        </is>
      </c>
      <c r="B52" s="7" t="inlineStr">
        <is>
          <t>Por determinar</t>
        </is>
      </c>
      <c r="C52" s="6" t="inlineStr">
        <is>
          <t>Urgencia de intervención</t>
        </is>
      </c>
      <c r="D52" s="7" t="inlineStr">
        <is>
          <t>Por determinar</t>
        </is>
      </c>
      <c r="E52" s="8" t="n"/>
      <c r="F52" s="8" t="n"/>
    </row>
    <row r="53">
      <c r="A53" s="6" t="inlineStr">
        <is>
          <t>Urgencia de control de erosión</t>
        </is>
      </c>
      <c r="B53" s="7" t="inlineStr">
        <is>
          <t>Por determinar</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1" t="n">
        <v>61.3158</v>
      </c>
      <c r="C10" s="30">
        <f>ROUND(B10/$B$15*100,2)</f>
        <v>78.95</v>
      </c>
      <c r="D10" s="12" t="inlineStr">
        <is>
          <t>Vigor alto</t>
        </is>
      </c>
      <c r="E10" s="12" t="inlineStr">
        <is>
          <t>Sobre umbral</t>
        </is>
      </c>
    </row>
    <row r="11">
      <c r="A11" s="13" t="inlineStr">
        <is>
          <t>0.4976 - 0.6139 · DN 4</t>
        </is>
      </c>
      <c r="B11" s="20" t="n">
        <v>14.1789</v>
      </c>
      <c r="C11" s="21">
        <f>ROUND(B11/$B$15*100,2)</f>
        <v>18.26</v>
      </c>
      <c r="D11" s="14" t="inlineStr">
        <is>
          <t>Vigor moderado</t>
        </is>
      </c>
      <c r="E11" s="14" t="inlineStr">
        <is>
          <t>Sobre umbral</t>
        </is>
      </c>
    </row>
    <row r="12">
      <c r="A12" s="7" t="inlineStr">
        <is>
          <t>0.3813 - 0.4976 · DN 3</t>
        </is>
      </c>
      <c r="B12" s="18" t="n">
        <v>2.1511</v>
      </c>
      <c r="C12" s="19">
        <f>ROUND(B12/$B$15*100,2)</f>
        <v>2.77</v>
      </c>
      <c r="D12" s="15" t="inlineStr">
        <is>
          <t>Vigor bajo</t>
        </is>
      </c>
      <c r="E12" s="15" t="inlineStr">
        <is>
          <t>BAJO umbral 0.4976</t>
        </is>
      </c>
    </row>
    <row r="13">
      <c r="A13" s="13" t="inlineStr">
        <is>
          <t>0.2650 - 0.3813 · DN 2</t>
        </is>
      </c>
      <c r="B13" s="20" t="n">
        <v>0.0198</v>
      </c>
      <c r="C13" s="21">
        <f>ROUND(B13/$B$15*100,2)</f>
        <v>0.03</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2" t="inlineStr">
        <is>
          <t>TOTAL CLASIFICADO MSAVI 2024</t>
        </is>
      </c>
      <c r="B15" s="43">
        <f>SUM(B10:B14)</f>
        <v>77.6656</v>
      </c>
      <c r="C15" s="44">
        <f>SUM(C10:C14)</f>
        <v>100.01</v>
      </c>
      <c r="D15" s="42" t="inlineStr">
        <is>
          <t>Suma de la distribución areal · 124 polígonos</t>
        </is>
      </c>
      <c r="E15" s="42" t="inlineStr">
        <is>
          <t>—</t>
        </is>
      </c>
    </row>
    <row r="16" ht="30" customHeight="1">
      <c r="A16" s="45" t="inlineStr">
        <is>
          <t>Superficie SOBRE umbral 0.4976 (ha)</t>
        </is>
      </c>
      <c r="B16" s="46">
        <f>SUM(B10:B11)</f>
        <v>75.4947</v>
      </c>
      <c r="C16" s="47">
        <f>ROUND(B16/B15*100,2)</f>
        <v>97.2</v>
      </c>
      <c r="D16" s="45" t="inlineStr">
        <is>
          <t>Vigor alto y moderado (DN 4 y DN 5)</t>
        </is>
      </c>
      <c r="E16" s="45" t="inlineStr">
        <is>
          <t>Sobre umbral 0.4976</t>
        </is>
      </c>
    </row>
    <row r="17" ht="30" customHeight="1">
      <c r="A17" s="45" t="inlineStr">
        <is>
          <t>Superficie BAJO umbral 0.4976 (ha) — brecha</t>
        </is>
      </c>
      <c r="B17" s="46">
        <f>SUM(B12:B14)</f>
        <v>2.1709</v>
      </c>
      <c r="C17" s="47">
        <f>ROUND(B17/B15*100,2)</f>
        <v>2.8</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77.67</v>
      </c>
      <c r="C18" s="48" t="inlineStr">
        <is>
          <t>—</t>
        </is>
      </c>
      <c r="D18" s="45" t="inlineStr">
        <is>
          <t>Desviación planimétrica frente al catálogo</t>
        </is>
      </c>
      <c r="E18" s="45" t="inlineStr">
        <is>
          <t>-0.01 %</t>
        </is>
      </c>
    </row>
    <row r="19">
      <c r="A19" s="16" t="inlineStr">
        <is>
          <t>MSAVI 2024 — MEDIA DEL BLOQUE</t>
        </is>
      </c>
      <c r="B19" s="17" t="n">
        <v>0.677658</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124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(0.6777)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73.7362</v>
      </c>
      <c r="C25" s="19" t="n">
        <v>94.90000000000001</v>
      </c>
      <c r="D25" s="15" t="inlineStr">
        <is>
          <t>Dosel continuo, matorral denso o mosaico agroforestal</t>
        </is>
      </c>
      <c r="E25" s="15" t="inlineStr"/>
    </row>
    <row r="26">
      <c r="A26" s="13" t="inlineStr">
        <is>
          <t>Vegetación mediana</t>
        </is>
      </c>
      <c r="B26" s="20" t="n">
        <v>3.9235</v>
      </c>
      <c r="C26" s="21" t="n">
        <v>5.05</v>
      </c>
      <c r="D26" s="14" t="inlineStr">
        <is>
          <t>Pastizal cultivado, matorral ralo, parcelas agrícolas</t>
        </is>
      </c>
      <c r="E26" s="14" t="inlineStr"/>
    </row>
    <row r="27">
      <c r="A27" s="7" t="inlineStr">
        <is>
          <t>Vegetación ligera</t>
        </is>
      </c>
      <c r="B27" s="18" t="n">
        <v>0.0396</v>
      </c>
      <c r="C27" s="19" t="n">
        <v>0.05</v>
      </c>
      <c r="D27" s="15" t="inlineStr">
        <is>
          <t>Cobertura discontinua, suelo parcialmente expuesto</t>
        </is>
      </c>
      <c r="E27" s="15" t="inlineStr"/>
    </row>
    <row r="28">
      <c r="A28" s="16" t="inlineStr">
        <is>
          <t>TOTAL CLASIFICADO</t>
        </is>
      </c>
      <c r="B28" s="22">
        <f>SUM(B25:B27)</f>
        <v>77.6993</v>
      </c>
      <c r="C28" s="23">
        <f>SUM(C25:C27)</f>
        <v>100.0</v>
      </c>
      <c r="D28" s="17" t="inlineStr"/>
      <c r="E28" s="17" t="inlineStr"/>
    </row>
    <row r="29">
      <c r="A29" s="24" t="inlineStr">
        <is>
          <t>Superficie de catálogo (V5/V6)</t>
        </is>
      </c>
      <c r="B29" s="25" t="n">
        <v>77.67</v>
      </c>
      <c r="C29" s="25" t="inlineStr">
        <is>
          <t>—</t>
        </is>
      </c>
      <c r="D29" s="25" t="inlineStr">
        <is>
          <t>Desviación planimétrica frente al catálogo</t>
        </is>
      </c>
      <c r="E29" s="25" t="inlineStr">
        <is>
          <t>+0.04 %</t>
        </is>
      </c>
    </row>
    <row r="30"/>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0" t="n"/>
      <c r="C31" s="40" t="n"/>
      <c r="D31" s="40" t="n"/>
      <c r="E31" s="41"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56</t>
        </is>
      </c>
    </row>
    <row r="6" ht="24" customHeight="1">
      <c r="A6" s="4" t="inlineStr">
        <is>
          <t>Levantamiento del 2026-06-24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48233.8</v>
      </c>
      <c r="F10" s="15" t="inlineStr"/>
      <c r="G10" s="15" t="inlineStr">
        <is>
          <t>Coordenada consignada en F-DT-01</t>
        </is>
      </c>
    </row>
    <row r="11">
      <c r="A11" s="13" t="inlineStr">
        <is>
          <t>E-01</t>
        </is>
      </c>
      <c r="B11" s="14" t="inlineStr">
        <is>
          <t>Rasgo erosivo — Por determinar</t>
        </is>
      </c>
      <c r="C11" s="27" t="n">
        <v>620598</v>
      </c>
      <c r="D11" s="27" t="n">
        <v>9451513</v>
      </c>
      <c r="E11" s="14" t="n">
        <v>16225.5</v>
      </c>
      <c r="F11" s="14" t="inlineStr">
        <is>
          <t>Activa</t>
        </is>
      </c>
      <c r="G11" s="14" t="inlineStr">
        <is>
          <t>Concentración natural de escorrentía</t>
        </is>
      </c>
    </row>
    <row r="12">
      <c r="A12" s="7" t="inlineStr">
        <is>
          <t>E-02</t>
        </is>
      </c>
      <c r="B12" s="15" t="inlineStr">
        <is>
          <t>Rasgo erosivo — Surco (&lt;30 cm)</t>
        </is>
      </c>
      <c r="C12" s="26" t="n">
        <v>620593</v>
      </c>
      <c r="D12" s="26" t="n">
        <v>9451503</v>
      </c>
      <c r="E12" s="15" t="n">
        <v>16221.6</v>
      </c>
      <c r="F12" s="15" t="inlineStr">
        <is>
          <t>Activa</t>
        </is>
      </c>
      <c r="G12" s="15" t="inlineStr">
        <is>
          <t>Concentración natural de escorrentía</t>
        </is>
      </c>
    </row>
    <row r="13">
      <c r="A13" s="13" t="inlineStr">
        <is>
          <t>E-03</t>
        </is>
      </c>
      <c r="B13" s="14" t="inlineStr">
        <is>
          <t>Rasgo erosivo — Por determinar</t>
        </is>
      </c>
      <c r="C13" s="27" t="n">
        <v>620600</v>
      </c>
      <c r="D13" s="27" t="n">
        <v>9451512</v>
      </c>
      <c r="E13" s="14" t="n">
        <v>16223.4</v>
      </c>
      <c r="F13" s="14" t="inlineStr">
        <is>
          <t>Activa</t>
        </is>
      </c>
      <c r="G13" s="14" t="inlineStr">
        <is>
          <t>Otro (talud de corte de vía)</t>
        </is>
      </c>
    </row>
    <row r="14">
      <c r="A14" s="7" t="inlineStr">
        <is>
          <t>E-04</t>
        </is>
      </c>
      <c r="B14" s="15" t="inlineStr">
        <is>
          <t>Rasgo erosivo — Surco (&lt;30 cm)</t>
        </is>
      </c>
      <c r="C14" s="26" t="n">
        <v>620588</v>
      </c>
      <c r="D14" s="26" t="n">
        <v>9451502</v>
      </c>
      <c r="E14" s="15" t="n">
        <v>16224.3</v>
      </c>
      <c r="F14" s="15" t="inlineStr">
        <is>
          <t>Activa</t>
        </is>
      </c>
      <c r="G14" s="15" t="inlineStr">
        <is>
          <t>Concentración natural de escorrentía</t>
        </is>
      </c>
    </row>
    <row r="15">
      <c r="A15" s="16" t="inlineStr">
        <is>
          <t>TOTAL: 5 puntos</t>
        </is>
      </c>
      <c r="B15" s="17" t="inlineStr"/>
      <c r="C15" s="17" t="inlineStr"/>
      <c r="D15" s="17" t="inlineStr"/>
      <c r="E15" s="17" t="inlineStr"/>
      <c r="F15" s="17" t="inlineStr"/>
      <c r="G15" s="17" t="inlineStr"/>
    </row>
    <row r="16"/>
    <row r="17">
      <c r="A17" s="6" t="inlineStr">
        <is>
          <t>Centroide del bloque — UTM ESTE (m)</t>
        </is>
      </c>
      <c r="B17" s="7" t="n">
        <v>631723</v>
      </c>
      <c r="C17" s="6" t="inlineStr">
        <is>
          <t>Centroide del bloque — UTM NORTE (m)</t>
        </is>
      </c>
      <c r="D17" s="7" t="n">
        <v>9439702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19"/>
    <row r="20" ht="156"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CARACTERIZACIÓN EXTERNA/PERIMETRAL desde el entorno del C.P. Putagas; NO se accedió al interior del bloque el 24/06/2026 (mal estado de la trocha y fuerte pendiente). Escarpes activos en taludes de corte de la trocha de aproximación. Antecedente referido: reubicación de un centro poblado por deslizamientos en temporada de lluvias (CP y fecha por precisar). ATENCIÓN: la ficha consigna UTM del punto de muestreo 645 575 E · 9 393 500 N, valor por defecto de la plantilla, incompatible con el centroide de catálogo (631 723 E · 9 439 702 N). El texto de la ficha declara además un centroide 621 613 E · 9 452 884 N (Centroides_V5), que tampoco coincide con el catálogo maestro: TRES georreferencias divergentes por conciliar. Pendiente media del acceso 32.5% (máx. 61.7%); rango altitudinal del acceso 2374-2746 msnm. MSAVI 2024 = 0.678 (vigor alto).</t>
        </is>
      </c>
      <c r="B20" s="40" t="n"/>
      <c r="C20" s="40" t="n"/>
      <c r="D20" s="40" t="n"/>
      <c r="E20" s="40" t="n"/>
      <c r="F20" s="40" t="n"/>
      <c r="G20" s="41"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56</t>
        </is>
      </c>
    </row>
    <row r="6" ht="24" customHeight="1">
      <c r="A6" s="4" t="inlineStr">
        <is>
          <t>Distrito de Frias · Provincia de Ayabaca · Comparación de los bloques preliminares de intervención de la misma microcuenca</t>
        </is>
      </c>
    </row>
    <row r="7"/>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13</t>
        </is>
      </c>
      <c r="B10" s="28" t="n">
        <v>100.51</v>
      </c>
      <c r="C10" s="19" t="n">
        <v>40.73</v>
      </c>
      <c r="D10" s="15" t="inlineStr">
        <is>
          <t>1649 – 2267</t>
        </is>
      </c>
      <c r="E10" s="15" t="n">
        <v>618</v>
      </c>
      <c r="F10" s="15" t="n">
        <v>28.99</v>
      </c>
      <c r="G10" s="18" t="n">
        <v>0.6711</v>
      </c>
      <c r="H10" s="19" t="n">
        <v>89.59</v>
      </c>
      <c r="I10" s="19" t="n">
        <v>5.21</v>
      </c>
    </row>
    <row r="11">
      <c r="A11" s="11" t="inlineStr">
        <is>
          <t>► 56</t>
        </is>
      </c>
      <c r="B11" s="29" t="n">
        <v>77.67</v>
      </c>
      <c r="C11" s="30" t="n">
        <v>31.48</v>
      </c>
      <c r="D11" s="12" t="inlineStr">
        <is>
          <t>2342 – 2770</t>
        </is>
      </c>
      <c r="E11" s="12" t="n">
        <v>428</v>
      </c>
      <c r="F11" s="12" t="n">
        <v>27.27</v>
      </c>
      <c r="G11" s="31" t="n">
        <v>0.6777</v>
      </c>
      <c r="H11" s="30" t="n">
        <v>94.90000000000001</v>
      </c>
      <c r="I11" s="30" t="n">
        <v>2.8</v>
      </c>
    </row>
    <row r="12">
      <c r="A12" s="7" t="inlineStr">
        <is>
          <t>39</t>
        </is>
      </c>
      <c r="B12" s="28" t="n">
        <v>68.56999999999999</v>
      </c>
      <c r="C12" s="19" t="n">
        <v>27.79</v>
      </c>
      <c r="D12" s="15" t="inlineStr">
        <is>
          <t>1729 – 2088</t>
        </is>
      </c>
      <c r="E12" s="15" t="n">
        <v>359</v>
      </c>
      <c r="F12" s="15" t="n">
        <v>22.51</v>
      </c>
      <c r="G12" s="18" t="n">
        <v>0.7016</v>
      </c>
      <c r="H12" s="19" t="n">
        <v>94.05</v>
      </c>
      <c r="I12" s="19" t="n">
        <v>3.84</v>
      </c>
    </row>
    <row r="13">
      <c r="A13" s="16" t="inlineStr">
        <is>
          <t>TOTAL / PROMEDIO</t>
        </is>
      </c>
      <c r="B13" s="32">
        <f>SUM(B10:B12)</f>
        <v>246.75</v>
      </c>
      <c r="C13" s="23">
        <f>SUM(C10:C12)</f>
        <v>100.0</v>
      </c>
      <c r="D13" s="17" t="inlineStr">
        <is>
          <t>1649 – 2770</t>
        </is>
      </c>
      <c r="E13" s="17" t="inlineStr"/>
      <c r="F13" s="17">
        <f>ROUND(AVERAGE(F10:F12),2)</f>
        <v>26.26</v>
      </c>
      <c r="G13" s="22">
        <f>ROUND(AVERAGE(G10:G12),4)</f>
        <v>0.6835</v>
      </c>
      <c r="H13" s="23">
        <f>ROUND(AVERAGE(H10:H12),2)</f>
        <v>92.85</v>
      </c>
      <c r="I13" s="23">
        <f>ROUND(AVERAGE(I10:I12),2)</f>
        <v>3.95</v>
      </c>
    </row>
    <row r="14"/>
    <row r="15" ht="84" customHeight="1">
      <c r="A15" s="9" t="inlineStr">
        <is>
          <t>LECTURA INTRAMICROCUENCA. El bloque 56 ocupa el puesto 2 de 3 por superficie dentro de la microcuenca C1096-Q9564 (31.48 % de las 246.75 ha preliminares de la microcuenca). Su pendiente promedio (27.27 %, clase «25-50% (Mod. escarpado)») es la 2.ª más baja de 3 y se sitúa por encima del promedio de la microcuenca (26.26 %). Su MSAVI 2024 (0.6777) es el 2.º de 3 y queda por debajo del promedio local (0.6835). Amplitud altitudinal del bloque: 428 m (2342–2770 msnm). El cuadro conserva todos los bloques catalogados en la microcuenca, incluidos los descartados en el tamizaje, para referencia del conjunto. Los bloques sin ficha DT figuran con sus parámetros de gabinete. BRECHA ESPECTRAL. El 2.80 % de la superficie del bloque (2.171 ha de 77.666 ha) se sitúa bajo el umbral MSAVI 0.4976, por debajo del promedio local de la microcuenca (3.95 %) calculado sobre los bloques con dato MSAVI disponible.</t>
        </is>
      </c>
      <c r="B15" s="40" t="n"/>
      <c r="C15" s="40" t="n"/>
      <c r="D15" s="40" t="n"/>
      <c r="E15" s="40" t="n"/>
      <c r="F15" s="40" t="n"/>
      <c r="G15" s="40" t="n"/>
      <c r="H15" s="41" t="n"/>
    </row>
    <row r="16"/>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7" s="40" t="n"/>
      <c r="C17" s="40" t="n"/>
      <c r="D17" s="40" t="n"/>
      <c r="E17" s="40" t="n"/>
      <c r="F17" s="40" t="n"/>
      <c r="G17" s="40" t="n"/>
      <c r="H17" s="41" t="n"/>
    </row>
  </sheetData>
  <mergeCells count="9">
    <mergeCell ref="A1:I1"/>
    <mergeCell ref="A4:I4"/>
    <mergeCell ref="A3:I3"/>
    <mergeCell ref="A15:I15"/>
    <mergeCell ref="A2:I2"/>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«C1096-Q9564»</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48,234 m del centroide de catálogo (631723 E / 9439702 N), distancia incompatible con la superficie del bloque (77.67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(77.699 ha) coincide con la de catálogo (77.67 ha) dentro del ±2 % (+0.04 %)</t>
        </is>
      </c>
      <c r="D12" s="34" t="inlineStr">
        <is>
          <t>CONFORME</t>
        </is>
      </c>
      <c r="E12" s="33" t="inlineStr">
        <is>
          <t>Sin acción: la segmentación valida la geometría del bloque.</t>
        </is>
      </c>
    </row>
    <row r="13" ht="48" customHeight="1">
      <c r="A13" s="35" t="inlineStr">
        <is>
          <t>D-04</t>
        </is>
      </c>
      <c r="B13" s="35" t="inlineStr">
        <is>
          <t>Dimensiones del inventario de cárcavas</t>
        </is>
      </c>
      <c r="C13" s="35" t="inlineStr">
        <is>
          <t>Se registran 4 rasgos erosivos, pero longitud, profundidad y ancho no fueron medidos instrumentalmente</t>
        </is>
      </c>
      <c r="D13" s="12" t="inlineStr">
        <is>
          <t>NO SUSTANTIVA</t>
        </is>
      </c>
      <c r="E13" s="35" t="inlineStr">
        <is>
          <t>El conteo registrado no debe usarse para calcular densidad de cárcavas por hectárea. Pendiente de levantamiento con GPS submétrico.</t>
        </is>
      </c>
    </row>
    <row r="14" ht="48" customHeight="1">
      <c r="A14" s="33" t="inlineStr">
        <is>
          <t>D-05</t>
        </is>
      </c>
      <c r="B14" s="33" t="inlineStr">
        <is>
          <t>Elenco florístico</t>
        </is>
      </c>
      <c r="C14" s="33" t="inlineStr">
        <is>
          <t>La ficha registra 5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«Putagas (620 357 E · 9 451 508 N; 300 hab.) — referida en ficha; también Banda de la Cruz (75 hab.)»; el cruce INEI-Bloques V5 identifica 2 centro(s) poblado(s) en el bloque: BANDA DE LA CRUZ, PUTAGAS</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F-DT-01</t>
        </is>
      </c>
      <c r="C18" s="33" t="inlineStr">
        <is>
          <t>UTM del punto de muestreo 645 575 E · 9 393 500 N corresponde al valor por defecto de la plantilla; incompatible con el centroide de catálogo (631 723 E · 9 439 702 N)</t>
        </is>
      </c>
      <c r="D18" s="36" t="inlineStr">
        <is>
          <t>SUSTANTIVA</t>
        </is>
      </c>
      <c r="E18" s="33" t="inlineStr">
        <is>
          <t>Se conserva el registro de la ficha y se declara la inconsistencia; georreferencia por reponer en campo</t>
        </is>
      </c>
    </row>
    <row r="19" ht="48" customHeight="1">
      <c r="A19" s="35" t="inlineStr">
        <is>
          <t>D-10</t>
        </is>
      </c>
      <c r="B19" s="35" t="inlineStr">
        <is>
          <t>F-DT-01</t>
        </is>
      </c>
      <c r="C19" s="35" t="inlineStr">
        <is>
          <t>La ficha declara centroide 621 613 E · 9 452 884 N (Centroides_V5), distinto del catálogo maestro Bloques_V5 (631 723 E · 9 439 702 N)</t>
        </is>
      </c>
      <c r="D19" s="36" t="inlineStr">
        <is>
          <t>SUSTANTIVA</t>
        </is>
      </c>
      <c r="E19" s="35" t="inlineStr">
        <is>
          <t>Conciliar catálogo de centroides antes del expediente</t>
        </is>
      </c>
    </row>
    <row r="20" ht="48" customHeight="1">
      <c r="A20" s="33" t="inlineStr">
        <is>
          <t>D-11</t>
        </is>
      </c>
      <c r="B20" s="33" t="inlineStr">
        <is>
          <t>F-DT-02</t>
        </is>
      </c>
      <c r="C20" s="33" t="inlineStr">
        <is>
          <t>Los 4 rasgos erosivos se ubican en la franja de aproximación (≈620 590 E · 9 451 505 N), fuera del polígono del bloque</t>
        </is>
      </c>
      <c r="D20" s="36" t="inlineStr">
        <is>
          <t>SUSTANTIVA</t>
        </is>
      </c>
      <c r="E20" s="33" t="inlineStr">
        <is>
          <t>Se reportan como inventario perimetral, no interno</t>
        </is>
      </c>
    </row>
    <row r="21" ht="48" customHeight="1">
      <c r="A21" s="35" t="inlineStr">
        <is>
          <t>D-12</t>
        </is>
      </c>
      <c r="B21" s="35" t="inlineStr">
        <is>
          <t>Plan de Ingreso</t>
        </is>
      </c>
      <c r="C21" s="35" t="inlineStr">
        <is>
          <t>Altitud = 0 msnm (captura por defecto del aplicativo)</t>
        </is>
      </c>
      <c r="D21" s="12" t="inlineStr">
        <is>
          <t>NO SUSTANTIVA</t>
        </is>
      </c>
      <c r="E21" s="35" t="inlineStr">
        <is>
          <t>Se sustituye por el rango del MDE 2342-2770 msnm</t>
        </is>
      </c>
    </row>
    <row r="22" ht="48" customHeight="1">
      <c r="A22" s="35" t="inlineStr">
        <is>
          <t>D-13</t>
        </is>
      </c>
      <c r="B22" s="35" t="inlineStr">
        <is>
          <t>Distribución areal MSAVI 2024</t>
        </is>
      </c>
      <c r="C22" s="35" t="inlineStr">
        <is>
          <t>La distribución por clase de MSAVI no figuraba en los insumos del entregable y se consignaba «Por determinar»; se incorpora la estadística zonal del ráster MSAVI clasificado (124 polígonos, 77.666 ha)</t>
        </is>
      </c>
      <c r="D22" s="12" t="inlineStr">
        <is>
          <t>CORREGIDO</t>
        </is>
      </c>
      <c r="E22"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3" ht="48" customHeight="1">
      <c r="A23" s="35" t="inlineStr">
        <is>
          <t>D-14</t>
        </is>
      </c>
      <c r="B23" s="35" t="inlineStr">
        <is>
          <t>Superficie MSAVI vs. catálogo</t>
        </is>
      </c>
      <c r="C23" s="35" t="inlineStr">
        <is>
          <t>La superficie total clasificada por el MSAVI 2024 (77.666 ha) frente a la de catálogo V5/V6 (77.670 ha): desviación de -0.01 %</t>
        </is>
      </c>
      <c r="D23" s="12" t="inlineStr">
        <is>
          <t>CONFORME</t>
        </is>
      </c>
      <c r="E23" s="35" t="inlineStr">
        <is>
          <t>Sin acción: la segmentación del ráster valida la geometría del bloque dentro del ±2 %.</t>
        </is>
      </c>
    </row>
    <row r="24" ht="48" customHeight="1">
      <c r="A24" s="35" t="inlineStr">
        <is>
          <t>D-15</t>
        </is>
      </c>
      <c r="B24" s="35" t="inlineStr">
        <is>
          <t>Media MSAVI vs. clase DN dominante</t>
        </is>
      </c>
      <c r="C24" s="35" t="inlineStr">
        <is>
          <t>La media del bloque (0.6777) cae en la clase «DN 5 · &gt; 0.6139 (Vigor alto)»; la clase de mayor superficie es «DN 5 · &gt; 0.6139 (Vigor alto)», con 78.95 % del bloque. Superficie bajo el umbral 0.4976: 2.171 ha (2.80 %)</t>
        </is>
      </c>
      <c r="D24" s="12" t="inlineStr">
        <is>
          <t>CONFORME</t>
        </is>
      </c>
      <c r="E24" s="35" t="inlineStr">
        <is>
          <t>Sin acción: la media del bloque y la clase de mayor superficie coinciden.</t>
        </is>
      </c>
    </row>
    <row r="25"/>
    <row r="26">
      <c r="A26" s="16" t="inlineStr">
        <is>
          <t>RESUMEN</t>
        </is>
      </c>
      <c r="B26" s="17" t="inlineStr">
        <is>
          <t>15 verificaciones</t>
        </is>
      </c>
      <c r="C26" s="17" t="inlineStr">
        <is>
          <t>CONFORME: 5 · CORREGIDO: 1 · NO SUSTANTIVA: 2 · SUSTANTIVA: 7</t>
        </is>
      </c>
      <c r="D26" s="17" t="inlineStr"/>
      <c r="E26" s="17" t="inlineStr"/>
    </row>
    <row r="27"/>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40" t="n"/>
      <c r="C28" s="40" t="n"/>
      <c r="D28" s="40" t="n"/>
      <c r="E28" s="41"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56 — IN Piura</dc:title>
  <dc:subject>Diagnóstico Territorial por bloque de intervención</dc:subject>
  <dcterms:created xsi:type="dcterms:W3CDTF">2026-09-08T03:39:56Z</dcterms:created>
  <dcterms:modified xsi:type="dcterms:W3CDTF">2026-09-10T00:28:28Z</dcterms:modified>
</cp:coreProperties>
</file>