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4</t>
        </is>
      </c>
      <c r="C9" s="6" t="inlineStr">
        <is>
          <t>Microcuenca (catálogo)</t>
        </is>
      </c>
      <c r="D9" s="7" t="inlineStr">
        <is>
          <t>C1076-Q9588</t>
        </is>
      </c>
      <c r="E9" s="8" t="n"/>
      <c r="F9" s="8" t="n"/>
    </row>
    <row r="10">
      <c r="A10" s="6" t="inlineStr">
        <is>
          <t>Zona de planificación</t>
        </is>
      </c>
      <c r="B10" s="7" t="inlineStr">
        <is>
          <t>Z14</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San Antonio de Succhirca / La Rinconada</t>
        </is>
      </c>
      <c r="C13" s="6" t="inlineStr">
        <is>
          <t>Comunidad campesina</t>
        </is>
      </c>
      <c r="D13" s="7" t="inlineStr">
        <is>
          <t>Por verificar</t>
        </is>
      </c>
      <c r="E13" s="8" t="n"/>
      <c r="F13" s="8" t="n"/>
    </row>
    <row r="14">
      <c r="A14" s="6" t="inlineStr">
        <is>
          <t>Superficie de catálogo (V5/V6), ha</t>
        </is>
      </c>
      <c r="B14" s="7" t="n">
        <v>230.1</v>
      </c>
      <c r="C14" s="6" t="inlineStr">
        <is>
          <t>Fuente de superficie</t>
        </is>
      </c>
      <c r="D14" s="7" t="inlineStr">
        <is>
          <t>Catálogo maestro Bloques V5/V6</t>
        </is>
      </c>
      <c r="E14" s="8" t="n"/>
      <c r="F14" s="8" t="n"/>
    </row>
    <row r="15">
      <c r="A15" s="6" t="inlineStr">
        <is>
          <t>Centroide UTM ESTE (m)</t>
        </is>
      </c>
      <c r="B15" s="7" t="n">
        <v>656549</v>
      </c>
      <c r="C15" s="6" t="inlineStr">
        <is>
          <t>Centroide UTM NORTE (m)</t>
        </is>
      </c>
      <c r="D15" s="7" t="n">
        <v>9382009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1378</v>
      </c>
      <c r="C19" s="6" t="inlineStr">
        <is>
          <t>Altitud máxima (msnm)</t>
        </is>
      </c>
      <c r="D19" s="7" t="n">
        <v>2318</v>
      </c>
      <c r="E19" s="8" t="n"/>
      <c r="F19" s="8" t="n"/>
    </row>
    <row r="20">
      <c r="A20" s="6" t="inlineStr">
        <is>
          <t>Amplitud altitudinal (m)</t>
        </is>
      </c>
      <c r="B20" s="7" t="n">
        <v>940</v>
      </c>
      <c r="C20" s="6" t="inlineStr">
        <is>
          <t>Piso altitudinal dominante</t>
        </is>
      </c>
      <c r="D20" s="7" t="inlineStr">
        <is>
          <t>1500-2000 m (Quechua media)</t>
        </is>
      </c>
      <c r="E20" s="8" t="n"/>
      <c r="F20" s="8" t="n"/>
    </row>
    <row r="21">
      <c r="A21" s="6" t="inlineStr">
        <is>
          <t>Pendiente promedio (%)</t>
        </is>
      </c>
      <c r="B21" s="7" t="n">
        <v>35.01</v>
      </c>
      <c r="C21" s="6" t="inlineStr">
        <is>
          <t>Pendiente promedio (grados)</t>
        </is>
      </c>
      <c r="D21" s="7" t="n">
        <v>19.3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0.6601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(88.10 %)</t>
        </is>
      </c>
      <c r="E29" s="8" t="n"/>
      <c r="F29" s="8" t="n"/>
    </row>
    <row r="30">
      <c r="A30" s="6" t="inlineStr">
        <is>
          <t>Superficie clasificada NDVI 2025 (ha)</t>
        </is>
      </c>
      <c r="B30" s="7" t="n">
        <v>230.143</v>
      </c>
      <c r="C30" s="6" t="inlineStr">
        <is>
          <t>Desviación frente al catálogo (%)</t>
        </is>
      </c>
      <c r="D30" s="7" t="n">
        <v>0.02</v>
      </c>
      <c r="E30" s="8" t="n"/>
      <c r="F30" s="8" t="n"/>
    </row>
    <row r="31">
      <c r="A31" s="6" t="inlineStr">
        <is>
          <t>Superficie clasificada MSAVI 2024 (ha)</t>
        </is>
      </c>
      <c r="B31" s="37" t="n">
        <v>230.098</v>
      </c>
      <c r="C31" s="6" t="inlineStr">
        <is>
          <t>Desviación MSAVI frente al catálogo (%)</t>
        </is>
      </c>
      <c r="D31" s="38" t="n">
        <v>0</v>
      </c>
      <c r="E31" s="8" t="n"/>
      <c r="F31" s="8" t="n"/>
    </row>
    <row r="32">
      <c r="A32" s="6" t="inlineStr">
        <is>
          <t>Superficie bajo umbral MSAVI 0.4976 (ha)</t>
        </is>
      </c>
      <c r="B32" s="37" t="n">
        <v>21.228</v>
      </c>
      <c r="C32" s="6" t="inlineStr">
        <is>
          <t>% del bloque bajo umbral (brecha espectral)</t>
        </is>
      </c>
      <c r="D32" s="38" t="n">
        <v>9.23</v>
      </c>
      <c r="E32" s="8" t="n"/>
      <c r="F32" s="8" t="n"/>
    </row>
    <row r="33">
      <c r="A33" s="6" t="inlineStr">
        <is>
          <t>Clase DN dominante (MSAVI 2024)</t>
        </is>
      </c>
      <c r="B33" s="7" t="inlineStr">
        <is>
          <t>DN 5 · &gt; 0.6139 (Vigor alto)</t>
        </is>
      </c>
      <c r="C33" s="6" t="inlineStr">
        <is>
          <t>N.° de polígonos MSAVI del bloque</t>
        </is>
      </c>
      <c r="D33" s="39" t="n">
        <v>557</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230.10 ha declaradas como Zona agrícola (100% del bloque)</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91</v>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10</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Pedro Talledo Hernández</t>
        </is>
      </c>
      <c r="C44" s="6" t="inlineStr">
        <is>
          <t>Fecha de evaluación</t>
        </is>
      </c>
      <c r="D44" s="7" t="inlineStr">
        <is>
          <t>2026-08-20</t>
        </is>
      </c>
      <c r="E44" s="8" t="n"/>
      <c r="F44" s="8" t="n"/>
    </row>
    <row r="45">
      <c r="A45" s="6" t="inlineStr">
        <is>
          <t>Hora de registro</t>
        </is>
      </c>
      <c r="B45" s="7" t="inlineStr">
        <is>
          <t>09:23 - 10:50 h</t>
        </is>
      </c>
      <c r="C45" s="6" t="inlineStr">
        <is>
          <t>Correlativo de ficha</t>
        </is>
      </c>
      <c r="D45" s="7" t="inlineStr">
        <is>
          <t>DT-B4-001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(observación libre desde estaciones exteriores)</t>
        </is>
      </c>
      <c r="E47" s="8" t="n"/>
      <c r="F47" s="8" t="n"/>
    </row>
    <row r="48">
      <c r="A48" s="6" t="inlineStr">
        <is>
          <t>Estaciones fotográficas georreferenciadas</t>
        </is>
      </c>
      <c r="B48" s="7" t="n">
        <v>12</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Estructura de tenencia y de subsistencia familiar del sector San Antonio de Succhirca - La Rinconada</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1" t="n">
        <v>165.0947</v>
      </c>
      <c r="C10" s="30">
        <f>ROUND(B10/$B$15*100,2)</f>
        <v>71.75</v>
      </c>
      <c r="D10" s="12" t="inlineStr">
        <is>
          <t>Vigor alto</t>
        </is>
      </c>
      <c r="E10" s="12" t="inlineStr">
        <is>
          <t>Sobre umbral</t>
        </is>
      </c>
    </row>
    <row r="11">
      <c r="A11" s="13" t="inlineStr">
        <is>
          <t>0.4976 - 0.6139 · DN 4</t>
        </is>
      </c>
      <c r="B11" s="20" t="n">
        <v>43.7754</v>
      </c>
      <c r="C11" s="21">
        <f>ROUND(B11/$B$15*100,2)</f>
        <v>19.02</v>
      </c>
      <c r="D11" s="14" t="inlineStr">
        <is>
          <t>Vigor moderado</t>
        </is>
      </c>
      <c r="E11" s="14" t="inlineStr">
        <is>
          <t>Sobre umbral</t>
        </is>
      </c>
    </row>
    <row r="12">
      <c r="A12" s="7" t="inlineStr">
        <is>
          <t>0.3813 - 0.4976 · DN 3</t>
        </is>
      </c>
      <c r="B12" s="18" t="n">
        <v>18.2778</v>
      </c>
      <c r="C12" s="19">
        <f>ROUND(B12/$B$15*100,2)</f>
        <v>7.94</v>
      </c>
      <c r="D12" s="15" t="inlineStr">
        <is>
          <t>Vigor bajo</t>
        </is>
      </c>
      <c r="E12" s="15" t="inlineStr">
        <is>
          <t>BAJO umbral 0.4976</t>
        </is>
      </c>
    </row>
    <row r="13">
      <c r="A13" s="13" t="inlineStr">
        <is>
          <t>0.2650 - 0.3813 · DN 2</t>
        </is>
      </c>
      <c r="B13" s="20" t="n">
        <v>2.2581</v>
      </c>
      <c r="C13" s="21">
        <f>ROUND(B13/$B$15*100,2)</f>
        <v>0.98</v>
      </c>
      <c r="D13" s="14" t="inlineStr">
        <is>
          <t>Vigor muy bajo</t>
        </is>
      </c>
      <c r="E13" s="14" t="inlineStr">
        <is>
          <t>BAJO umbral 0.4976</t>
        </is>
      </c>
    </row>
    <row r="14">
      <c r="A14" s="7" t="inlineStr">
        <is>
          <t>&lt;= 0.2650 · DN 1</t>
        </is>
      </c>
      <c r="B14" s="18" t="n">
        <v>0.6923</v>
      </c>
      <c r="C14" s="19">
        <f>ROUND(B14/$B$15*100,2)</f>
        <v>0.3</v>
      </c>
      <c r="D14" s="15" t="inlineStr">
        <is>
          <t>Suelo desnudo / no vegetal</t>
        </is>
      </c>
      <c r="E14" s="15" t="inlineStr">
        <is>
          <t>BAJO umbral 0.4976</t>
        </is>
      </c>
    </row>
    <row r="15" ht="30" customHeight="1">
      <c r="A15" s="42" t="inlineStr">
        <is>
          <t>TOTAL CLASIFICADO MSAVI 2024</t>
        </is>
      </c>
      <c r="B15" s="43">
        <f>SUM(B10:B14)</f>
        <v>230.0983</v>
      </c>
      <c r="C15" s="44">
        <f>SUM(C10:C14)</f>
        <v>99.99</v>
      </c>
      <c r="D15" s="42" t="inlineStr">
        <is>
          <t>Suma de la distribución areal · 557 polígonos</t>
        </is>
      </c>
      <c r="E15" s="42" t="inlineStr">
        <is>
          <t>—</t>
        </is>
      </c>
    </row>
    <row r="16" ht="30" customHeight="1">
      <c r="A16" s="45" t="inlineStr">
        <is>
          <t>Superficie SOBRE umbral 0.4976 (ha)</t>
        </is>
      </c>
      <c r="B16" s="46">
        <f>SUM(B10:B11)</f>
        <v>208.8701</v>
      </c>
      <c r="C16" s="47">
        <f>ROUND(B16/B15*100,2)</f>
        <v>90.77</v>
      </c>
      <c r="D16" s="45" t="inlineStr">
        <is>
          <t>Vigor alto y moderado (DN 4 y DN 5)</t>
        </is>
      </c>
      <c r="E16" s="45" t="inlineStr">
        <is>
          <t>Sobre umbral 0.4976</t>
        </is>
      </c>
    </row>
    <row r="17" ht="30" customHeight="1">
      <c r="A17" s="45" t="inlineStr">
        <is>
          <t>Superficie BAJO umbral 0.4976 (ha) — brecha</t>
        </is>
      </c>
      <c r="B17" s="46">
        <f>SUM(B12:B14)</f>
        <v>21.2282</v>
      </c>
      <c r="C17" s="47">
        <f>ROUND(B17/B15*100,2)</f>
        <v>9.23</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230.1</v>
      </c>
      <c r="C18" s="48" t="inlineStr">
        <is>
          <t>—</t>
        </is>
      </c>
      <c r="D18" s="45" t="inlineStr">
        <is>
          <t>Desviación planimétrica frente al catálogo</t>
        </is>
      </c>
      <c r="E18" s="45" t="inlineStr">
        <is>
          <t>+0.00 %</t>
        </is>
      </c>
    </row>
    <row r="19">
      <c r="A19" s="16" t="inlineStr">
        <is>
          <t>MSAVI 2024 — MEDIA DEL BLOQUE</t>
        </is>
      </c>
      <c r="B19" s="17" t="n">
        <v>0.660111</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557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(0.6601)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202.7485</v>
      </c>
      <c r="C25" s="19" t="n">
        <v>88.09999999999999</v>
      </c>
      <c r="D25" s="15" t="inlineStr">
        <is>
          <t>Dosel continuo, matorral denso o mosaico agroforestal</t>
        </is>
      </c>
      <c r="E25" s="15" t="inlineStr"/>
    </row>
    <row r="26">
      <c r="A26" s="13" t="inlineStr">
        <is>
          <t>Vegetación mediana</t>
        </is>
      </c>
      <c r="B26" s="20" t="n">
        <v>25.1485</v>
      </c>
      <c r="C26" s="21" t="n">
        <v>10.93</v>
      </c>
      <c r="D26" s="14" t="inlineStr">
        <is>
          <t>Pastizal cultivado, matorral ralo, parcelas agrícolas</t>
        </is>
      </c>
      <c r="E26" s="14" t="inlineStr"/>
    </row>
    <row r="27">
      <c r="A27" s="7" t="inlineStr">
        <is>
          <t>Vegetación ligera</t>
        </is>
      </c>
      <c r="B27" s="18" t="n">
        <v>2.1467</v>
      </c>
      <c r="C27" s="19" t="n">
        <v>0.93</v>
      </c>
      <c r="D27" s="15" t="inlineStr">
        <is>
          <t>Cobertura discontinua, suelo parcialmente expuesto</t>
        </is>
      </c>
      <c r="E27" s="15" t="inlineStr"/>
    </row>
    <row r="28">
      <c r="A28" s="13" t="inlineStr">
        <is>
          <t>Tierra desnuda</t>
        </is>
      </c>
      <c r="B28" s="20" t="n">
        <v>0.0989</v>
      </c>
      <c r="C28" s="21" t="n">
        <v>0.04</v>
      </c>
      <c r="D28" s="14" t="inlineStr">
        <is>
          <t>Suelo desnudo, afloramientos, plataformas y taludes</t>
        </is>
      </c>
      <c r="E28" s="14" t="inlineStr"/>
    </row>
    <row r="29">
      <c r="A29" s="16" t="inlineStr">
        <is>
          <t>TOTAL CLASIFICADO</t>
        </is>
      </c>
      <c r="B29" s="22">
        <f>SUM(B25:B28)</f>
        <v>230.1426</v>
      </c>
      <c r="C29" s="23">
        <f>SUM(C25:C28)</f>
        <v>100.0</v>
      </c>
      <c r="D29" s="17" t="inlineStr"/>
      <c r="E29" s="17" t="inlineStr"/>
    </row>
    <row r="30">
      <c r="A30" s="24" t="inlineStr">
        <is>
          <t>Superficie de catálogo (V5/V6)</t>
        </is>
      </c>
      <c r="B30" s="25" t="n">
        <v>230.1</v>
      </c>
      <c r="C30" s="25" t="inlineStr">
        <is>
          <t>—</t>
        </is>
      </c>
      <c r="D30" s="25" t="inlineStr">
        <is>
          <t>Desviación planimétrica frente al catálogo</t>
        </is>
      </c>
      <c r="E30" s="25" t="inlineStr">
        <is>
          <t>+0.02 %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91 % frente a un 88.10 % del polígono clasificado como «Vegetación alta» por el NDVI 2025; la observación de campo corresponde a una parcela o recorrido puntual y no es estadísticamente representativa de las 230.100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t>
        </is>
      </c>
    </row>
    <row r="6" ht="24" customHeight="1">
      <c r="A6" s="4" t="inlineStr">
        <is>
          <t>Levantamiento del 2026-08-20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656704</v>
      </c>
      <c r="D10" s="26" t="n">
        <v>9382756</v>
      </c>
      <c r="E10" s="15" t="n">
        <v>762.9</v>
      </c>
      <c r="F10" s="15" t="inlineStr"/>
      <c r="G10" s="15" t="inlineStr">
        <is>
          <t>Coordenada consignada en F-DT-01</t>
        </is>
      </c>
    </row>
    <row r="11">
      <c r="A11" s="13" t="inlineStr">
        <is>
          <t>E-02</t>
        </is>
      </c>
      <c r="B11" s="14" t="inlineStr">
        <is>
          <t>Estación fotográfica</t>
        </is>
      </c>
      <c r="C11" s="27" t="n">
        <v>657482</v>
      </c>
      <c r="D11" s="27" t="n">
        <v>9383238</v>
      </c>
      <c r="E11" s="14" t="n">
        <v>1543</v>
      </c>
      <c r="F11" s="14" t="inlineStr"/>
      <c r="G11" s="14" t="inlineStr">
        <is>
          <t>Registro fotográfico georreferenciado</t>
        </is>
      </c>
    </row>
    <row r="12">
      <c r="A12" s="7" t="inlineStr">
        <is>
          <t>E-03</t>
        </is>
      </c>
      <c r="B12" s="15" t="inlineStr">
        <is>
          <t>Estación fotográfica</t>
        </is>
      </c>
      <c r="C12" s="26" t="n">
        <v>656704</v>
      </c>
      <c r="D12" s="26" t="n">
        <v>9382756</v>
      </c>
      <c r="E12" s="15" t="n">
        <v>762.9</v>
      </c>
      <c r="F12" s="15" t="inlineStr"/>
      <c r="G12" s="15" t="inlineStr">
        <is>
          <t>Registro fotográfico georreferenciado</t>
        </is>
      </c>
    </row>
    <row r="13">
      <c r="A13" s="13" t="inlineStr">
        <is>
          <t>E-05</t>
        </is>
      </c>
      <c r="B13" s="14" t="inlineStr">
        <is>
          <t>Estación fotográfica</t>
        </is>
      </c>
      <c r="C13" s="27" t="n">
        <v>656513</v>
      </c>
      <c r="D13" s="27" t="n">
        <v>9382803</v>
      </c>
      <c r="E13" s="14" t="n">
        <v>794.8</v>
      </c>
      <c r="F13" s="14" t="inlineStr"/>
      <c r="G13" s="14" t="inlineStr">
        <is>
          <t>Registro fotográfico georreferenciado</t>
        </is>
      </c>
    </row>
    <row r="14">
      <c r="A14" s="7" t="inlineStr">
        <is>
          <t>E-06</t>
        </is>
      </c>
      <c r="B14" s="15" t="inlineStr">
        <is>
          <t>Estación fotográfica</t>
        </is>
      </c>
      <c r="C14" s="26" t="n">
        <v>656485</v>
      </c>
      <c r="D14" s="26" t="n">
        <v>9382766</v>
      </c>
      <c r="E14" s="15" t="n">
        <v>759.7</v>
      </c>
      <c r="F14" s="15" t="inlineStr"/>
      <c r="G14" s="15" t="inlineStr">
        <is>
          <t>Registro fotográfico georreferenciado</t>
        </is>
      </c>
    </row>
    <row r="15">
      <c r="A15" s="13" t="inlineStr">
        <is>
          <t>E-07</t>
        </is>
      </c>
      <c r="B15" s="14" t="inlineStr">
        <is>
          <t>Estación fotográfica</t>
        </is>
      </c>
      <c r="C15" s="27" t="n">
        <v>656445</v>
      </c>
      <c r="D15" s="27" t="n">
        <v>9382836</v>
      </c>
      <c r="E15" s="14" t="n">
        <v>833.5</v>
      </c>
      <c r="F15" s="14" t="inlineStr"/>
      <c r="G15" s="14" t="inlineStr">
        <is>
          <t>Registro fotográfico georreferenciado</t>
        </is>
      </c>
    </row>
    <row r="16">
      <c r="A16" s="7" t="inlineStr">
        <is>
          <t>E-09</t>
        </is>
      </c>
      <c r="B16" s="15" t="inlineStr">
        <is>
          <t>Estación fotográfica</t>
        </is>
      </c>
      <c r="C16" s="26" t="n">
        <v>656516</v>
      </c>
      <c r="D16" s="26" t="n">
        <v>9382809</v>
      </c>
      <c r="E16" s="15" t="n">
        <v>800.7</v>
      </c>
      <c r="F16" s="15" t="inlineStr"/>
      <c r="G16" s="15" t="inlineStr">
        <is>
          <t>Registro fotográfico georreferenciado</t>
        </is>
      </c>
    </row>
    <row r="17">
      <c r="A17" s="13" t="inlineStr">
        <is>
          <t>—</t>
        </is>
      </c>
      <c r="B17" s="14" t="inlineStr">
        <is>
          <t>Rasgo erosivo — Surco (&lt;30 cm)</t>
        </is>
      </c>
      <c r="C17" s="27" t="n">
        <v>656445</v>
      </c>
      <c r="D17" s="27" t="n">
        <v>9382836</v>
      </c>
      <c r="E17" s="14" t="n">
        <v>833.5</v>
      </c>
      <c r="F17" s="14" t="inlineStr">
        <is>
          <t>Semi-activa</t>
        </is>
      </c>
      <c r="G17" s="14" t="inlineStr">
        <is>
          <t>Caminos / huellas de ganado</t>
        </is>
      </c>
    </row>
    <row r="18">
      <c r="A18" s="7" t="inlineStr">
        <is>
          <t>—</t>
        </is>
      </c>
      <c r="B18" s="15" t="inlineStr">
        <is>
          <t>Rasgo erosivo — Surco (&lt;30 cm)</t>
        </is>
      </c>
      <c r="C18" s="26" t="n">
        <v>656516</v>
      </c>
      <c r="D18" s="26" t="n">
        <v>9382809</v>
      </c>
      <c r="E18" s="15" t="n">
        <v>800.7</v>
      </c>
      <c r="F18" s="15" t="inlineStr">
        <is>
          <t>Semi-activa</t>
        </is>
      </c>
      <c r="G18" s="15" t="inlineStr">
        <is>
          <t>Caminos / huellas de ganado</t>
        </is>
      </c>
    </row>
    <row r="19">
      <c r="A19" s="13" t="inlineStr">
        <is>
          <t>H-01</t>
        </is>
      </c>
      <c r="B19" s="14" t="inlineStr">
        <is>
          <t>Fuente de agua — Quebrada estacional</t>
        </is>
      </c>
      <c r="C19" s="27" t="n">
        <v>656485</v>
      </c>
      <c r="D19" s="27" t="n">
        <v>9382766</v>
      </c>
      <c r="E19" s="14" t="n">
        <v>759.7</v>
      </c>
      <c r="F19" s="14" t="inlineStr">
        <is>
          <t>Intermitente</t>
        </is>
      </c>
      <c r="G19" s="14" t="inlineStr">
        <is>
          <t>Cauce de fondo plano</t>
        </is>
      </c>
    </row>
    <row r="20">
      <c r="A20" s="7" t="inlineStr">
        <is>
          <t>H-02</t>
        </is>
      </c>
      <c r="B20" s="15" t="inlineStr">
        <is>
          <t>Fuente de agua — Quebrada estacional</t>
        </is>
      </c>
      <c r="C20" s="26" t="n">
        <v>656704</v>
      </c>
      <c r="D20" s="26" t="n">
        <v>9382756</v>
      </c>
      <c r="E20" s="15" t="n">
        <v>762.9</v>
      </c>
      <c r="F20" s="15" t="inlineStr">
        <is>
          <t>Intermitente</t>
        </is>
      </c>
      <c r="G20" s="15" t="inlineStr">
        <is>
          <t>Quebrada encajonada</t>
        </is>
      </c>
    </row>
    <row r="21">
      <c r="A21" s="13" t="inlineStr">
        <is>
          <t>H-03</t>
        </is>
      </c>
      <c r="B21" s="14" t="inlineStr">
        <is>
          <t>Fuente de agua — Otro (reservorio elevado)</t>
        </is>
      </c>
      <c r="C21" s="27" t="n">
        <v>657460</v>
      </c>
      <c r="D21" s="27" t="n">
        <v>9382956</v>
      </c>
      <c r="E21" s="14" t="n">
        <v>1314.1</v>
      </c>
      <c r="F21" s="14" t="inlineStr">
        <is>
          <t>Permanente</t>
        </is>
      </c>
      <c r="G21" s="14" t="inlineStr">
        <is>
          <t>Reservorio elevado</t>
        </is>
      </c>
    </row>
    <row r="22">
      <c r="A22" s="16" t="inlineStr">
        <is>
          <t>TOTAL: 12 puntos</t>
        </is>
      </c>
      <c r="B22" s="17" t="inlineStr"/>
      <c r="C22" s="17" t="inlineStr"/>
      <c r="D22" s="17" t="inlineStr"/>
      <c r="E22" s="17" t="inlineStr"/>
      <c r="F22" s="17" t="inlineStr"/>
      <c r="G22" s="17" t="inlineStr"/>
    </row>
    <row r="23"/>
    <row r="24">
      <c r="A24" s="6" t="inlineStr">
        <is>
          <t>Centroide del bloque — UTM ESTE (m)</t>
        </is>
      </c>
      <c r="B24" s="7" t="n">
        <v>656549</v>
      </c>
      <c r="C24" s="6" t="inlineStr">
        <is>
          <t>Centroide del bloque — UTM NORTE (m)</t>
        </is>
      </c>
      <c r="D24" s="7" t="n">
        <v>9382009</v>
      </c>
      <c r="E24" s="8" t="n"/>
      <c r="F24" s="8" t="n"/>
      <c r="G24" s="8" t="n"/>
      <c r="H24" s="8" t="n"/>
    </row>
    <row r="25">
      <c r="A25" s="6" t="inlineStr">
        <is>
          <t>N.° de estaciones fotográficas declaradas</t>
        </is>
      </c>
      <c r="B25" s="7" t="n">
        <v>12</v>
      </c>
      <c r="C25" s="6" t="inlineStr">
        <is>
          <t>Estaciones dentro del polígono</t>
        </is>
      </c>
      <c r="D25" s="7" t="n">
        <v>0</v>
      </c>
      <c r="E25" s="8" t="n"/>
      <c r="F25" s="8" t="n"/>
      <c r="G25" s="8" t="n"/>
      <c r="H25" s="8" t="n"/>
    </row>
    <row r="26"/>
    <row r="27" ht="120" customHeight="1">
      <c r="A2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Ficha NO diligenciada en campo; prellenado de gabinete a partir del registro fotográfico georreferenciado del 20-08-2026 (12 tomas, 10 con sello UTM), planos MSAVI 2024 y NDVI 2025, Google Earth y catálogos V4/V5/V6. El punto de muestreo (656704 E / 9382756 N) es la estación E-03, 69 m al norte del límite: NINGUNA estación se localiza dentro del bloque. El registro «No» en reptación, deslizamientos y remociones NO equivale a ausencia verificada. Pendiente promedio MDE: 35.01% (la mayor de la microcuenca C1076-Q9588).</t>
        </is>
      </c>
      <c r="B27" s="40" t="n"/>
      <c r="C27" s="40" t="n"/>
      <c r="D27" s="40" t="n"/>
      <c r="E27" s="40" t="n"/>
      <c r="F27" s="40" t="n"/>
      <c r="G27" s="41" t="n"/>
    </row>
  </sheetData>
  <mergeCells count="8">
    <mergeCell ref="A1:G1"/>
    <mergeCell ref="A27:G2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C1076-Q9588 — BLOQUE 4</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C1076-Q9588</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M12B1</t>
        </is>
      </c>
      <c r="B10" s="28" t="n">
        <v>268.39</v>
      </c>
      <c r="C10" s="19" t="n">
        <v>50.86</v>
      </c>
      <c r="D10" s="15" t="inlineStr">
        <is>
          <t>333 – 821</t>
        </is>
      </c>
      <c r="E10" s="15" t="n">
        <v>488</v>
      </c>
      <c r="F10" s="15" t="n">
        <v>18.18</v>
      </c>
      <c r="G10" s="18" t="n">
        <v>0.3475</v>
      </c>
      <c r="H10" s="19" t="n">
        <v>2.49</v>
      </c>
      <c r="I10" s="19" t="n">
        <v>96.62</v>
      </c>
    </row>
    <row r="11">
      <c r="A11" s="11" t="inlineStr">
        <is>
          <t>► 4</t>
        </is>
      </c>
      <c r="B11" s="29" t="n">
        <v>230.1</v>
      </c>
      <c r="C11" s="30" t="n">
        <v>43.6</v>
      </c>
      <c r="D11" s="12" t="inlineStr">
        <is>
          <t>1378 – 2318</t>
        </is>
      </c>
      <c r="E11" s="12" t="n">
        <v>940</v>
      </c>
      <c r="F11" s="12" t="n">
        <v>35.01</v>
      </c>
      <c r="G11" s="31" t="n">
        <v>0.6601</v>
      </c>
      <c r="H11" s="30" t="n">
        <v>88.09999999999999</v>
      </c>
      <c r="I11" s="30" t="n">
        <v>9.23</v>
      </c>
    </row>
    <row r="12">
      <c r="A12" s="7" t="inlineStr">
        <is>
          <t>74</t>
        </is>
      </c>
      <c r="B12" s="28" t="n">
        <v>29.23</v>
      </c>
      <c r="C12" s="19" t="n">
        <v>5.54</v>
      </c>
      <c r="D12" s="15" t="inlineStr">
        <is>
          <t>663 – 975</t>
        </is>
      </c>
      <c r="E12" s="15" t="n">
        <v>312</v>
      </c>
      <c r="F12" s="15" t="n">
        <v>29.51</v>
      </c>
      <c r="G12" s="18" t="n">
        <v>0.3565</v>
      </c>
      <c r="H12" s="19" t="n">
        <v>3.75</v>
      </c>
      <c r="I12" s="19" t="n">
        <v>99.8</v>
      </c>
    </row>
    <row r="13">
      <c r="A13" s="16" t="inlineStr">
        <is>
          <t>TOTAL / PROMEDIO</t>
        </is>
      </c>
      <c r="B13" s="32">
        <f>SUM(B10:B12)</f>
        <v>527.72</v>
      </c>
      <c r="C13" s="23">
        <f>SUM(C10:C12)</f>
        <v>100.0</v>
      </c>
      <c r="D13" s="17" t="inlineStr">
        <is>
          <t>333 – 2318</t>
        </is>
      </c>
      <c r="E13" s="17" t="inlineStr"/>
      <c r="F13" s="17">
        <f>ROUND(AVERAGE(F10:F12),2)</f>
        <v>27.57</v>
      </c>
      <c r="G13" s="22">
        <f>ROUND(AVERAGE(G10:G12),4)</f>
        <v>0.4547</v>
      </c>
      <c r="H13" s="23">
        <f>ROUND(AVERAGE(H10:H12),2)</f>
        <v>31.45</v>
      </c>
      <c r="I13" s="23">
        <f>ROUND(AVERAGE(I10:I12),2)</f>
        <v>68.55</v>
      </c>
    </row>
    <row r="14"/>
    <row r="15" ht="84" customHeight="1">
      <c r="A15" s="9" t="inlineStr">
        <is>
          <t>LECTURA INTRAMICROCUENCA. El bloque 4 ocupa el puesto 2 de 3 por superficie dentro de la microcuenca C1076-Q9588 (43.60 % de las 527.72 ha preliminares de la microcuenca). Su pendiente promedio (35.01 %, clase «25-50% (Mod. escarpado)») es la 3.ª más baja de 3 y se sitúa por encima del promedio de la microcuenca (27.57 %). Su MSAVI 2024 (0.6601) es el 1.º de 3 y queda por encima del promedio local (0.4547). Amplitud altitudinal del bloque: 940 m (1378–2318 msnm). El cuadro conserva todos los bloques catalogados en la microcuenca, incluidos los descartados en el tamizaje, para referencia del conjunto. Los bloques sin ficha DT figuran con sus parámetros de gabinete. BRECHA ESPECTRAL. El 9.23 % de la superficie del bloque (21.228 ha de 230.098 ha) se sitúa bajo el umbral MSAVI 0.4976, por debajo del promedio local de la microcuenca (68.55 %) calculado sobre los bloques con dato MSAVI disponible.</t>
        </is>
      </c>
      <c r="B15" s="40" t="n"/>
      <c r="C15" s="40" t="n"/>
      <c r="D15" s="40" t="n"/>
      <c r="E15" s="40" t="n"/>
      <c r="F15" s="40" t="n"/>
      <c r="G15" s="40" t="n"/>
      <c r="H15" s="41" t="n"/>
    </row>
    <row r="16"/>
    <row r="17" ht="60" customHeight="1">
      <c r="A17"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7" s="40" t="n"/>
      <c r="C17" s="40" t="n"/>
      <c r="D17" s="40" t="n"/>
      <c r="E17" s="40" t="n"/>
      <c r="F17" s="40" t="n"/>
      <c r="G17" s="40" t="n"/>
      <c r="H17" s="41" t="n"/>
    </row>
  </sheetData>
  <mergeCells count="9">
    <mergeCell ref="A1:I1"/>
    <mergeCell ref="A4:I4"/>
    <mergeCell ref="A3:I3"/>
    <mergeCell ref="A15:I15"/>
    <mergeCell ref="A2:I2"/>
    <mergeCell ref="A5:I5"/>
    <mergeCell ref="A8:I8"/>
    <mergeCell ref="A6:I6"/>
    <mergeCell ref="A17:I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La ficha DT declara «C1076-Q9584»; el catálogo maestro V5/V6 asigna el bloque a «C1076-Q9588»</t>
        </is>
      </c>
      <c r="D10" s="34" t="inlineStr">
        <is>
          <t>SUSTANTIVA</t>
        </is>
      </c>
      <c r="E10" s="33" t="inlineStr">
        <is>
          <t>Se conserva el código del catálogo maestro para todo cálculo intramicrocuenca. La declaración de la ficha debe corregirse en la siguiente versión del formato V5.</t>
        </is>
      </c>
    </row>
    <row r="11" ht="48" customHeight="1">
      <c r="A11" s="35" t="inlineStr">
        <is>
          <t>D-02</t>
        </is>
      </c>
      <c r="B11" s="35" t="inlineStr">
        <is>
          <t>UTM del punto de muestreo</t>
        </is>
      </c>
      <c r="C11" s="35" t="inlineStr">
        <is>
          <t>El punto de muestreo declarado dista 763 m del centroide de catálogo, compatible con la extensión del bloque</t>
        </is>
      </c>
      <c r="D11" s="36" t="inlineStr">
        <is>
          <t>CONFORME</t>
        </is>
      </c>
      <c r="E11" s="35" t="inlineStr">
        <is>
          <t>Sin acción.</t>
        </is>
      </c>
    </row>
    <row r="12" ht="48" customHeight="1">
      <c r="A12" s="33" t="inlineStr">
        <is>
          <t>D-03</t>
        </is>
      </c>
      <c r="B12" s="33" t="inlineStr">
        <is>
          <t>Superficie del polígono</t>
        </is>
      </c>
      <c r="C12" s="33" t="inlineStr">
        <is>
          <t>La superficie clasificada por el NDVI 2025 (230.143 ha) coincide con la de catálogo (230.1 ha) dentro del ±2 % (+0.02 %)</t>
        </is>
      </c>
      <c r="D12" s="36" t="inlineStr">
        <is>
          <t>CONFORME</t>
        </is>
      </c>
      <c r="E12" s="33" t="inlineStr">
        <is>
          <t>Sin acción: la segmentación valida la geometría del bloque.</t>
        </is>
      </c>
    </row>
    <row r="13" ht="48" customHeight="1">
      <c r="A13" s="35" t="inlineStr">
        <is>
          <t>D-04</t>
        </is>
      </c>
      <c r="B13" s="35" t="inlineStr">
        <is>
          <t>Rango altitudinal / piso ecológico</t>
        </is>
      </c>
      <c r="C13" s="35" t="inlineStr">
        <is>
          <t>La ficha DT declara «2000-2500 m (Quechua alta)»; el MDE sitúa el bloque entre 1378 y 2318 msnm, cuyo punto medio corresponde a «1500-2000 m (Quechua media)»</t>
        </is>
      </c>
      <c r="D13" s="12" t="inlineStr">
        <is>
          <t>NO SUSTANTIVA</t>
        </is>
      </c>
      <c r="E13" s="35" t="inlineStr">
        <is>
          <t>Se declara la divergencia. El bloque abarca más de un piso altitudinal cuando la amplitud supera el ancho de la clase; el registro de campo corresponde al sector recorrido.</t>
        </is>
      </c>
    </row>
    <row r="14" ht="48" customHeight="1">
      <c r="A14" s="33" t="inlineStr">
        <is>
          <t>D-05</t>
        </is>
      </c>
      <c r="B14" s="33" t="inlineStr">
        <is>
          <t>Dimensiones del inventario de cárcavas</t>
        </is>
      </c>
      <c r="C14" s="33" t="inlineStr">
        <is>
          <t>Se registran 0 rasgos erosivos, pero longitud, profundidad y ancho no fueron medidos instrumentalmente</t>
        </is>
      </c>
      <c r="D14" s="12" t="inlineStr">
        <is>
          <t>NO SUSTANTIVA</t>
        </is>
      </c>
      <c r="E14" s="33" t="inlineStr">
        <is>
          <t>El conteo registrado no debe usarse para calcular densidad de cárcavas por hectárea. Pendiente de levantamiento con GPS submétrico.</t>
        </is>
      </c>
    </row>
    <row r="15" ht="48" customHeight="1">
      <c r="A15" s="35" t="inlineStr">
        <is>
          <t>D-06</t>
        </is>
      </c>
      <c r="B15" s="35" t="inlineStr">
        <is>
          <t>Elenco florístico</t>
        </is>
      </c>
      <c r="C15" s="35" t="inlineStr">
        <is>
          <t>La ficha registra 10 taxones, por debajo del mínimo de 15 que exige el formato V5</t>
        </is>
      </c>
      <c r="D15" s="34"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4"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«San Antonio de Succhirca / La Rinconada»; el cruce INEI-Bloques V5 identifica 2 centro(s) poblado(s) en el bloque: LA RINCONADA, SAN ANTONIO DE SUCCHIRCA</t>
        </is>
      </c>
      <c r="D17" s="36"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4" t="inlineStr">
        <is>
          <t>SUSTANTIVA</t>
        </is>
      </c>
      <c r="E18" s="33" t="inlineStr">
        <is>
          <t>Debe tomarse del modelamiento de mesolocalización (PMM + EPH + PGI ponderados por AHP) antes de fijar la prioridad definitiva de intervención del bloque.</t>
        </is>
      </c>
    </row>
    <row r="19" ht="48" customHeight="1">
      <c r="A19" s="33" t="inlineStr">
        <is>
          <t>D-10</t>
        </is>
      </c>
      <c r="B19" s="33" t="inlineStr">
        <is>
          <t>Distribución areal MSAVI 2024</t>
        </is>
      </c>
      <c r="C19" s="33" t="inlineStr">
        <is>
          <t>La distribución por clase de MSAVI no figuraba en los insumos del entregable y se consignaba «Por determinar»; se incorpora la estadística zonal del ráster MSAVI clasificado (557 polígonos, 230.098 ha)</t>
        </is>
      </c>
      <c r="D19" s="34" t="inlineStr">
        <is>
          <t>CORREGIDO</t>
        </is>
      </c>
      <c r="E19" s="33"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0" ht="48" customHeight="1">
      <c r="A20" s="33" t="inlineStr">
        <is>
          <t>D-11</t>
        </is>
      </c>
      <c r="B20" s="33" t="inlineStr">
        <is>
          <t>Superficie MSAVI vs. catálogo</t>
        </is>
      </c>
      <c r="C20" s="33" t="inlineStr">
        <is>
          <t>La superficie total clasificada por el MSAVI 2024 (230.098 ha) frente a la de catálogo V5/V6 (230.100 ha): desviación de +0.00 %</t>
        </is>
      </c>
      <c r="D20" s="34" t="inlineStr">
        <is>
          <t>CONFORME</t>
        </is>
      </c>
      <c r="E20" s="33" t="inlineStr">
        <is>
          <t>Sin acción: la segmentación del ráster valida la geometría del bloque dentro del ±2 %.</t>
        </is>
      </c>
    </row>
    <row r="21" ht="48" customHeight="1">
      <c r="A21" s="33" t="inlineStr">
        <is>
          <t>D-12</t>
        </is>
      </c>
      <c r="B21" s="33" t="inlineStr">
        <is>
          <t>Media MSAVI vs. clase DN dominante</t>
        </is>
      </c>
      <c r="C21" s="33" t="inlineStr">
        <is>
          <t>La media del bloque (0.6601) cae en la clase «DN 5 · &gt; 0.6139 (Vigor alto)»; la clase de mayor superficie es «DN 5 · &gt; 0.6139 (Vigor alto)», con 71.75 % del bloque. Superficie bajo el umbral 0.4976: 21.228 ha (9.23 %)</t>
        </is>
      </c>
      <c r="D21" s="34" t="inlineStr">
        <is>
          <t>CONFORME</t>
        </is>
      </c>
      <c r="E21" s="33" t="inlineStr">
        <is>
          <t>Sin acción: la media del bloque y la clase de mayor superficie coinciden.</t>
        </is>
      </c>
    </row>
    <row r="22"/>
    <row r="23">
      <c r="A23" s="16" t="inlineStr">
        <is>
          <t>RESUMEN</t>
        </is>
      </c>
      <c r="B23" s="17" t="inlineStr">
        <is>
          <t>12 verificaciones</t>
        </is>
      </c>
      <c r="C23" s="17" t="inlineStr">
        <is>
          <t>CONFORME: 5 · CORREGIDO: 1 · NO SUSTANTIVA: 2 · SUSTANTIVA: 4</t>
        </is>
      </c>
      <c r="D23" s="17" t="inlineStr"/>
      <c r="E23" s="17" t="inlineStr"/>
    </row>
    <row r="24"/>
    <row r="25" ht="60" customHeight="1">
      <c r="A2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5" s="40" t="n"/>
      <c r="C25" s="40" t="n"/>
      <c r="D25" s="40" t="n"/>
      <c r="E25" s="41" t="n"/>
    </row>
  </sheetData>
  <mergeCells count="8">
    <mergeCell ref="A4:E4"/>
    <mergeCell ref="A2:E2"/>
    <mergeCell ref="A25:E25"/>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 — IN Piura</dc:title>
  <dc:subject>Diagnóstico Territorial por bloque de intervención</dc:subject>
  <dcterms:created xsi:type="dcterms:W3CDTF">2026-09-08T03:39:55Z</dcterms:created>
  <dcterms:modified xsi:type="dcterms:W3CDTF">2026-09-10T00:28:28Z</dcterms:modified>
</cp:coreProperties>
</file>