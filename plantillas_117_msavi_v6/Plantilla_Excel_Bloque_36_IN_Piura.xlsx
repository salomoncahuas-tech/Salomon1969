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36</t>
        </is>
      </c>
      <c r="C9" s="6" t="inlineStr">
        <is>
          <t>Microcuenca (catálogo)</t>
        </is>
      </c>
      <c r="D9" s="7" t="inlineStr">
        <is>
          <t>C1096-Q9547</t>
        </is>
      </c>
      <c r="E9" s="8" t="n"/>
      <c r="F9" s="8" t="n"/>
    </row>
    <row r="10">
      <c r="A10" s="6" t="inlineStr">
        <is>
          <t>Zona de planificación</t>
        </is>
      </c>
      <c r="B10" s="7" t="inlineStr">
        <is>
          <t>Z02</t>
        </is>
      </c>
      <c r="C10" s="6" t="inlineStr">
        <is>
          <t>Microcuenca declarada en ficha DT</t>
        </is>
      </c>
      <c r="D10" s="7" t="inlineStr">
        <is>
          <t>C1096-Q9547</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Guabal</t>
        </is>
      </c>
      <c r="C13" s="6" t="inlineStr">
        <is>
          <t>Comunidad campesina</t>
        </is>
      </c>
      <c r="D13" s="7" t="inlineStr">
        <is>
          <t>Por verificar</t>
        </is>
      </c>
      <c r="E13" s="8" t="n"/>
      <c r="F13" s="8" t="n"/>
    </row>
    <row r="14">
      <c r="A14" s="6" t="inlineStr">
        <is>
          <t>Superficie de catálogo (V5/V6), ha</t>
        </is>
      </c>
      <c r="B14" s="7" t="n">
        <v>24.84</v>
      </c>
      <c r="C14" s="6" t="inlineStr">
        <is>
          <t>Fuente de superficie</t>
        </is>
      </c>
      <c r="D14" s="7" t="inlineStr">
        <is>
          <t>Catálogo maestro Bloques V5/V6</t>
        </is>
      </c>
      <c r="E14" s="8" t="n"/>
      <c r="F14" s="8" t="n"/>
    </row>
    <row r="15">
      <c r="A15" s="6" t="inlineStr">
        <is>
          <t>Centroide UTM ESTE (m)</t>
        </is>
      </c>
      <c r="B15" s="7" t="n">
        <v>606468</v>
      </c>
      <c r="C15" s="6" t="inlineStr">
        <is>
          <t>Centroide UTM NORTE (m)</t>
        </is>
      </c>
      <c r="D15" s="7" t="n">
        <v>9454689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1239</v>
      </c>
      <c r="C19" s="6" t="inlineStr">
        <is>
          <t>Altitud máxima (msnm)</t>
        </is>
      </c>
      <c r="D19" s="7" t="n">
        <v>1476</v>
      </c>
      <c r="E19" s="8" t="n"/>
      <c r="F19" s="8" t="n"/>
    </row>
    <row r="20">
      <c r="A20" s="6" t="inlineStr">
        <is>
          <t>Amplitud altitudinal (m)</t>
        </is>
      </c>
      <c r="B20" s="7" t="n">
        <v>237</v>
      </c>
      <c r="C20" s="6" t="inlineStr">
        <is>
          <t>Piso altitudinal dominante</t>
        </is>
      </c>
      <c r="D20" s="7" t="inlineStr">
        <is>
          <t>1000-1500 m (Quechua baja)</t>
        </is>
      </c>
      <c r="E20" s="8" t="n"/>
      <c r="F20" s="8" t="n"/>
    </row>
    <row r="21">
      <c r="A21" s="6" t="inlineStr">
        <is>
          <t>Pendiente promedio (%)</t>
        </is>
      </c>
      <c r="B21" s="7" t="n">
        <v>30.65</v>
      </c>
      <c r="C21" s="6" t="inlineStr">
        <is>
          <t>Pendiente promedio (grados)</t>
        </is>
      </c>
      <c r="D21" s="7" t="n">
        <v>17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0.5395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(50.07 %)</t>
        </is>
      </c>
      <c r="E29" s="8" t="n"/>
      <c r="F29" s="8" t="n"/>
    </row>
    <row r="30">
      <c r="A30" s="6" t="inlineStr">
        <is>
          <t>Superficie clasificada NDVI 2025 (ha)</t>
        </is>
      </c>
      <c r="B30" s="7" t="n">
        <v>24.856</v>
      </c>
      <c r="C30" s="6" t="inlineStr">
        <is>
          <t>Desviación frente al catálogo (%)</t>
        </is>
      </c>
      <c r="D30" s="7" t="n">
        <v>0.06</v>
      </c>
      <c r="E30" s="8" t="n"/>
      <c r="F30" s="8" t="n"/>
    </row>
    <row r="31">
      <c r="A31" s="6" t="inlineStr">
        <is>
          <t>Superficie clasificada MSAVI 2024 (ha)</t>
        </is>
      </c>
      <c r="B31" s="38" t="n">
        <v>24.843</v>
      </c>
      <c r="C31" s="6" t="inlineStr">
        <is>
          <t>Desviación MSAVI frente al catálogo (%)</t>
        </is>
      </c>
      <c r="D31" s="39" t="n">
        <v>0.01</v>
      </c>
      <c r="E31" s="8" t="n"/>
      <c r="F31" s="8" t="n"/>
    </row>
    <row r="32">
      <c r="A32" s="6" t="inlineStr">
        <is>
          <t>Superficie bajo umbral MSAVI 0.4976 (ha)</t>
        </is>
      </c>
      <c r="B32" s="38" t="n">
        <v>8.852</v>
      </c>
      <c r="C32" s="6" t="inlineStr">
        <is>
          <t>% del bloque bajo umbral (brecha espectral)</t>
        </is>
      </c>
      <c r="D32" s="39" t="n">
        <v>35.63</v>
      </c>
      <c r="E32" s="8" t="n"/>
      <c r="F32" s="8" t="n"/>
    </row>
    <row r="33">
      <c r="A33" s="6" t="inlineStr">
        <is>
          <t>Clase DN dominante (MSAVI 2024)</t>
        </is>
      </c>
      <c r="B33" s="7" t="inlineStr">
        <is>
          <t>DN 4 · 0.4976 - 0.6139 (Vigor moderado)</t>
        </is>
      </c>
      <c r="C33" s="6" t="inlineStr">
        <is>
          <t>N.° de polígonos MSAVI del bloque</t>
        </is>
      </c>
      <c r="D33" s="40" t="n">
        <v>103</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24.84 ha (MINAM: Zona agrícola 100%)</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Héctor Cahuas Miller / Pedro Talledo Hernández</t>
        </is>
      </c>
      <c r="C44" s="6" t="inlineStr">
        <is>
          <t>Fecha de evaluación</t>
        </is>
      </c>
      <c r="D44" s="7" t="inlineStr">
        <is>
          <t>2026-06-23</t>
        </is>
      </c>
      <c r="E44" s="8" t="n"/>
      <c r="F44" s="8" t="n"/>
    </row>
    <row r="45">
      <c r="A45" s="6" t="inlineStr">
        <is>
          <t>Hora de registro</t>
        </is>
      </c>
      <c r="B45" s="7" t="inlineStr">
        <is>
          <t>10:47-12:03</t>
        </is>
      </c>
      <c r="C45" s="6" t="inlineStr">
        <is>
          <t>Correlativo de ficha</t>
        </is>
      </c>
      <c r="D45" s="7" t="inlineStr">
        <is>
          <t>DT-B36-01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4.6963</v>
      </c>
      <c r="C10" s="19">
        <f>ROUND(B10/$B$15*100,2)</f>
        <v>18.9</v>
      </c>
      <c r="D10" s="11" t="inlineStr">
        <is>
          <t>Vigor alto</t>
        </is>
      </c>
      <c r="E10" s="11" t="inlineStr">
        <is>
          <t>Sobre umbral</t>
        </is>
      </c>
    </row>
    <row r="11">
      <c r="A11" s="12" t="inlineStr">
        <is>
          <t>0.4976 - 0.6139 · DN 4</t>
        </is>
      </c>
      <c r="B11" s="32" t="n">
        <v>11.2948</v>
      </c>
      <c r="C11" s="31">
        <f>ROUND(B11/$B$15*100,2)</f>
        <v>45.46</v>
      </c>
      <c r="D11" s="13" t="inlineStr">
        <is>
          <t>Vigor moderado</t>
        </is>
      </c>
      <c r="E11" s="13" t="inlineStr">
        <is>
          <t>Sobre umbral</t>
        </is>
      </c>
    </row>
    <row r="12">
      <c r="A12" s="7" t="inlineStr">
        <is>
          <t>0.3813 - 0.4976 · DN 3</t>
        </is>
      </c>
      <c r="B12" s="18" t="n">
        <v>8.5054</v>
      </c>
      <c r="C12" s="19">
        <f>ROUND(B12/$B$15*100,2)</f>
        <v>34.24</v>
      </c>
      <c r="D12" s="11" t="inlineStr">
        <is>
          <t>Vigor bajo</t>
        </is>
      </c>
      <c r="E12" s="11" t="inlineStr">
        <is>
          <t>BAJO umbral 0.4976</t>
        </is>
      </c>
    </row>
    <row r="13">
      <c r="A13" s="14" t="inlineStr">
        <is>
          <t>0.2650 - 0.3813 · DN 2</t>
        </is>
      </c>
      <c r="B13" s="20" t="n">
        <v>0.3467</v>
      </c>
      <c r="C13" s="21">
        <f>ROUND(B13/$B$15*100,2)</f>
        <v>1.4</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24.8432</v>
      </c>
      <c r="C15" s="45">
        <f>SUM(C10:C14)</f>
        <v>100.0</v>
      </c>
      <c r="D15" s="43" t="inlineStr">
        <is>
          <t>Suma de la distribución areal · 103 polígonos</t>
        </is>
      </c>
      <c r="E15" s="43" t="inlineStr">
        <is>
          <t>—</t>
        </is>
      </c>
    </row>
    <row r="16" ht="30" customHeight="1">
      <c r="A16" s="46" t="inlineStr">
        <is>
          <t>Superficie SOBRE umbral 0.4976 (ha)</t>
        </is>
      </c>
      <c r="B16" s="47">
        <f>SUM(B10:B11)</f>
        <v>15.9911</v>
      </c>
      <c r="C16" s="48">
        <f>ROUND(B16/B15*100,2)</f>
        <v>64.37</v>
      </c>
      <c r="D16" s="46" t="inlineStr">
        <is>
          <t>Vigor alto y moderado (DN 4 y DN 5)</t>
        </is>
      </c>
      <c r="E16" s="46" t="inlineStr">
        <is>
          <t>Sobre umbral 0.4976</t>
        </is>
      </c>
    </row>
    <row r="17" ht="30" customHeight="1">
      <c r="A17" s="46" t="inlineStr">
        <is>
          <t>Superficie BAJO umbral 0.4976 (ha) — brecha</t>
        </is>
      </c>
      <c r="B17" s="47">
        <f>SUM(B12:B14)</f>
        <v>8.8521</v>
      </c>
      <c r="C17" s="48">
        <f>ROUND(B17/B15*100,2)</f>
        <v>35.63</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24.84</v>
      </c>
      <c r="C18" s="49" t="inlineStr">
        <is>
          <t>—</t>
        </is>
      </c>
      <c r="D18" s="46" t="inlineStr">
        <is>
          <t>Desviación planimétrica frente al catálogo</t>
        </is>
      </c>
      <c r="E18" s="46" t="inlineStr">
        <is>
          <t>+0.01 %</t>
        </is>
      </c>
    </row>
    <row r="19">
      <c r="A19" s="16" t="inlineStr">
        <is>
          <t>MSAVI 2024 — MEDIA DEL BLOQUE</t>
        </is>
      </c>
      <c r="B19" s="17" t="n">
        <v>0.539458</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(0.5395)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12.2064</v>
      </c>
      <c r="C25" s="19" t="n">
        <v>49.11</v>
      </c>
      <c r="D25" s="11" t="inlineStr">
        <is>
          <t>Dosel continuo, matorral denso o mosaico agroforestal</t>
        </is>
      </c>
      <c r="E25" s="11" t="inlineStr"/>
    </row>
    <row r="26">
      <c r="A26" s="14" t="inlineStr">
        <is>
          <t>Vegetación mediana</t>
        </is>
      </c>
      <c r="B26" s="20" t="n">
        <v>12.4461</v>
      </c>
      <c r="C26" s="21" t="n">
        <v>50.07</v>
      </c>
      <c r="D26" s="15" t="inlineStr">
        <is>
          <t>Pastizal cultivado, matorral ralo, parcelas agrícolas</t>
        </is>
      </c>
      <c r="E26" s="15" t="inlineStr"/>
    </row>
    <row r="27">
      <c r="A27" s="7" t="inlineStr">
        <is>
          <t>Vegetación ligera</t>
        </is>
      </c>
      <c r="B27" s="18" t="n">
        <v>0.2037</v>
      </c>
      <c r="C27" s="19" t="n">
        <v>0.82</v>
      </c>
      <c r="D27" s="11" t="inlineStr">
        <is>
          <t>Cobertura discontinua, suelo parcialmente expuesto</t>
        </is>
      </c>
      <c r="E27" s="11" t="inlineStr"/>
    </row>
    <row r="28">
      <c r="A28" s="16" t="inlineStr">
        <is>
          <t>TOTAL CLASIFICADO</t>
        </is>
      </c>
      <c r="B28" s="22">
        <f>SUM(B25:B27)</f>
        <v>24.8562</v>
      </c>
      <c r="C28" s="23">
        <f>SUM(C25:C27)</f>
        <v>100.0</v>
      </c>
      <c r="D28" s="17" t="inlineStr"/>
      <c r="E28" s="17" t="inlineStr"/>
    </row>
    <row r="29">
      <c r="A29" s="24" t="inlineStr">
        <is>
          <t>Superficie de catálogo (V5/V6)</t>
        </is>
      </c>
      <c r="B29" s="25" t="n">
        <v>24.84</v>
      </c>
      <c r="C29" s="25" t="inlineStr">
        <is>
          <t>—</t>
        </is>
      </c>
      <c r="D29" s="25" t="inlineStr">
        <is>
          <t>Desviación planimétrica frente al catálogo</t>
        </is>
      </c>
      <c r="E29" s="25" t="inlineStr">
        <is>
          <t>+0.06 %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49.11 % del polígono clasificado como «Vegetación alta» por el NDVI 2025; la observación de campo corresponde a una parcela o recorrido puntual y no es estadísticamente representativa de las 24.840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36</t>
        </is>
      </c>
    </row>
    <row r="6" ht="24" customHeight="1">
      <c r="A6" s="4" t="inlineStr">
        <is>
          <t>Levantamiento del 2026-06-23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606468</v>
      </c>
      <c r="D10" s="26" t="n">
        <v>9454689</v>
      </c>
      <c r="E10" s="11" t="n">
        <v>0</v>
      </c>
      <c r="F10" s="11" t="inlineStr"/>
      <c r="G10" s="11" t="inlineStr">
        <is>
          <t>Coordenada consignada en F-DT-01</t>
        </is>
      </c>
    </row>
    <row r="11">
      <c r="A11" s="14" t="inlineStr">
        <is>
          <t>H-01</t>
        </is>
      </c>
      <c r="B11" s="15" t="inlineStr">
        <is>
          <t>Fuente de agua — Quebrada estacional</t>
        </is>
      </c>
      <c r="C11" s="27" t="n">
        <v>606200</v>
      </c>
      <c r="D11" s="27" t="n">
        <v>9454450</v>
      </c>
      <c r="E11" s="15" t="n">
        <v>359.1</v>
      </c>
      <c r="F11" s="15" t="inlineStr">
        <is>
          <t>Estacional (lluvias)</t>
        </is>
      </c>
      <c r="G11" s="15" t="inlineStr">
        <is>
          <t>Quebrada tributaria</t>
        </is>
      </c>
    </row>
    <row r="12">
      <c r="A12" s="7" t="inlineStr">
        <is>
          <t>H-02</t>
        </is>
      </c>
      <c r="B12" s="11" t="inlineStr">
        <is>
          <t>Fuente de agua — Río</t>
        </is>
      </c>
      <c r="C12" s="26" t="n">
        <v>607400</v>
      </c>
      <c r="D12" s="26" t="n">
        <v>9454500</v>
      </c>
      <c r="E12" s="11" t="n">
        <v>951</v>
      </c>
      <c r="F12" s="11" t="inlineStr">
        <is>
          <t>Permanente</t>
        </is>
      </c>
      <c r="G12" s="11" t="inlineStr">
        <is>
          <t>Curso principal del sector</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606468</v>
      </c>
      <c r="C15" s="6" t="inlineStr">
        <is>
          <t>Centroide del bloque — UTM NORTE (m)</t>
        </is>
      </c>
      <c r="D15" s="7" t="n">
        <v>9454689</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7"/>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23/06/2026, recorrido por cima-ladera. Altitud GPS no registrada por la app fotográfica; el rango altitudinal del sector se ESTIMÓ a partir del perfil de elevación del Bloque 6 adyacente (misma microcuenca), por confirmar con MDE para el Bloque 36.</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36</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t>
        </is>
      </c>
      <c r="B10" s="28" t="n">
        <v>168.41</v>
      </c>
      <c r="C10" s="19" t="n">
        <v>53.36</v>
      </c>
      <c r="D10" s="11" t="inlineStr">
        <is>
          <t>1398 – 2016</t>
        </is>
      </c>
      <c r="E10" s="11" t="n">
        <v>618</v>
      </c>
      <c r="F10" s="11" t="n">
        <v>33.74</v>
      </c>
      <c r="G10" s="18" t="n">
        <v>0.5381</v>
      </c>
      <c r="H10" s="19" t="n">
        <v>40.11</v>
      </c>
      <c r="I10" s="19" t="n">
        <v>35.41</v>
      </c>
    </row>
    <row r="11">
      <c r="A11" s="14" t="inlineStr">
        <is>
          <t>M10B4</t>
        </is>
      </c>
      <c r="B11" s="29" t="n">
        <v>68.89</v>
      </c>
      <c r="C11" s="21" t="n">
        <v>21.83</v>
      </c>
      <c r="D11" s="15" t="inlineStr">
        <is>
          <t>170 – 313</t>
        </is>
      </c>
      <c r="E11" s="15" t="n">
        <v>143</v>
      </c>
      <c r="F11" s="15" t="n">
        <v>13.83</v>
      </c>
      <c r="G11" s="20" t="n">
        <v>0.3133</v>
      </c>
      <c r="H11" s="21" t="n">
        <v>0</v>
      </c>
      <c r="I11" s="21" t="n">
        <v>99.81</v>
      </c>
    </row>
    <row r="12">
      <c r="A12" s="7" t="inlineStr">
        <is>
          <t>25</t>
        </is>
      </c>
      <c r="B12" s="28" t="n">
        <v>53.48</v>
      </c>
      <c r="C12" s="19" t="n">
        <v>16.94</v>
      </c>
      <c r="D12" s="11" t="inlineStr">
        <is>
          <t>143 – 210</t>
        </is>
      </c>
      <c r="E12" s="11" t="n">
        <v>67</v>
      </c>
      <c r="F12" s="11" t="n">
        <v>11.68</v>
      </c>
      <c r="G12" s="18" t="n">
        <v>0.2565</v>
      </c>
      <c r="H12" s="19" t="inlineStr">
        <is>
          <t>Por determinar</t>
        </is>
      </c>
      <c r="I12" s="11" t="inlineStr">
        <is>
          <t>s/d</t>
        </is>
      </c>
    </row>
    <row r="13">
      <c r="A13" s="12" t="inlineStr">
        <is>
          <t>► 36</t>
        </is>
      </c>
      <c r="B13" s="30" t="n">
        <v>24.84</v>
      </c>
      <c r="C13" s="31" t="n">
        <v>7.87</v>
      </c>
      <c r="D13" s="13" t="inlineStr">
        <is>
          <t>1239 – 1476</t>
        </is>
      </c>
      <c r="E13" s="13" t="n">
        <v>237</v>
      </c>
      <c r="F13" s="13" t="n">
        <v>30.65</v>
      </c>
      <c r="G13" s="32" t="n">
        <v>0.5395</v>
      </c>
      <c r="H13" s="31" t="n">
        <v>49.11</v>
      </c>
      <c r="I13" s="31" t="n">
        <v>35.63</v>
      </c>
    </row>
    <row r="14">
      <c r="A14" s="16" t="inlineStr">
        <is>
          <t>TOTAL / PROMEDIO</t>
        </is>
      </c>
      <c r="B14" s="33">
        <f>SUM(B10:B13)</f>
        <v>315.62</v>
      </c>
      <c r="C14" s="23">
        <f>SUM(C10:C13)</f>
        <v>100.0</v>
      </c>
      <c r="D14" s="17" t="inlineStr">
        <is>
          <t>143 – 2016</t>
        </is>
      </c>
      <c r="E14" s="17" t="inlineStr"/>
      <c r="F14" s="17">
        <f>ROUND(AVERAGE(F10:F13),2)</f>
        <v>22.48</v>
      </c>
      <c r="G14" s="22">
        <f>ROUND(AVERAGE(G10:G13),4)</f>
        <v>0.4118</v>
      </c>
      <c r="H14" s="23">
        <f>ROUND(AVERAGE(H10:H13),2)</f>
        <v>29.74</v>
      </c>
      <c r="I14" s="23">
        <f>ROUND(AVERAGE(I10:I13),2)</f>
        <v>56.95</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c r="B15" s="41" t="n"/>
      <c r="C15" s="41" t="n"/>
      <c r="D15" s="41" t="n"/>
      <c r="E15" s="41" t="n"/>
      <c r="F15" s="41" t="n"/>
      <c r="G15" s="41" t="n"/>
      <c r="H15" s="42" t="n"/>
    </row>
    <row r="16"/>
    <row r="17" ht="84" customHeight="1">
      <c r="A17" s="9" t="inlineStr">
        <is>
          <t>LECTURA INTRAMICROCUENCA. El bloque 36 ocupa el puesto 4 de 4 por superficie dentro de la microcuenca C1096-Q9547 (7.87 % de las 315.62 ha preliminares de la microcuenca). Su pendiente promedio (30.65 %, clase «25-50% (Mod. escarpado)») es la 3.ª más baja de 4 y se sitúa por encima del promedio de la microcuenca (22.48 %). Su MSAVI 2024 (0.5395) es el 1.º de 4 y queda por encima del promedio local (0.4119). Amplitud altitudinal del bloque: 237 m (1239–1476 msnm). El cuadro conserva todos los bloques catalogados en la microcuenca, incluidos los descartados en el tamizaje, para referencia del conjunto. Los bloques sin ficha DT figuran con sus parámetros de gabinete. BRECHA ESPECTRAL. El 35.63 % de la superficie del bloque (8.852 ha de 24.843 ha) se sitúa bajo el umbral MSAVI 0.4976, por debajo del promedio local de la microcuenca (56.95 %) calculado sobre los bloques con dato MSAVI disponible.</t>
        </is>
      </c>
      <c r="B17" s="41" t="n"/>
      <c r="C17" s="41" t="n"/>
      <c r="D17" s="41" t="n"/>
      <c r="E17" s="41" t="n"/>
      <c r="F17" s="41" t="n"/>
      <c r="G17" s="41" t="n"/>
      <c r="H17" s="42"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2" t="n"/>
    </row>
  </sheetData>
  <mergeCells count="10">
    <mergeCell ref="A1:I1"/>
    <mergeCell ref="A4:I4"/>
    <mergeCell ref="A3:I3"/>
    <mergeCell ref="A15:I15"/>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«C1096-Q9547»</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(24.856 ha) coincide con la de catálogo (24.84 ha) dentro del ±2 % (+0.06 %)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«1500-2000 m (Quechua media)»; el MDE sitúa el bloque entre 1239 y 1476 msnm, cuyo punto medio corresponde a «1000-1500 m (Quechua baja)»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(1239–1476 msnm) y la pendiente promedio (30.65 %) se toman de la estadística zonal sobre el MDE, no de medición de campo. Se declara la fuente.</t>
        </is>
      </c>
    </row>
    <row r="15" ht="48" customHeight="1">
      <c r="A15" s="36" t="inlineStr">
        <is>
          <t>D-06</t>
        </is>
      </c>
      <c r="B15" s="36" t="inlineStr">
        <is>
          <t>Elenco florístico</t>
        </is>
      </c>
      <c r="C15" s="36" t="inlineStr">
        <is>
          <t>La ficha registra 13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«Guabal»; el cruce INEI-Bloques V5 identifica 1 centro(s) poblado(s) en el bloque: GUABAL</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6" t="inlineStr">
        <is>
          <t>D-09</t>
        </is>
      </c>
      <c r="B18" s="36" t="inlineStr">
        <is>
          <t>Distribución areal MSAVI 2024</t>
        </is>
      </c>
      <c r="C18" s="36" t="inlineStr">
        <is>
          <t>La distribución por clase de MSAVI no figuraba en los insumos del entregable y se consignaba «Por determinar»; se incorpora la estadística zonal del ráster MSAVI clasificado (103 polígonos, 24.843 ha)</t>
        </is>
      </c>
      <c r="D18" s="37" t="inlineStr">
        <is>
          <t>CORREGIDO</t>
        </is>
      </c>
      <c r="E1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6" t="inlineStr">
        <is>
          <t>D-10</t>
        </is>
      </c>
      <c r="B19" s="36" t="inlineStr">
        <is>
          <t>Superficie MSAVI vs. catálogo</t>
        </is>
      </c>
      <c r="C19" s="36" t="inlineStr">
        <is>
          <t>La superficie total clasificada por el MSAVI 2024 (24.843 ha) frente a la de catálogo V5/V6 (24.840 ha): desviación de +0.01 %</t>
        </is>
      </c>
      <c r="D19" s="37" t="inlineStr">
        <is>
          <t>CONFORME</t>
        </is>
      </c>
      <c r="E19" s="36" t="inlineStr">
        <is>
          <t>Sin acción: la segmentación del ráster valida la geometría del bloque dentro del ±2 %.</t>
        </is>
      </c>
    </row>
    <row r="20" ht="48" customHeight="1">
      <c r="A20" s="36" t="inlineStr">
        <is>
          <t>D-11</t>
        </is>
      </c>
      <c r="B20" s="36" t="inlineStr">
        <is>
          <t>Media MSAVI vs. clase DN dominante</t>
        </is>
      </c>
      <c r="C20" s="36" t="inlineStr">
        <is>
          <t>La media del bloque (0.5395) cae en la clase «DN 4 · 0.4976 - 0.6139 (Vigor moderado)»; la clase de mayor superficie es «DN 4 · 0.4976 - 0.6139 (Vigor moderado)», con 45.46 % del bloque. Superficie bajo el umbral 0.4976: 8.852 ha (35.63 %)</t>
        </is>
      </c>
      <c r="D20" s="37" t="inlineStr">
        <is>
          <t>CONFORME</t>
        </is>
      </c>
      <c r="E20" s="36" t="inlineStr">
        <is>
          <t>Sin acción: la media del bloque y la clase de mayor superficie coinciden.</t>
        </is>
      </c>
    </row>
    <row r="21"/>
    <row r="22">
      <c r="A22" s="16" t="inlineStr">
        <is>
          <t>RESUMEN</t>
        </is>
      </c>
      <c r="B22" s="17" t="inlineStr">
        <is>
          <t>11 verificaciones</t>
        </is>
      </c>
      <c r="C22" s="17" t="inlineStr">
        <is>
          <t>CONFORME: 6 · CORREGIDO: 1 · NO SUSTANTIVA: 2 · SUSTANTIVA: 2</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1" t="n"/>
      <c r="C24" s="41" t="n"/>
      <c r="D24" s="41" t="n"/>
      <c r="E24" s="42"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36 — IN Piura</dc:title>
  <dc:subject>Diagnóstico Territorial por bloque de intervención</dc:subject>
  <dcterms:created xsi:type="dcterms:W3CDTF">2026-09-08T03:39:54Z</dcterms:created>
  <dcterms:modified xsi:type="dcterms:W3CDTF">2026-09-10T00:28:27Z</dcterms:modified>
</cp:coreProperties>
</file>