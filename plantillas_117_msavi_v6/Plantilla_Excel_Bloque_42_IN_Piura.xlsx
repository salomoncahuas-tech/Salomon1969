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42</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7" t="inlineStr">
        <is>
          <t>Predios de propiedad privada y comunal</t>
        </is>
      </c>
      <c r="E13" s="8" t="n"/>
      <c r="F13" s="8" t="n"/>
    </row>
    <row r="14">
      <c r="A14" s="6" t="inlineStr">
        <is>
          <t>Superficie de catálogo (V5/V6), ha</t>
        </is>
      </c>
      <c r="B14" s="7" t="n">
        <v>80.62</v>
      </c>
      <c r="C14" s="6" t="inlineStr">
        <is>
          <t>Fuente de superficie</t>
        </is>
      </c>
      <c r="D14" s="7" t="inlineStr">
        <is>
          <t>Catálogo maestro Bloques V5/V6</t>
        </is>
      </c>
      <c r="E14" s="8" t="n"/>
      <c r="F14" s="8" t="n"/>
    </row>
    <row r="15">
      <c r="A15" s="6" t="inlineStr">
        <is>
          <t>Centroide UTM ESTE (m)</t>
        </is>
      </c>
      <c r="B15" s="7" t="n">
        <v>625152</v>
      </c>
      <c r="C15" s="6" t="inlineStr">
        <is>
          <t>Centroide UTM NORTE (m)</t>
        </is>
      </c>
      <c r="D15" s="7" t="n">
        <v>9435011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1131</v>
      </c>
      <c r="C19" s="6" t="inlineStr">
        <is>
          <t>Altitud máxima (msnm)</t>
        </is>
      </c>
      <c r="D19" s="7" t="n">
        <v>1548</v>
      </c>
      <c r="E19" s="8" t="n"/>
      <c r="F19" s="8" t="n"/>
    </row>
    <row r="20">
      <c r="A20" s="6" t="inlineStr">
        <is>
          <t>Amplitud altitudinal (m)</t>
        </is>
      </c>
      <c r="B20" s="7" t="n">
        <v>417</v>
      </c>
      <c r="C20" s="6" t="inlineStr">
        <is>
          <t>Piso altitudinal dominante</t>
        </is>
      </c>
      <c r="D20" s="7" t="inlineStr">
        <is>
          <t>1000-1500 m (Quechua baja)</t>
        </is>
      </c>
      <c r="E20" s="8" t="n"/>
      <c r="F20" s="8" t="n"/>
    </row>
    <row r="21">
      <c r="A21" s="6" t="inlineStr">
        <is>
          <t>Pendiente promedio (%)</t>
        </is>
      </c>
      <c r="B21" s="7" t="n">
        <v>27.86</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(88.83 %)</t>
        </is>
      </c>
      <c r="E29" s="8" t="n"/>
      <c r="F29" s="8" t="n"/>
    </row>
    <row r="30">
      <c r="A30" s="6" t="inlineStr">
        <is>
          <t>Superficie clasificada NDVI 2025 (ha)</t>
        </is>
      </c>
      <c r="B30" s="7" t="n">
        <v>80.649</v>
      </c>
      <c r="C30" s="6" t="inlineStr">
        <is>
          <t>Desviación frente al catálogo (%)</t>
        </is>
      </c>
      <c r="D30" s="7" t="n">
        <v>0.04</v>
      </c>
      <c r="E30" s="8" t="n"/>
      <c r="F30" s="8" t="n"/>
    </row>
    <row r="31">
      <c r="A31" s="6" t="inlineStr">
        <is>
          <t>Superficie clasificada MSAVI 2024 (ha)</t>
        </is>
      </c>
      <c r="B31" s="37" t="n">
        <v>80.616</v>
      </c>
      <c r="C31" s="6" t="inlineStr">
        <is>
          <t>Desviación MSAVI frente al catálogo (%)</t>
        </is>
      </c>
      <c r="D31" s="38" t="n">
        <v>-0.01</v>
      </c>
      <c r="E31" s="8" t="n"/>
      <c r="F31" s="8" t="n"/>
    </row>
    <row r="32">
      <c r="A32" s="6" t="inlineStr">
        <is>
          <t>Superficie bajo umbral MSAVI 0.4976 (ha)</t>
        </is>
      </c>
      <c r="B32" s="37" t="n">
        <v>4.543</v>
      </c>
      <c r="C32" s="6" t="inlineStr">
        <is>
          <t>% del bloque bajo umbral (brecha espectral)</t>
        </is>
      </c>
      <c r="D32" s="38" t="n">
        <v>5.64</v>
      </c>
      <c r="E32" s="8" t="n"/>
      <c r="F32" s="8" t="n"/>
    </row>
    <row r="33">
      <c r="A33" s="6" t="inlineStr">
        <is>
          <t>Clase DN dominante (MSAVI 2024)</t>
        </is>
      </c>
      <c r="B33" s="7" t="inlineStr">
        <is>
          <t>DN 5 · &gt; 0.6139 (Vigor alto)</t>
        </is>
      </c>
      <c r="C33" s="6" t="inlineStr">
        <is>
          <t>N.° de polígonos MSAVI del bloque</t>
        </is>
      </c>
      <c r="D33" s="39" t="n">
        <v>142</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70</v>
      </c>
      <c r="E38" s="8" t="n"/>
      <c r="F38" s="8" t="n"/>
    </row>
    <row r="39">
      <c r="A39" s="6" t="inlineStr">
        <is>
          <t>Suelo desnudo — campo (%)</t>
        </is>
      </c>
      <c r="B39" s="7" t="n">
        <v>10</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J.C. Domínguez V. / P. Talledo H.</t>
        </is>
      </c>
      <c r="C44" s="6" t="inlineStr">
        <is>
          <t>Fecha de evaluación</t>
        </is>
      </c>
      <c r="D44" s="7" t="inlineStr">
        <is>
          <t>2026-06-03</t>
        </is>
      </c>
      <c r="E44" s="8" t="n"/>
      <c r="F44" s="8" t="n"/>
    </row>
    <row r="45">
      <c r="A45" s="6" t="inlineStr">
        <is>
          <t>Hora de registro</t>
        </is>
      </c>
      <c r="B45" s="7" t="inlineStr">
        <is>
          <t>12:46</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53.1008</v>
      </c>
      <c r="C10" s="30">
        <f>ROUND(B10/$B$15*100,2)</f>
        <v>65.87</v>
      </c>
      <c r="D10" s="12" t="inlineStr">
        <is>
          <t>Vigor alto</t>
        </is>
      </c>
      <c r="E10" s="12" t="inlineStr">
        <is>
          <t>Sobre umbral</t>
        </is>
      </c>
    </row>
    <row r="11">
      <c r="A11" s="13" t="inlineStr">
        <is>
          <t>0.4976 - 0.6139 · DN 4</t>
        </is>
      </c>
      <c r="B11" s="20" t="n">
        <v>22.9715</v>
      </c>
      <c r="C11" s="21">
        <f>ROUND(B11/$B$15*100,2)</f>
        <v>28.5</v>
      </c>
      <c r="D11" s="14" t="inlineStr">
        <is>
          <t>Vigor moderado</t>
        </is>
      </c>
      <c r="E11" s="14" t="inlineStr">
        <is>
          <t>Sobre umbral</t>
        </is>
      </c>
    </row>
    <row r="12">
      <c r="A12" s="7" t="inlineStr">
        <is>
          <t>0.3813 - 0.4976 · DN 3</t>
        </is>
      </c>
      <c r="B12" s="18" t="n">
        <v>4.5234</v>
      </c>
      <c r="C12" s="19">
        <f>ROUND(B12/$B$15*100,2)</f>
        <v>5.61</v>
      </c>
      <c r="D12" s="15" t="inlineStr">
        <is>
          <t>Vigor bajo</t>
        </is>
      </c>
      <c r="E12" s="15" t="inlineStr">
        <is>
          <t>BAJO umbral 0.4976</t>
        </is>
      </c>
    </row>
    <row r="13">
      <c r="A13" s="13" t="inlineStr">
        <is>
          <t>0.2650 - 0.3813 · DN 2</t>
        </is>
      </c>
      <c r="B13" s="20" t="n">
        <v>0.0198</v>
      </c>
      <c r="C13" s="21">
        <f>ROUND(B13/$B$15*100,2)</f>
        <v>0.02</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2" t="inlineStr">
        <is>
          <t>TOTAL CLASIFICADO MSAVI 2024</t>
        </is>
      </c>
      <c r="B15" s="43">
        <f>SUM(B10:B14)</f>
        <v>80.6155</v>
      </c>
      <c r="C15" s="44">
        <f>SUM(C10:C14)</f>
        <v>100.0</v>
      </c>
      <c r="D15" s="42" t="inlineStr">
        <is>
          <t>Suma de la distribución areal · 142 polígonos</t>
        </is>
      </c>
      <c r="E15" s="42" t="inlineStr">
        <is>
          <t>—</t>
        </is>
      </c>
    </row>
    <row r="16" ht="30" customHeight="1">
      <c r="A16" s="45" t="inlineStr">
        <is>
          <t>Superficie SOBRE umbral 0.4976 (ha)</t>
        </is>
      </c>
      <c r="B16" s="46">
        <f>SUM(B10:B11)</f>
        <v>76.0723</v>
      </c>
      <c r="C16" s="47">
        <f>ROUND(B16/B15*100,2)</f>
        <v>94.36</v>
      </c>
      <c r="D16" s="45" t="inlineStr">
        <is>
          <t>Vigor alto y moderado (DN 4 y DN 5)</t>
        </is>
      </c>
      <c r="E16" s="45" t="inlineStr">
        <is>
          <t>Sobre umbral 0.4976</t>
        </is>
      </c>
    </row>
    <row r="17" ht="30" customHeight="1">
      <c r="A17" s="45" t="inlineStr">
        <is>
          <t>Superficie BAJO umbral 0.4976 (ha) — brecha</t>
        </is>
      </c>
      <c r="B17" s="46">
        <f>SUM(B12:B14)</f>
        <v>4.5432</v>
      </c>
      <c r="C17" s="47">
        <f>ROUND(B17/B15*100,2)</f>
        <v>5.64</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80.62</v>
      </c>
      <c r="C18" s="48" t="inlineStr">
        <is>
          <t>—</t>
        </is>
      </c>
      <c r="D18" s="45" t="inlineStr">
        <is>
          <t>Desviación planimétrica frente al catálogo</t>
        </is>
      </c>
      <c r="E18" s="45" t="inlineStr">
        <is>
          <t>-0.01 %</t>
        </is>
      </c>
    </row>
    <row r="19">
      <c r="A19" s="16" t="inlineStr">
        <is>
          <t>MSAVI 2024 — MEDIA DEL BLOQUE</t>
        </is>
      </c>
      <c r="B19" s="17" t="n">
        <v>0.634841</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142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(0.6348)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71.6422</v>
      </c>
      <c r="C25" s="19" t="n">
        <v>88.83</v>
      </c>
      <c r="D25" s="15" t="inlineStr">
        <is>
          <t>Dosel continuo, matorral denso o mosaico agroforestal</t>
        </is>
      </c>
      <c r="E25" s="15" t="inlineStr"/>
    </row>
    <row r="26">
      <c r="A26" s="13" t="inlineStr">
        <is>
          <t>Vegetación mediana</t>
        </is>
      </c>
      <c r="B26" s="20" t="n">
        <v>8.9064</v>
      </c>
      <c r="C26" s="21" t="n">
        <v>11.04</v>
      </c>
      <c r="D26" s="14" t="inlineStr">
        <is>
          <t>Pastizal cultivado, matorral ralo, parcelas agrícolas</t>
        </is>
      </c>
      <c r="E26" s="14" t="inlineStr"/>
    </row>
    <row r="27">
      <c r="A27" s="7" t="inlineStr">
        <is>
          <t>Vegetación ligera</t>
        </is>
      </c>
      <c r="B27" s="18" t="n">
        <v>0.1002</v>
      </c>
      <c r="C27" s="19" t="n">
        <v>0.12</v>
      </c>
      <c r="D27" s="15" t="inlineStr">
        <is>
          <t>Cobertura discontinua, suelo parcialmente expuesto</t>
        </is>
      </c>
      <c r="E27" s="15" t="inlineStr"/>
    </row>
    <row r="28">
      <c r="A28" s="16" t="inlineStr">
        <is>
          <t>TOTAL CLASIFICADO</t>
        </is>
      </c>
      <c r="B28" s="22">
        <f>SUM(B25:B27)</f>
        <v>80.6488</v>
      </c>
      <c r="C28" s="23">
        <f>SUM(C25:C27)</f>
        <v>99.99</v>
      </c>
      <c r="D28" s="17" t="inlineStr"/>
      <c r="E28" s="17" t="inlineStr"/>
    </row>
    <row r="29">
      <c r="A29" s="24" t="inlineStr">
        <is>
          <t>Superficie de catálogo (V5/V6)</t>
        </is>
      </c>
      <c r="B29" s="25" t="n">
        <v>80.62</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88.83 % del polígono clasificado como «Vegetación alta» por el NDVI 2025; la observación de campo corresponde a una parcela o recorrido puntual y no es estadísticamente representativa de las 80.620 ha del bloque.</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42</t>
        </is>
      </c>
    </row>
    <row r="6" ht="24" customHeight="1">
      <c r="A6" s="4" t="inlineStr">
        <is>
          <t>Levantamiento del 2026-06-03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46263</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625152</v>
      </c>
      <c r="C13" s="6" t="inlineStr">
        <is>
          <t>Centroide del bloque — UTM NORTE (m)</t>
        </is>
      </c>
      <c r="D13" s="7" t="n">
        <v>9435011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5"/>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del bloque A PIE con track GPS Garmin 66sr (verificación 02-03/06/2026, avance físico 100%). El interior presenta cobertura predominantemente alta y relieve estable en superficie; las evidencias de inestabilidad activa (taludes de corte con caída de material) se concentran a lo largo de la vía de acceso, FUERA del polígono. Altitud promedio ≈1400 msnm; rango del bloque ≈1100-1500 msnm. Acceso por carretera PI-805 desde Santa Catalina de Mossa.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42</t>
        </is>
      </c>
    </row>
    <row r="6" ht="24" customHeight="1">
      <c r="A6" s="4" t="inlineStr">
        <is>
          <t>Distrito de Santa Catalina de Mossa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7" t="n">
        <v>119.54</v>
      </c>
      <c r="C10" s="19" t="n">
        <v>14</v>
      </c>
      <c r="D10" s="15" t="inlineStr">
        <is>
          <t>672 – 2244</t>
        </is>
      </c>
      <c r="E10" s="15" t="n">
        <v>1572</v>
      </c>
      <c r="F10" s="15" t="n">
        <v>27.41</v>
      </c>
      <c r="G10" s="18" t="n">
        <v>0.7067</v>
      </c>
      <c r="H10" s="19" t="n">
        <v>99.93000000000001</v>
      </c>
      <c r="I10" s="19" t="n">
        <v>0.07000000000000001</v>
      </c>
    </row>
    <row r="11">
      <c r="A11" s="13" t="inlineStr">
        <is>
          <t>11</t>
        </is>
      </c>
      <c r="B11" s="28" t="n">
        <v>103.95</v>
      </c>
      <c r="C11" s="21" t="n">
        <v>12.17</v>
      </c>
      <c r="D11" s="14" t="inlineStr">
        <is>
          <t>1375 – 1928</t>
        </is>
      </c>
      <c r="E11" s="14" t="n">
        <v>553</v>
      </c>
      <c r="F11" s="14" t="n">
        <v>32.19</v>
      </c>
      <c r="G11" s="20" t="n">
        <v>0.6047</v>
      </c>
      <c r="H11" s="21" t="n">
        <v>75.28</v>
      </c>
      <c r="I11" s="21" t="n">
        <v>11.34</v>
      </c>
    </row>
    <row r="12">
      <c r="A12" s="7" t="inlineStr">
        <is>
          <t>17</t>
        </is>
      </c>
      <c r="B12" s="27" t="n">
        <v>96.08</v>
      </c>
      <c r="C12" s="19" t="n">
        <v>11.25</v>
      </c>
      <c r="D12" s="15" t="inlineStr">
        <is>
          <t>1253 – 1880</t>
        </is>
      </c>
      <c r="E12" s="15" t="n">
        <v>627</v>
      </c>
      <c r="F12" s="15" t="n">
        <v>35.56</v>
      </c>
      <c r="G12" s="18" t="n">
        <v>0.6479</v>
      </c>
      <c r="H12" s="19" t="n">
        <v>88.68000000000001</v>
      </c>
      <c r="I12" s="19" t="n">
        <v>2.09</v>
      </c>
    </row>
    <row r="13">
      <c r="A13" s="13" t="inlineStr">
        <is>
          <t>14</t>
        </is>
      </c>
      <c r="B13" s="28" t="n">
        <v>92.90000000000001</v>
      </c>
      <c r="C13" s="21" t="n">
        <v>10.88</v>
      </c>
      <c r="D13" s="14" t="inlineStr">
        <is>
          <t>87 – 1355</t>
        </is>
      </c>
      <c r="E13" s="14" t="n">
        <v>1268</v>
      </c>
      <c r="F13" s="14" t="n">
        <v>23.75</v>
      </c>
      <c r="G13" s="20" t="n">
        <v>0.5197000000000001</v>
      </c>
      <c r="H13" s="21" t="n">
        <v>58.89</v>
      </c>
      <c r="I13" s="21" t="n">
        <v>39.02</v>
      </c>
    </row>
    <row r="14">
      <c r="A14" s="7" t="inlineStr">
        <is>
          <t>15</t>
        </is>
      </c>
      <c r="B14" s="27" t="n">
        <v>86.15000000000001</v>
      </c>
      <c r="C14" s="19" t="n">
        <v>10.09</v>
      </c>
      <c r="D14" s="15" t="inlineStr">
        <is>
          <t>1199 – 1655</t>
        </is>
      </c>
      <c r="E14" s="15" t="n">
        <v>456</v>
      </c>
      <c r="F14" s="15" t="n">
        <v>26.19</v>
      </c>
      <c r="G14" s="18" t="n">
        <v>0.5605</v>
      </c>
      <c r="H14" s="19" t="n">
        <v>56.47</v>
      </c>
      <c r="I14" s="19" t="n">
        <v>22.48</v>
      </c>
    </row>
    <row r="15">
      <c r="A15" s="13" t="inlineStr">
        <is>
          <t>23</t>
        </is>
      </c>
      <c r="B15" s="28" t="n">
        <v>81.78</v>
      </c>
      <c r="C15" s="21" t="n">
        <v>9.58</v>
      </c>
      <c r="D15" s="14" t="inlineStr">
        <is>
          <t>521 – 973</t>
        </is>
      </c>
      <c r="E15" s="14" t="n">
        <v>452</v>
      </c>
      <c r="F15" s="14" t="n">
        <v>35.28</v>
      </c>
      <c r="G15" s="20" t="n">
        <v>0.5731000000000001</v>
      </c>
      <c r="H15" s="21" t="n">
        <v>47.99</v>
      </c>
      <c r="I15" s="21" t="n">
        <v>18.75</v>
      </c>
    </row>
    <row r="16">
      <c r="A16" s="11" t="inlineStr">
        <is>
          <t>► 42</t>
        </is>
      </c>
      <c r="B16" s="29" t="n">
        <v>80.62</v>
      </c>
      <c r="C16" s="30" t="n">
        <v>9.44</v>
      </c>
      <c r="D16" s="12" t="inlineStr">
        <is>
          <t>1131 – 1548</t>
        </is>
      </c>
      <c r="E16" s="12" t="n">
        <v>417</v>
      </c>
      <c r="F16" s="12" t="n">
        <v>27.86</v>
      </c>
      <c r="G16" s="31" t="n">
        <v>0.6348</v>
      </c>
      <c r="H16" s="30" t="n">
        <v>88.83</v>
      </c>
      <c r="I16" s="30" t="n">
        <v>5.64</v>
      </c>
    </row>
    <row r="17">
      <c r="A17" s="13" t="inlineStr">
        <is>
          <t>M19B2</t>
        </is>
      </c>
      <c r="B17" s="28" t="n">
        <v>74.37</v>
      </c>
      <c r="C17" s="21" t="n">
        <v>8.710000000000001</v>
      </c>
      <c r="D17" s="14" t="inlineStr">
        <is>
          <t>203 – 523</t>
        </is>
      </c>
      <c r="E17" s="14" t="n">
        <v>320</v>
      </c>
      <c r="F17" s="14" t="n">
        <v>21.71</v>
      </c>
      <c r="G17" s="20" t="n">
        <v>0.4012</v>
      </c>
      <c r="H17" s="21" t="n">
        <v>1.28</v>
      </c>
      <c r="I17" s="21" t="n">
        <v>96.23999999999999</v>
      </c>
    </row>
    <row r="18">
      <c r="A18" s="7" t="inlineStr">
        <is>
          <t>82</t>
        </is>
      </c>
      <c r="B18" s="27" t="n">
        <v>35.66</v>
      </c>
      <c r="C18" s="19" t="n">
        <v>4.18</v>
      </c>
      <c r="D18" s="15" t="inlineStr">
        <is>
          <t>1796 – 2098</t>
        </is>
      </c>
      <c r="E18" s="15" t="n">
        <v>302</v>
      </c>
      <c r="F18" s="15" t="n">
        <v>23.55</v>
      </c>
      <c r="G18" s="18" t="n">
        <v>0.6283</v>
      </c>
      <c r="H18" s="19" t="n">
        <v>90.06999999999999</v>
      </c>
      <c r="I18" s="19" t="n">
        <v>12.67</v>
      </c>
    </row>
    <row r="19">
      <c r="A19" s="13" t="inlineStr">
        <is>
          <t>78</t>
        </is>
      </c>
      <c r="B19" s="28" t="n">
        <v>35.1</v>
      </c>
      <c r="C19" s="21" t="n">
        <v>4.11</v>
      </c>
      <c r="D19" s="14" t="inlineStr">
        <is>
          <t>1908 – 2236</t>
        </is>
      </c>
      <c r="E19" s="14" t="n">
        <v>328</v>
      </c>
      <c r="F19" s="14" t="n">
        <v>30.64</v>
      </c>
      <c r="G19" s="20" t="n">
        <v>0.7074</v>
      </c>
      <c r="H19" s="21" t="n">
        <v>89.33</v>
      </c>
      <c r="I19" s="21" t="n">
        <v>1.77</v>
      </c>
    </row>
    <row r="20">
      <c r="A20" s="7" t="inlineStr">
        <is>
          <t>M19B7</t>
        </is>
      </c>
      <c r="B20" s="27" t="n">
        <v>34.17</v>
      </c>
      <c r="C20" s="19" t="n">
        <v>4</v>
      </c>
      <c r="D20" s="15" t="inlineStr">
        <is>
          <t>1213 – 1578</t>
        </is>
      </c>
      <c r="E20" s="15" t="n">
        <v>365</v>
      </c>
      <c r="F20" s="15" t="n">
        <v>28.15</v>
      </c>
      <c r="G20" s="18" t="n">
        <v>0.5919</v>
      </c>
      <c r="H20" s="19" t="n">
        <v>78.52</v>
      </c>
      <c r="I20" s="19" t="n">
        <v>5.85</v>
      </c>
    </row>
    <row r="21">
      <c r="A21" s="13" t="inlineStr">
        <is>
          <t>59</t>
        </is>
      </c>
      <c r="B21" s="28" t="n">
        <v>13.55</v>
      </c>
      <c r="C21" s="21" t="n">
        <v>1.59</v>
      </c>
      <c r="D21" s="14" t="inlineStr">
        <is>
          <t>2045 – 2218</t>
        </is>
      </c>
      <c r="E21" s="14" t="n">
        <v>173</v>
      </c>
      <c r="F21" s="14" t="n">
        <v>29.85</v>
      </c>
      <c r="G21" s="20" t="n">
        <v>0.6147</v>
      </c>
      <c r="H21" s="21" t="n">
        <v>86.56999999999999</v>
      </c>
      <c r="I21" s="21" t="n">
        <v>13.72</v>
      </c>
    </row>
    <row r="22">
      <c r="A22" s="16" t="inlineStr">
        <is>
          <t>TOTAL / PROMEDIO</t>
        </is>
      </c>
      <c r="B22" s="32">
        <f>SUM(B10:B21)</f>
        <v>853.87</v>
      </c>
      <c r="C22" s="23">
        <f>SUM(C10:C21)</f>
        <v>100.0</v>
      </c>
      <c r="D22" s="17" t="inlineStr">
        <is>
          <t>87 – 2244</t>
        </is>
      </c>
      <c r="E22" s="17" t="inlineStr"/>
      <c r="F22" s="17">
        <f>ROUND(AVERAGE(F10:F21),2)</f>
        <v>28.51</v>
      </c>
      <c r="G22" s="22">
        <f>ROUND(AVERAGE(G10:G21),4)</f>
        <v>0.5992</v>
      </c>
      <c r="H22" s="23">
        <f>ROUND(AVERAGE(H10:H21),2)</f>
        <v>71.82</v>
      </c>
      <c r="I22" s="23">
        <f>ROUND(AVERAGE(I10:I21),2)</f>
        <v>19.14</v>
      </c>
    </row>
    <row r="23"/>
    <row r="24" ht="84" customHeight="1">
      <c r="A24" s="9" t="inlineStr">
        <is>
          <t>LECTURA INTRAMICROCUENCA. El bloque 42 ocupa el puesto 7 de 12 por superficie dentro de la microcuenca C1086-Q9570 (9.44 % de las 853.87 ha preliminares de la microcuenca). Su pendiente promedio (27.86 %, clase «25-50% (Mod. escarpado)») es la 6.ª más baja de 12 y se sitúa por debajo del promedio de la microcuenca (28.51 %). Su MSAVI 2024 (0.6348) es el 4.º de 12 y queda por encima del promedio local (0.5993). Amplitud altitudinal del bloque: 417 m (1131–1548 msnm). El cuadro conserva todos los bloques catalogados en la microcuenca, incluidos los descartados en el tamizaje, para referencia del conjunto. Los bloques sin ficha DT figuran con sus parámetros de gabinete. BRECHA ESPECTRAL. El 5.64 % de la superficie del bloque (4.543 ha de 80.616 ha) se sitúa bajo el umbral MSAVI 0.4976, por debajo del promedio local de la microcuenca (19.14 %) calculado sobre los bloques con dato MSAVI disponible.</t>
        </is>
      </c>
      <c r="B24" s="40" t="n"/>
      <c r="C24" s="40" t="n"/>
      <c r="D24" s="40" t="n"/>
      <c r="E24" s="40" t="n"/>
      <c r="F24" s="40" t="n"/>
      <c r="G24" s="40" t="n"/>
      <c r="H24" s="41"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1"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«C1086-Q9570»</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46,263 m del centroide de catálogo (625152 E / 9435011 N), distancia incompatible con la superficie del bloque (80.62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(80.649 ha) coincide con la de catálogo (80.62 ha) dentro del ±2 % (+0.04 %)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70 % de cobertura vegetal en campo; el NDVI mediana 2025 clasifica 99.99 % del polígono en clases de vegetación</t>
        </is>
      </c>
      <c r="D13" s="12"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Dimensiones del inventario de cárcavas</t>
        </is>
      </c>
      <c r="C14" s="33" t="inlineStr">
        <is>
          <t>Se registran 0 rasgos erosivos, pero longitud, profundidad y ancho no fueron medidos instrumentalmente</t>
        </is>
      </c>
      <c r="D14" s="12"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10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«Santa Rosa de Chirimoyos»; el cruce INEI-Bloques V5 identifica 1 centro(s) poblado(s) en el bloque: SANTA ROSA DE CHIRIMOYOS</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5" t="inlineStr">
        <is>
          <t>D-09</t>
        </is>
      </c>
      <c r="B18" s="35" t="inlineStr">
        <is>
          <t>Distribución areal MSAVI 2024</t>
        </is>
      </c>
      <c r="C18" s="35" t="inlineStr">
        <is>
          <t>La distribución por clase de MSAVI no figuraba en los insumos del entregable y se consignaba «Por determinar»; se incorpora la estadística zonal del ráster MSAVI clasificado (142 polígonos, 80.616 ha)</t>
        </is>
      </c>
      <c r="D18" s="36" t="inlineStr">
        <is>
          <t>CORREGIDO</t>
        </is>
      </c>
      <c r="E1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5" t="inlineStr">
        <is>
          <t>D-10</t>
        </is>
      </c>
      <c r="B19" s="35" t="inlineStr">
        <is>
          <t>Superficie MSAVI vs. catálogo</t>
        </is>
      </c>
      <c r="C19" s="35" t="inlineStr">
        <is>
          <t>La superficie total clasificada por el MSAVI 2024 (80.616 ha) frente a la de catálogo V5/V6 (80.620 ha): desviación de -0.01 %</t>
        </is>
      </c>
      <c r="D19" s="36" t="inlineStr">
        <is>
          <t>CONFORME</t>
        </is>
      </c>
      <c r="E19" s="35" t="inlineStr">
        <is>
          <t>Sin acción: la segmentación del ráster valida la geometría del bloque dentro del ±2 %.</t>
        </is>
      </c>
    </row>
    <row r="20" ht="48" customHeight="1">
      <c r="A20" s="35" t="inlineStr">
        <is>
          <t>D-11</t>
        </is>
      </c>
      <c r="B20" s="35" t="inlineStr">
        <is>
          <t>Media MSAVI vs. clase DN dominante</t>
        </is>
      </c>
      <c r="C20" s="35" t="inlineStr">
        <is>
          <t>La media del bloque (0.6348) cae en la clase «DN 5 · &gt; 0.6139 (Vigor alto)»; la clase de mayor superficie es «DN 5 · &gt; 0.6139 (Vigor alto)», con 65.87 % del bloque. Superficie bajo el umbral 0.4976: 4.543 ha (5.64 %)</t>
        </is>
      </c>
      <c r="D20" s="36" t="inlineStr">
        <is>
          <t>CONFORME</t>
        </is>
      </c>
      <c r="E20" s="35" t="inlineStr">
        <is>
          <t>Sin acción: la media del bloque y la clase de mayor superficie coinciden.</t>
        </is>
      </c>
    </row>
    <row r="21"/>
    <row r="22">
      <c r="A22" s="16" t="inlineStr">
        <is>
          <t>RESUMEN</t>
        </is>
      </c>
      <c r="B22" s="17" t="inlineStr">
        <is>
          <t>11 verificaciones</t>
        </is>
      </c>
      <c r="C22" s="17" t="inlineStr">
        <is>
          <t>CONFORME: 5 · CORREGIDO: 1 · NO SUSTANTIVA: 2 · SUSTANTIVA: 3</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0" t="n"/>
      <c r="C24" s="40" t="n"/>
      <c r="D24" s="40" t="n"/>
      <c r="E24" s="41"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42 — IN Piura</dc:title>
  <dc:subject>Diagnóstico Territorial por bloque de intervención</dc:subject>
  <dcterms:created xsi:type="dcterms:W3CDTF">2026-09-08T03:39:56Z</dcterms:created>
  <dcterms:modified xsi:type="dcterms:W3CDTF">2026-09-10T00:28:27Z</dcterms:modified>
</cp:coreProperties>
</file>