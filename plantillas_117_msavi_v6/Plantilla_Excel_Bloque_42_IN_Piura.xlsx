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49">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42</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42</t>
        </is>
      </c>
      <c r="C9" s="6" t="inlineStr">
        <is>
          <t>Microcuenca (catálogo)</t>
        </is>
      </c>
      <c r="D9" s="7" t="inlineStr">
        <is>
          <t>C1086-Q9570</t>
        </is>
      </c>
      <c r="E9" s="8" t="n"/>
      <c r="F9" s="8" t="n"/>
    </row>
    <row r="10">
      <c r="A10" s="6" t="inlineStr">
        <is>
          <t>Zona de planificación</t>
        </is>
      </c>
      <c r="B10" s="7" t="inlineStr">
        <is>
          <t>Z04</t>
        </is>
      </c>
      <c r="C10" s="6" t="inlineStr">
        <is>
          <t>Microcuenca declarada en ficha DT</t>
        </is>
      </c>
      <c r="D10" s="7" t="inlineStr">
        <is>
          <t>C1086-Q9570</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Santa Catalina de Mossa</t>
        </is>
      </c>
      <c r="C12" s="6" t="inlineStr">
        <is>
          <t>Capital distrital</t>
        </is>
      </c>
      <c r="D12" s="7" t="inlineStr">
        <is>
          <t>Santa Catalina de Mossa</t>
        </is>
      </c>
      <c r="E12" s="8" t="n"/>
      <c r="F12" s="8" t="n"/>
    </row>
    <row r="13">
      <c r="A13" s="6" t="inlineStr">
        <is>
          <t>Centro poblado asociado</t>
        </is>
      </c>
      <c r="B13" s="7" t="inlineStr">
        <is>
          <t>Santa Rosa de Chirimoyos</t>
        </is>
      </c>
      <c r="C13" s="6" t="inlineStr">
        <is>
          <t>Comunidad campesina</t>
        </is>
      </c>
      <c r="D13" s="7" t="inlineStr">
        <is>
          <t>Predios de propiedad privada y comunal</t>
        </is>
      </c>
      <c r="E13" s="8" t="n"/>
      <c r="F13" s="8" t="n"/>
    </row>
    <row r="14">
      <c r="A14" s="6" t="inlineStr">
        <is>
          <t>Superficie de catálogo (V5/V6), ha</t>
        </is>
      </c>
      <c r="B14" s="7" t="n">
        <v>80.62</v>
      </c>
      <c r="C14" s="6" t="inlineStr">
        <is>
          <t>Fuente de superficie</t>
        </is>
      </c>
      <c r="D14" s="7" t="inlineStr">
        <is>
          <t>Catálogo maestro Bloques V5/V6</t>
        </is>
      </c>
      <c r="E14" s="8" t="n"/>
      <c r="F14" s="8" t="n"/>
    </row>
    <row r="15">
      <c r="A15" s="6" t="inlineStr">
        <is>
          <t>Centroide UTM ESTE (m)</t>
        </is>
      </c>
      <c r="B15" s="7" t="n">
        <v>625152</v>
      </c>
      <c r="C15" s="6" t="inlineStr">
        <is>
          <t>Centroide UTM NORTE (m)</t>
        </is>
      </c>
      <c r="D15" s="7" t="n">
        <v>9435011</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1131</v>
      </c>
      <c r="C19" s="6" t="inlineStr">
        <is>
          <t>Altitud máxima (msnm)</t>
        </is>
      </c>
      <c r="D19" s="7" t="n">
        <v>1548</v>
      </c>
      <c r="E19" s="8" t="n"/>
      <c r="F19" s="8" t="n"/>
    </row>
    <row r="20">
      <c r="A20" s="6" t="inlineStr">
        <is>
          <t>Amplitud altitudinal (m)</t>
        </is>
      </c>
      <c r="B20" s="7" t="n">
        <v>417</v>
      </c>
      <c r="C20" s="6" t="inlineStr">
        <is>
          <t>Piso altitudinal dominante</t>
        </is>
      </c>
      <c r="D20" s="7" t="inlineStr">
        <is>
          <t>1000-1500 m (Quechua baja)</t>
        </is>
      </c>
      <c r="E20" s="8" t="n"/>
      <c r="F20" s="8" t="n"/>
    </row>
    <row r="21">
      <c r="A21" s="6" t="inlineStr">
        <is>
          <t>Pendiente promedio (%)</t>
        </is>
      </c>
      <c r="B21" s="7" t="n">
        <v>27.86</v>
      </c>
      <c r="C21" s="6" t="inlineStr">
        <is>
          <t>Pendiente promedio (grados)</t>
        </is>
      </c>
      <c r="D21" s="7" t="n">
        <v>15.6</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Norte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0.6348</v>
      </c>
      <c r="C28" s="6" t="inlineStr">
        <is>
          <t>MSAVI 2024 — clase de la media</t>
        </is>
      </c>
      <c r="D28" s="7" t="inlineStr">
        <is>
          <t>&gt; 0.6139 (Vigor alto)</t>
        </is>
      </c>
      <c r="E28" s="8" t="n"/>
      <c r="F28" s="8" t="n"/>
    </row>
    <row r="29">
      <c r="A29" s="6" t="inlineStr">
        <is>
          <t>Condición frente al umbral 0.4976</t>
        </is>
      </c>
      <c r="B29" s="7" t="inlineStr">
        <is>
          <t>Sobre umbral</t>
        </is>
      </c>
      <c r="C29" s="6" t="inlineStr">
        <is>
          <t>NDVI mediana 2025 — clase modal</t>
        </is>
      </c>
      <c r="D29" s="7" t="inlineStr">
        <is>
          <t>Vegetación alta (88.83 %)</t>
        </is>
      </c>
      <c r="E29" s="8" t="n"/>
      <c r="F29" s="8" t="n"/>
    </row>
    <row r="30">
      <c r="A30" s="6" t="inlineStr">
        <is>
          <t>Superficie clasificada NDVI 2025 (ha)</t>
        </is>
      </c>
      <c r="B30" s="7" t="n">
        <v>80.649</v>
      </c>
      <c r="C30" s="6" t="inlineStr">
        <is>
          <t>Desviación frente al catálogo (%)</t>
        </is>
      </c>
      <c r="D30" s="7" t="n">
        <v>0.04</v>
      </c>
      <c r="E30" s="8" t="n"/>
      <c r="F30" s="8" t="n"/>
    </row>
    <row r="31">
      <c r="A31" s="6" t="inlineStr">
        <is>
          <t>Superficie clasificada MSAVI 2024 (ha)</t>
        </is>
      </c>
      <c r="B31" s="37" t="n">
        <v>80.616</v>
      </c>
      <c r="C31" s="6" t="inlineStr">
        <is>
          <t>Desviación MSAVI frente al catálogo (%)</t>
        </is>
      </c>
      <c r="D31" s="38" t="n">
        <v>-0.01</v>
      </c>
      <c r="E31" s="8" t="n"/>
      <c r="F31" s="8" t="n"/>
    </row>
    <row r="32">
      <c r="A32" s="6" t="inlineStr">
        <is>
          <t>Superficie bajo umbral MSAVI 0.4976 (ha)</t>
        </is>
      </c>
      <c r="B32" s="37" t="n">
        <v>4.543</v>
      </c>
      <c r="C32" s="6" t="inlineStr">
        <is>
          <t>% del bloque bajo umbral (brecha espectral)</t>
        </is>
      </c>
      <c r="D32" s="38" t="n">
        <v>5.64</v>
      </c>
      <c r="E32" s="8" t="n"/>
      <c r="F32" s="8" t="n"/>
    </row>
    <row r="33">
      <c r="A33" s="6" t="inlineStr">
        <is>
          <t>Clase DN dominante (MSAVI 2024)</t>
        </is>
      </c>
      <c r="B33" s="7" t="inlineStr">
        <is>
          <t>DN 5 · &gt; 0.6139 (Vigor alto)</t>
        </is>
      </c>
      <c r="C33" s="6" t="inlineStr">
        <is>
          <t>N.° de polígonos MSAVI del bloque</t>
        </is>
      </c>
      <c r="D33" s="39" t="n">
        <v>142</v>
      </c>
      <c r="E33" s="8" t="n"/>
      <c r="F33" s="8" t="n"/>
    </row>
    <row r="34"/>
    <row r="35" ht="18" customHeight="1">
      <c r="A35" s="5" t="inlineStr">
        <is>
          <t>4. ECOSISTEMA Y ESTADO DE CONSERVACIÓN</t>
        </is>
      </c>
    </row>
    <row r="36">
      <c r="A36" s="6" t="inlineStr">
        <is>
          <t>Tipo de ecosistema (UP)</t>
        </is>
      </c>
      <c r="B36" s="7" t="inlineStr">
        <is>
          <t>Bosque Estacionalmente Seco Colina/Montaña (Bes-cm)</t>
        </is>
      </c>
      <c r="C36" s="6" t="inlineStr">
        <is>
          <t>Superficie de ecosistema (ha)</t>
        </is>
      </c>
      <c r="D36" s="7" t="inlineStr">
        <is>
          <t>Por determinar</t>
        </is>
      </c>
      <c r="E36" s="8" t="n"/>
      <c r="F36" s="8" t="n"/>
    </row>
    <row r="37">
      <c r="A37" s="6" t="inlineStr">
        <is>
          <t>Estado de conservación</t>
        </is>
      </c>
      <c r="B37" s="7" t="inlineStr">
        <is>
          <t>Medianamente alterado</t>
        </is>
      </c>
      <c r="C37" s="6" t="inlineStr">
        <is>
          <t>Uso actual dominante del suelo</t>
        </is>
      </c>
      <c r="D37" s="7" t="inlineStr">
        <is>
          <t>Uso mixto</t>
        </is>
      </c>
      <c r="E37" s="8" t="n"/>
      <c r="F37" s="8" t="n"/>
    </row>
    <row r="38">
      <c r="A38" s="6" t="inlineStr">
        <is>
          <t>Tipo de cobertura dominante</t>
        </is>
      </c>
      <c r="B38" s="7" t="inlineStr">
        <is>
          <t>Matorral denso</t>
        </is>
      </c>
      <c r="C38" s="6" t="inlineStr">
        <is>
          <t>Cobertura vegetal total — campo (%)</t>
        </is>
      </c>
      <c r="D38" s="7" t="n">
        <v>70</v>
      </c>
      <c r="E38" s="8" t="n"/>
      <c r="F38" s="8" t="n"/>
    </row>
    <row r="39">
      <c r="A39" s="6" t="inlineStr">
        <is>
          <t>Suelo desnudo — campo (%)</t>
        </is>
      </c>
      <c r="B39" s="7" t="n">
        <v>10</v>
      </c>
      <c r="C39" s="6" t="inlineStr">
        <is>
          <t>Regeneración natural</t>
        </is>
      </c>
      <c r="D39" s="7" t="inlineStr">
        <is>
          <t>Por determinar</t>
        </is>
      </c>
      <c r="E39" s="8" t="n"/>
      <c r="F39" s="8" t="n"/>
    </row>
    <row r="40">
      <c r="A40" s="6" t="inlineStr">
        <is>
          <t>Nivel general de erosión</t>
        </is>
      </c>
      <c r="B40" s="7" t="inlineStr">
        <is>
          <t>Moderada (surcos)</t>
        </is>
      </c>
      <c r="C40" s="6" t="inlineStr">
        <is>
          <t>N.° de cárcavas registradas</t>
        </is>
      </c>
      <c r="D40" s="7" t="n">
        <v>0</v>
      </c>
      <c r="E40" s="8" t="n"/>
      <c r="F40" s="8" t="n"/>
    </row>
    <row r="41">
      <c r="A41" s="6" t="inlineStr">
        <is>
          <t>Elenco florístico (n.° de taxones)</t>
        </is>
      </c>
      <c r="B41" s="7" t="n">
        <v>10</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Héctor S. Cahuas Miller / J.C. Domínguez V. / P. Talledo H.</t>
        </is>
      </c>
      <c r="C44" s="6" t="inlineStr">
        <is>
          <t>Fecha de evaluación</t>
        </is>
      </c>
      <c r="D44" s="7" t="inlineStr">
        <is>
          <t>2026-06-03</t>
        </is>
      </c>
      <c r="E44" s="8" t="n"/>
      <c r="F44" s="8" t="n"/>
    </row>
    <row r="45">
      <c r="A45" s="6" t="inlineStr">
        <is>
          <t>Hora de registro</t>
        </is>
      </c>
      <c r="B45" s="7" t="inlineStr">
        <is>
          <t>12:46</t>
        </is>
      </c>
      <c r="C45" s="6" t="inlineStr">
        <is>
          <t>Correlativo de ficha</t>
        </is>
      </c>
      <c r="D45" s="7" t="inlineStr">
        <is>
          <t>Por registrar</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No instalada</t>
        </is>
      </c>
      <c r="E47" s="8" t="n"/>
      <c r="F47" s="8" t="n"/>
    </row>
    <row r="48">
      <c r="A48" s="6" t="inlineStr">
        <is>
          <t>Estaciones fotográficas georreferenciadas</t>
        </is>
      </c>
      <c r="B48" s="7" t="inlineStr">
        <is>
          <t>Sin registro en la ficha DT</t>
        </is>
      </c>
      <c r="C48" s="6" t="inlineStr">
        <is>
          <t>Modalidad de acceso</t>
        </is>
      </c>
      <c r="D48" s="7" t="inlineStr">
        <is>
          <t>Vehicular + caminata 30-90 min</t>
        </is>
      </c>
      <c r="E48" s="8" t="n"/>
      <c r="F48" s="8" t="n"/>
    </row>
    <row r="49"/>
    <row r="50" ht="18" customHeight="1">
      <c r="A50" s="5" t="inlineStr">
        <is>
          <t>6. SÍNTESIS PARA LA GESTIÓN DEL RIESGO EN CONTEXTO DE CAMBIO CLIMÁTICO</t>
        </is>
      </c>
    </row>
    <row r="51">
      <c r="A51" s="6" t="inlineStr">
        <is>
          <t>Causa subyacente principal</t>
        </is>
      </c>
      <c r="B51" s="7" t="inlineStr">
        <is>
          <t>Presión agropecuaria sobre laderas de fuerte pendiente, sin prácticas de conservación de suelos</t>
        </is>
      </c>
      <c r="C51" s="6" t="inlineStr">
        <is>
          <t>Velocidad de degradación</t>
        </is>
      </c>
      <c r="D51" s="7" t="inlineStr">
        <is>
          <t>Moderada</t>
        </is>
      </c>
      <c r="E51" s="8" t="n"/>
      <c r="F51" s="8" t="n"/>
    </row>
    <row r="52">
      <c r="A52" s="6" t="inlineStr">
        <is>
          <t>Reversibilidad técnica</t>
        </is>
      </c>
      <c r="B52" s="7" t="inlineStr">
        <is>
          <t>Parcialmente reversible</t>
        </is>
      </c>
      <c r="C52" s="6" t="inlineStr">
        <is>
          <t>Urgencia de intervención</t>
        </is>
      </c>
      <c r="D52" s="7" t="inlineStr">
        <is>
          <t>Media</t>
        </is>
      </c>
      <c r="E52" s="8" t="n"/>
      <c r="F52" s="8" t="n"/>
    </row>
    <row r="53">
      <c r="A53" s="6" t="inlineStr">
        <is>
          <t>Urgencia de control de erosión</t>
        </is>
      </c>
      <c r="B53" s="7" t="inlineStr">
        <is>
          <t>Media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0" t="n"/>
      <c r="C57" s="40" t="n"/>
      <c r="D57" s="40" t="n"/>
      <c r="E57" s="40" t="n"/>
      <c r="F57" s="41"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42</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11" t="inlineStr">
        <is>
          <t>&gt; 0.6139 · DN 5</t>
        </is>
      </c>
      <c r="B10" s="31" t="n">
        <v>53.1008</v>
      </c>
      <c r="C10" s="30">
        <f>ROUND(B10/$B$15*100,2)</f>
        <v/>
      </c>
      <c r="D10" s="12" t="inlineStr">
        <is>
          <t>Vigor alto</t>
        </is>
      </c>
      <c r="E10" s="12" t="inlineStr">
        <is>
          <t>Sobre umbral</t>
        </is>
      </c>
    </row>
    <row r="11">
      <c r="A11" s="13" t="inlineStr">
        <is>
          <t>0.4976 - 0.6139 · DN 4</t>
        </is>
      </c>
      <c r="B11" s="20" t="n">
        <v>22.9715</v>
      </c>
      <c r="C11" s="21">
        <f>ROUND(B11/$B$15*100,2)</f>
        <v/>
      </c>
      <c r="D11" s="14" t="inlineStr">
        <is>
          <t>Vigor moderado</t>
        </is>
      </c>
      <c r="E11" s="14" t="inlineStr">
        <is>
          <t>Sobre umbral</t>
        </is>
      </c>
    </row>
    <row r="12">
      <c r="A12" s="7" t="inlineStr">
        <is>
          <t>0.3813 - 0.4976 · DN 3</t>
        </is>
      </c>
      <c r="B12" s="18" t="n">
        <v>4.5234</v>
      </c>
      <c r="C12" s="19">
        <f>ROUND(B12/$B$15*100,2)</f>
        <v/>
      </c>
      <c r="D12" s="15" t="inlineStr">
        <is>
          <t>Vigor bajo</t>
        </is>
      </c>
      <c r="E12" s="15" t="inlineStr">
        <is>
          <t>BAJO umbral 0.4976</t>
        </is>
      </c>
    </row>
    <row r="13">
      <c r="A13" s="13" t="inlineStr">
        <is>
          <t>0.2650 - 0.3813 · DN 2</t>
        </is>
      </c>
      <c r="B13" s="20" t="n">
        <v>0.0198</v>
      </c>
      <c r="C13" s="21">
        <f>ROUND(B13/$B$15*100,2)</f>
        <v/>
      </c>
      <c r="D13" s="14" t="inlineStr">
        <is>
          <t>Vigor muy bajo</t>
        </is>
      </c>
      <c r="E13" s="14" t="inlineStr">
        <is>
          <t>BAJO umbral 0.4976</t>
        </is>
      </c>
    </row>
    <row r="14">
      <c r="A14" s="7" t="inlineStr">
        <is>
          <t>&lt;= 0.2650 · DN 1</t>
        </is>
      </c>
      <c r="B14" s="18" t="n">
        <v>0</v>
      </c>
      <c r="C14" s="19">
        <f>ROUND(B14/$B$15*100,2)</f>
        <v/>
      </c>
      <c r="D14" s="15" t="inlineStr">
        <is>
          <t>Suelo desnudo / no vegetal</t>
        </is>
      </c>
      <c r="E14" s="15" t="inlineStr">
        <is>
          <t>BAJO umbral 0.4976</t>
        </is>
      </c>
    </row>
    <row r="15" ht="30" customHeight="1">
      <c r="A15" s="42" t="inlineStr">
        <is>
          <t>TOTAL CLASIFICADO MSAVI 2024</t>
        </is>
      </c>
      <c r="B15" s="43">
        <f>SUM(B10:B14)</f>
        <v/>
      </c>
      <c r="C15" s="44">
        <f>SUM(C10:C14)</f>
        <v/>
      </c>
      <c r="D15" s="42" t="inlineStr">
        <is>
          <t>Suma de la distribución areal · 142 polígonos</t>
        </is>
      </c>
      <c r="E15" s="42" t="inlineStr">
        <is>
          <t>—</t>
        </is>
      </c>
    </row>
    <row r="16" ht="30" customHeight="1">
      <c r="A16" s="45" t="inlineStr">
        <is>
          <t>Superficie SOBRE umbral 0.4976 (ha)</t>
        </is>
      </c>
      <c r="B16" s="46">
        <f>SUM(B10:B11)</f>
        <v/>
      </c>
      <c r="C16" s="47">
        <f>ROUND(B16/B15*100,2)</f>
        <v/>
      </c>
      <c r="D16" s="45" t="inlineStr">
        <is>
          <t>Vigor alto y moderado (DN 4 y DN 5)</t>
        </is>
      </c>
      <c r="E16" s="45" t="inlineStr">
        <is>
          <t>Sobre umbral 0.4976</t>
        </is>
      </c>
    </row>
    <row r="17" ht="30" customHeight="1">
      <c r="A17" s="45" t="inlineStr">
        <is>
          <t>Superficie BAJO umbral 0.4976 (ha) — brecha</t>
        </is>
      </c>
      <c r="B17" s="46">
        <f>SUM(B12:B14)</f>
        <v/>
      </c>
      <c r="C17" s="47">
        <f>ROUND(B17/B15*100,2)</f>
        <v/>
      </c>
      <c r="D17" s="45" t="inlineStr">
        <is>
          <t>Vigor bajo, muy bajo y suelo desnudo (DN 1 a DN 3)</t>
        </is>
      </c>
      <c r="E17" s="45" t="inlineStr">
        <is>
          <t>Base para el indicador de brecha (R.M. N.° 00213-2024-MINAM)</t>
        </is>
      </c>
    </row>
    <row r="18" ht="30" customHeight="1">
      <c r="A18" s="45" t="inlineStr">
        <is>
          <t>Superficie de catálogo (V5/V6) — contraste MSAVI</t>
        </is>
      </c>
      <c r="B18" s="46" t="n">
        <v>80.62</v>
      </c>
      <c r="C18" s="48" t="inlineStr">
        <is>
          <t>—</t>
        </is>
      </c>
      <c r="D18" s="45" t="inlineStr">
        <is>
          <t>Desviación planimétrica frente al catálogo</t>
        </is>
      </c>
      <c r="E18" s="45" t="inlineStr">
        <is>
          <t>-0.01 %</t>
        </is>
      </c>
    </row>
    <row r="19">
      <c r="A19" s="16" t="inlineStr">
        <is>
          <t>MSAVI 2024 — MEDIA DEL BLOQUE</t>
        </is>
      </c>
      <c r="B19" s="17" t="n">
        <v>0.634841</v>
      </c>
      <c r="C19" s="17" t="inlineStr">
        <is>
          <t>—</t>
        </is>
      </c>
      <c r="D19" s="17" t="inlineStr">
        <is>
          <t>Vigor alto · clase &gt; 0.6139</t>
        </is>
      </c>
      <c r="E19" s="17" t="inlineStr">
        <is>
          <t>Sobre umbral</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142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(0.6348) se conserva del catálogo maestro y es dato oficial; la fila resaltada indica la clase en la que cae dicha media. Los totales y porcentajes se calculan con fórmulas sobre las filas del cuadro.</t>
        </is>
      </c>
      <c r="B21" s="40" t="n"/>
      <c r="C21" s="40" t="n"/>
      <c r="D21" s="40" t="n"/>
      <c r="E21" s="41"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71.6422</v>
      </c>
      <c r="C25" s="19" t="n">
        <v>88.83</v>
      </c>
      <c r="D25" s="15" t="inlineStr">
        <is>
          <t>Dosel continuo, matorral denso o mosaico agroforestal</t>
        </is>
      </c>
      <c r="E25" s="15" t="inlineStr"/>
    </row>
    <row r="26">
      <c r="A26" s="13" t="inlineStr">
        <is>
          <t>Vegetación mediana</t>
        </is>
      </c>
      <c r="B26" s="20" t="n">
        <v>8.9064</v>
      </c>
      <c r="C26" s="21" t="n">
        <v>11.04</v>
      </c>
      <c r="D26" s="14" t="inlineStr">
        <is>
          <t>Pastizal cultivado, matorral ralo, parcelas agrícolas</t>
        </is>
      </c>
      <c r="E26" s="14" t="inlineStr"/>
    </row>
    <row r="27">
      <c r="A27" s="7" t="inlineStr">
        <is>
          <t>Vegetación ligera</t>
        </is>
      </c>
      <c r="B27" s="18" t="n">
        <v>0.1002</v>
      </c>
      <c r="C27" s="19" t="n">
        <v>0.12</v>
      </c>
      <c r="D27" s="15" t="inlineStr">
        <is>
          <t>Cobertura discontinua, suelo parcialmente expuesto</t>
        </is>
      </c>
      <c r="E27" s="15" t="inlineStr"/>
    </row>
    <row r="28">
      <c r="A28" s="16" t="inlineStr">
        <is>
          <t>TOTAL CLASIFICADO</t>
        </is>
      </c>
      <c r="B28" s="22">
        <f>SUM(B25:B27)</f>
        <v/>
      </c>
      <c r="C28" s="23">
        <f>SUM(C25:C27)</f>
        <v/>
      </c>
      <c r="D28" s="17" t="inlineStr"/>
      <c r="E28" s="17" t="inlineStr"/>
    </row>
    <row r="29">
      <c r="A29" s="24" t="inlineStr">
        <is>
          <t>Superficie de catálogo (V5/V6)</t>
        </is>
      </c>
      <c r="B29" s="25" t="n">
        <v>80.62</v>
      </c>
      <c r="C29" s="25" t="inlineStr">
        <is>
          <t>—</t>
        </is>
      </c>
      <c r="D29" s="25" t="inlineStr">
        <is>
          <t>Desviación planimétrica frente al catálogo</t>
        </is>
      </c>
      <c r="E29" s="25" t="inlineStr">
        <is>
          <t>+0.04 %</t>
        </is>
      </c>
    </row>
    <row r="30"/>
    <row r="31" ht="108" customHeight="1">
      <c r="A31"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70 % frente a un 88.83 % del polígono clasificado como «Vegetación alta» por el NDVI 2025; la observación de campo corresponde a una parcela o recorrido puntual y no es estadísticamente representativa de las 80.620 ha del bloque.</t>
        </is>
      </c>
      <c r="B31" s="40" t="n"/>
      <c r="C31" s="40" t="n"/>
      <c r="D31" s="40" t="n"/>
      <c r="E31" s="41" t="n"/>
    </row>
  </sheetData>
  <mergeCells count="10">
    <mergeCell ref="A21:E21"/>
    <mergeCell ref="A4:E4"/>
    <mergeCell ref="A2:E2"/>
    <mergeCell ref="A1:E1"/>
    <mergeCell ref="A5:E5"/>
    <mergeCell ref="A23:E23"/>
    <mergeCell ref="A8:E8"/>
    <mergeCell ref="A6:E6"/>
    <mergeCell ref="A31:E31"/>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6"/>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42</t>
        </is>
      </c>
    </row>
    <row r="6" ht="24" customHeight="1">
      <c r="A6" s="4" t="inlineStr">
        <is>
          <t>Levantamiento del 2026-06-03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5" t="inlineStr">
        <is>
          <t>Punto de muestreo declarado en ficha DT</t>
        </is>
      </c>
      <c r="C10" s="26" t="n">
        <v>645575</v>
      </c>
      <c r="D10" s="26" t="n">
        <v>9393500</v>
      </c>
      <c r="E10" s="15" t="n">
        <v>46263</v>
      </c>
      <c r="F10" s="15" t="inlineStr"/>
      <c r="G10" s="15" t="inlineStr">
        <is>
          <t>Coordenada consignada en F-DT-01</t>
        </is>
      </c>
    </row>
    <row r="11">
      <c r="A11" s="16" t="inlineStr">
        <is>
          <t>TOTAL: 1 puntos</t>
        </is>
      </c>
      <c r="B11" s="17" t="inlineStr"/>
      <c r="C11" s="17" t="inlineStr"/>
      <c r="D11" s="17" t="inlineStr"/>
      <c r="E11" s="17" t="inlineStr"/>
      <c r="F11" s="17" t="inlineStr"/>
      <c r="G11" s="17" t="inlineStr"/>
    </row>
    <row r="13">
      <c r="A13" s="6" t="inlineStr">
        <is>
          <t>Centroide del bloque — UTM ESTE (m)</t>
        </is>
      </c>
      <c r="B13" s="7" t="n">
        <v>625152</v>
      </c>
      <c r="C13" s="6" t="inlineStr">
        <is>
          <t>Centroide del bloque — UTM NORTE (m)</t>
        </is>
      </c>
      <c r="D13" s="7" t="n">
        <v>9435011</v>
      </c>
      <c r="E13" s="8" t="n"/>
      <c r="F13" s="8" t="n"/>
      <c r="G13" s="8" t="n"/>
      <c r="H13" s="8" t="n"/>
    </row>
    <row r="14">
      <c r="A14" s="6" t="inlineStr">
        <is>
          <t>N.° de estaciones fotográficas declaradas</t>
        </is>
      </c>
      <c r="B14" s="7" t="inlineStr">
        <is>
          <t>Sin registro en la ficha DT</t>
        </is>
      </c>
      <c r="C14" s="6" t="inlineStr">
        <is>
          <t>Estaciones dentro del polígono</t>
        </is>
      </c>
      <c r="D14" s="7" t="inlineStr">
        <is>
          <t>Por determinar</t>
        </is>
      </c>
      <c r="E14" s="8" t="n"/>
      <c r="F14" s="8" t="n"/>
      <c r="G14" s="8" t="n"/>
      <c r="H14" s="8" t="n"/>
    </row>
    <row r="16" ht="120" customHeight="1">
      <c r="A16"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Recorrido del bloque A PIE con track GPS Garmin 66sr (verificación 02-03/06/2026, avance físico 100%). El interior presenta cobertura predominantemente alta y relieve estable en superficie; las evidencias de inestabilidad activa (taludes de corte con caída de material) se concentran a lo largo de la vía de acceso, FUERA del polígono. Altitud promedio ≈1400 msnm; rango del bloque ≈1100-1500 msnm. Acceso por carretera PI-805 desde Santa Catalina de Mossa.</t>
        </is>
      </c>
      <c r="B16" s="40" t="n"/>
      <c r="C16" s="40" t="n"/>
      <c r="D16" s="40" t="n"/>
      <c r="E16" s="40" t="n"/>
      <c r="F16" s="40" t="n"/>
      <c r="G16" s="41" t="n"/>
    </row>
  </sheetData>
  <mergeCells count="8">
    <mergeCell ref="A1:G1"/>
    <mergeCell ref="A8:G8"/>
    <mergeCell ref="A3:G3"/>
    <mergeCell ref="A6:G6"/>
    <mergeCell ref="A4:G4"/>
    <mergeCell ref="A2:G2"/>
    <mergeCell ref="A16:G16"/>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C1086-Q9570 — BLOQUE 42</t>
        </is>
      </c>
    </row>
    <row r="6" ht="24" customHeight="1">
      <c r="A6" s="4" t="inlineStr">
        <is>
          <t>Distrito de Santa Catalina de Mossa · Provincia de Morropon · Comparación de los bloques preliminares de intervención de la misma microcuenca</t>
        </is>
      </c>
    </row>
    <row r="7"/>
    <row r="8" ht="18" customHeight="1">
      <c r="A8" s="5" t="inlineStr">
        <is>
          <t>BLOQUES DE LA MICROCUENCA C1086-Q9570</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12</t>
        </is>
      </c>
      <c r="B10" s="27" t="n">
        <v>119.54</v>
      </c>
      <c r="C10" s="19" t="n">
        <v>14</v>
      </c>
      <c r="D10" s="15" t="inlineStr">
        <is>
          <t>672 – 2244</t>
        </is>
      </c>
      <c r="E10" s="15" t="n">
        <v>1572</v>
      </c>
      <c r="F10" s="15" t="n">
        <v>27.41</v>
      </c>
      <c r="G10" s="18" t="n">
        <v>0.7067</v>
      </c>
      <c r="H10" s="19" t="n">
        <v>99.93000000000001</v>
      </c>
      <c r="I10" s="19" t="n">
        <v>0.07000000000000001</v>
      </c>
    </row>
    <row r="11">
      <c r="A11" s="13" t="inlineStr">
        <is>
          <t>11</t>
        </is>
      </c>
      <c r="B11" s="28" t="n">
        <v>103.95</v>
      </c>
      <c r="C11" s="21" t="n">
        <v>12.17</v>
      </c>
      <c r="D11" s="14" t="inlineStr">
        <is>
          <t>1375 – 1928</t>
        </is>
      </c>
      <c r="E11" s="14" t="n">
        <v>553</v>
      </c>
      <c r="F11" s="14" t="n">
        <v>32.19</v>
      </c>
      <c r="G11" s="20" t="n">
        <v>0.6047</v>
      </c>
      <c r="H11" s="21" t="n">
        <v>75.28</v>
      </c>
      <c r="I11" s="21" t="n">
        <v>11.34</v>
      </c>
    </row>
    <row r="12">
      <c r="A12" s="7" t="inlineStr">
        <is>
          <t>17</t>
        </is>
      </c>
      <c r="B12" s="27" t="n">
        <v>96.08</v>
      </c>
      <c r="C12" s="19" t="n">
        <v>11.25</v>
      </c>
      <c r="D12" s="15" t="inlineStr">
        <is>
          <t>1253 – 1880</t>
        </is>
      </c>
      <c r="E12" s="15" t="n">
        <v>627</v>
      </c>
      <c r="F12" s="15" t="n">
        <v>35.56</v>
      </c>
      <c r="G12" s="18" t="n">
        <v>0.6479</v>
      </c>
      <c r="H12" s="19" t="n">
        <v>88.68000000000001</v>
      </c>
      <c r="I12" s="19" t="n">
        <v>2.09</v>
      </c>
    </row>
    <row r="13">
      <c r="A13" s="13" t="inlineStr">
        <is>
          <t>14</t>
        </is>
      </c>
      <c r="B13" s="28" t="n">
        <v>92.90000000000001</v>
      </c>
      <c r="C13" s="21" t="n">
        <v>10.88</v>
      </c>
      <c r="D13" s="14" t="inlineStr">
        <is>
          <t>87 – 1355</t>
        </is>
      </c>
      <c r="E13" s="14" t="n">
        <v>1268</v>
      </c>
      <c r="F13" s="14" t="n">
        <v>23.75</v>
      </c>
      <c r="G13" s="20" t="n">
        <v>0.5197000000000001</v>
      </c>
      <c r="H13" s="21" t="n">
        <v>58.89</v>
      </c>
      <c r="I13" s="21" t="n">
        <v>39.02</v>
      </c>
    </row>
    <row r="14">
      <c r="A14" s="7" t="inlineStr">
        <is>
          <t>15</t>
        </is>
      </c>
      <c r="B14" s="27" t="n">
        <v>86.15000000000001</v>
      </c>
      <c r="C14" s="19" t="n">
        <v>10.09</v>
      </c>
      <c r="D14" s="15" t="inlineStr">
        <is>
          <t>1199 – 1655</t>
        </is>
      </c>
      <c r="E14" s="15" t="n">
        <v>456</v>
      </c>
      <c r="F14" s="15" t="n">
        <v>26.19</v>
      </c>
      <c r="G14" s="18" t="n">
        <v>0.5605</v>
      </c>
      <c r="H14" s="19" t="n">
        <v>56.47</v>
      </c>
      <c r="I14" s="19" t="n">
        <v>22.48</v>
      </c>
    </row>
    <row r="15">
      <c r="A15" s="13" t="inlineStr">
        <is>
          <t>23</t>
        </is>
      </c>
      <c r="B15" s="28" t="n">
        <v>81.78</v>
      </c>
      <c r="C15" s="21" t="n">
        <v>9.58</v>
      </c>
      <c r="D15" s="14" t="inlineStr">
        <is>
          <t>521 – 973</t>
        </is>
      </c>
      <c r="E15" s="14" t="n">
        <v>452</v>
      </c>
      <c r="F15" s="14" t="n">
        <v>35.28</v>
      </c>
      <c r="G15" s="20" t="n">
        <v>0.5731000000000001</v>
      </c>
      <c r="H15" s="21" t="n">
        <v>47.99</v>
      </c>
      <c r="I15" s="21" t="n">
        <v>18.75</v>
      </c>
    </row>
    <row r="16">
      <c r="A16" s="11" t="inlineStr">
        <is>
          <t>► 42</t>
        </is>
      </c>
      <c r="B16" s="29" t="n">
        <v>80.62</v>
      </c>
      <c r="C16" s="30" t="n">
        <v>9.44</v>
      </c>
      <c r="D16" s="12" t="inlineStr">
        <is>
          <t>1131 – 1548</t>
        </is>
      </c>
      <c r="E16" s="12" t="n">
        <v>417</v>
      </c>
      <c r="F16" s="12" t="n">
        <v>27.86</v>
      </c>
      <c r="G16" s="31" t="n">
        <v>0.6348</v>
      </c>
      <c r="H16" s="30" t="n">
        <v>88.83</v>
      </c>
      <c r="I16" s="30" t="n">
        <v>5.64</v>
      </c>
    </row>
    <row r="17">
      <c r="A17" s="13" t="inlineStr">
        <is>
          <t>M19B2</t>
        </is>
      </c>
      <c r="B17" s="28" t="n">
        <v>74.37</v>
      </c>
      <c r="C17" s="21" t="n">
        <v>8.710000000000001</v>
      </c>
      <c r="D17" s="14" t="inlineStr">
        <is>
          <t>203 – 523</t>
        </is>
      </c>
      <c r="E17" s="14" t="n">
        <v>320</v>
      </c>
      <c r="F17" s="14" t="n">
        <v>21.71</v>
      </c>
      <c r="G17" s="20" t="n">
        <v>0.4012</v>
      </c>
      <c r="H17" s="21" t="n">
        <v>1.28</v>
      </c>
      <c r="I17" s="21" t="n">
        <v>96.23999999999999</v>
      </c>
    </row>
    <row r="18">
      <c r="A18" s="7" t="inlineStr">
        <is>
          <t>82</t>
        </is>
      </c>
      <c r="B18" s="27" t="n">
        <v>35.66</v>
      </c>
      <c r="C18" s="19" t="n">
        <v>4.18</v>
      </c>
      <c r="D18" s="15" t="inlineStr">
        <is>
          <t>1796 – 2098</t>
        </is>
      </c>
      <c r="E18" s="15" t="n">
        <v>302</v>
      </c>
      <c r="F18" s="15" t="n">
        <v>23.55</v>
      </c>
      <c r="G18" s="18" t="n">
        <v>0.6283</v>
      </c>
      <c r="H18" s="19" t="n">
        <v>90.06999999999999</v>
      </c>
      <c r="I18" s="19" t="n">
        <v>12.67</v>
      </c>
    </row>
    <row r="19">
      <c r="A19" s="13" t="inlineStr">
        <is>
          <t>78</t>
        </is>
      </c>
      <c r="B19" s="28" t="n">
        <v>35.1</v>
      </c>
      <c r="C19" s="21" t="n">
        <v>4.11</v>
      </c>
      <c r="D19" s="14" t="inlineStr">
        <is>
          <t>1908 – 2236</t>
        </is>
      </c>
      <c r="E19" s="14" t="n">
        <v>328</v>
      </c>
      <c r="F19" s="14" t="n">
        <v>30.64</v>
      </c>
      <c r="G19" s="20" t="n">
        <v>0.7074</v>
      </c>
      <c r="H19" s="21" t="n">
        <v>89.33</v>
      </c>
      <c r="I19" s="21" t="n">
        <v>1.77</v>
      </c>
    </row>
    <row r="20">
      <c r="A20" s="7" t="inlineStr">
        <is>
          <t>M19B7</t>
        </is>
      </c>
      <c r="B20" s="27" t="n">
        <v>34.17</v>
      </c>
      <c r="C20" s="19" t="n">
        <v>4</v>
      </c>
      <c r="D20" s="15" t="inlineStr">
        <is>
          <t>1213 – 1578</t>
        </is>
      </c>
      <c r="E20" s="15" t="n">
        <v>365</v>
      </c>
      <c r="F20" s="15" t="n">
        <v>28.15</v>
      </c>
      <c r="G20" s="18" t="n">
        <v>0.5919</v>
      </c>
      <c r="H20" s="19" t="n">
        <v>78.52</v>
      </c>
      <c r="I20" s="19" t="n">
        <v>5.85</v>
      </c>
    </row>
    <row r="21">
      <c r="A21" s="13" t="inlineStr">
        <is>
          <t>59</t>
        </is>
      </c>
      <c r="B21" s="28" t="n">
        <v>13.55</v>
      </c>
      <c r="C21" s="21" t="n">
        <v>1.59</v>
      </c>
      <c r="D21" s="14" t="inlineStr">
        <is>
          <t>2045 – 2218</t>
        </is>
      </c>
      <c r="E21" s="14" t="n">
        <v>173</v>
      </c>
      <c r="F21" s="14" t="n">
        <v>29.85</v>
      </c>
      <c r="G21" s="20" t="n">
        <v>0.6147</v>
      </c>
      <c r="H21" s="21" t="n">
        <v>86.56999999999999</v>
      </c>
      <c r="I21" s="21" t="n">
        <v>13.72</v>
      </c>
    </row>
    <row r="22">
      <c r="A22" s="16" t="inlineStr">
        <is>
          <t>TOTAL / PROMEDIO</t>
        </is>
      </c>
      <c r="B22" s="32">
        <f>SUM(B10:B21)</f>
        <v/>
      </c>
      <c r="C22" s="23">
        <f>SUM(C10:C21)</f>
        <v/>
      </c>
      <c r="D22" s="17" t="inlineStr">
        <is>
          <t>87 – 2244</t>
        </is>
      </c>
      <c r="E22" s="17" t="inlineStr"/>
      <c r="F22" s="17">
        <f>ROUND(AVERAGE(F10:F21),2)</f>
        <v/>
      </c>
      <c r="G22" s="22">
        <f>ROUND(AVERAGE(G10:G21),4)</f>
        <v/>
      </c>
      <c r="H22" s="23">
        <f>ROUND(AVERAGE(H10:H21),2)</f>
        <v/>
      </c>
      <c r="I22" s="23">
        <f>ROUND(AVERAGE(I10:I21),2)</f>
        <v/>
      </c>
    </row>
    <row r="23"/>
    <row r="24" ht="84" customHeight="1">
      <c r="A24" s="9" t="inlineStr">
        <is>
          <t>LECTURA INTRAMICROCUENCA. El bloque 42 ocupa el puesto 7 de 12 por superficie dentro de la microcuenca C1086-Q9570 (9.44 % de las 853.87 ha preliminares de la microcuenca). Su pendiente promedio (27.86 %, clase «25-50% (Mod. escarpado)») es la 6.ª más baja de 12 y se sitúa por debajo del promedio de la microcuenca (28.51 %). Su MSAVI 2024 (0.6348) es el 4.º de 12 y queda por encima del promedio local (0.5993). Amplitud altitudinal del bloque: 417 m (1131–1548 msnm). El cuadro conserva todos los bloques catalogados en la microcuenca, incluidos los descartados en el tamizaje, para referencia del conjunto. Los bloques sin ficha DT figuran con sus parámetros de gabinete. BRECHA ESPECTRAL. El 5.64 % de la superficie del bloque (4.543 ha de 80.616 ha) se sitúa bajo el umbral MSAVI 0.4976, por debajo del promedio local de la microcuenca (19.14 %) calculado sobre los bloques con dato MSAVI disponible.</t>
        </is>
      </c>
      <c r="B24" s="40" t="n"/>
      <c r="C24" s="40" t="n"/>
      <c r="D24" s="40" t="n"/>
      <c r="E24" s="40" t="n"/>
      <c r="F24" s="40" t="n"/>
      <c r="G24" s="40" t="n"/>
      <c r="H24" s="41" t="n"/>
    </row>
    <row r="25"/>
    <row r="26" ht="60" customHeight="1">
      <c r="A2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6" s="40" t="n"/>
      <c r="C26" s="40" t="n"/>
      <c r="D26" s="40" t="n"/>
      <c r="E26" s="40" t="n"/>
      <c r="F26" s="40" t="n"/>
      <c r="G26" s="40" t="n"/>
      <c r="H26" s="41" t="n"/>
    </row>
  </sheetData>
  <mergeCells count="9">
    <mergeCell ref="A1:I1"/>
    <mergeCell ref="A4:I4"/>
    <mergeCell ref="A3:I3"/>
    <mergeCell ref="A26:I26"/>
    <mergeCell ref="A24:I24"/>
    <mergeCell ref="A2:I2"/>
    <mergeCell ref="A5:I5"/>
    <mergeCell ref="A8:I8"/>
    <mergeCell ref="A6:I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4"/>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42</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3" t="inlineStr">
        <is>
          <t>D-01</t>
        </is>
      </c>
      <c r="B10" s="33" t="inlineStr">
        <is>
          <t>Código de microcuenca</t>
        </is>
      </c>
      <c r="C10" s="33" t="inlineStr">
        <is>
          <t>Ficha DT y catálogo maestro coinciden en «C1086-Q9570»</t>
        </is>
      </c>
      <c r="D10" s="34" t="inlineStr">
        <is>
          <t>CONFORME</t>
        </is>
      </c>
      <c r="E10" s="33" t="inlineStr">
        <is>
          <t>Sin acción.</t>
        </is>
      </c>
    </row>
    <row r="11" ht="48" customHeight="1">
      <c r="A11" s="35" t="inlineStr">
        <is>
          <t>D-02</t>
        </is>
      </c>
      <c r="B11" s="35" t="inlineStr">
        <is>
          <t>UTM del punto de muestreo</t>
        </is>
      </c>
      <c r="C11" s="35" t="inlineStr">
        <is>
          <t>El punto de muestreo declarado (645575 E / 9393500 N) dista 46,263 m del centroide de catálogo (625152 E / 9435011 N), distancia incompatible con la superficie del bloque (80.62 ha)</t>
        </is>
      </c>
      <c r="D11" s="36" t="inlineStr">
        <is>
          <t>SUSTANTIVA</t>
        </is>
      </c>
      <c r="E11" s="35" t="inlineStr">
        <is>
          <t>Se declara la coordenada como POR VERIFICAR: puede corresponder a otro bloque o a un error de digitación. No se corrige de oficio.</t>
        </is>
      </c>
    </row>
    <row r="12" ht="48" customHeight="1">
      <c r="A12" s="33" t="inlineStr">
        <is>
          <t>D-03</t>
        </is>
      </c>
      <c r="B12" s="33" t="inlineStr">
        <is>
          <t>Superficie del polígono</t>
        </is>
      </c>
      <c r="C12" s="33" t="inlineStr">
        <is>
          <t>La superficie clasificada por el NDVI 2025 (80.649 ha) coincide con la de catálogo (80.62 ha) dentro del ±2 % (+0.04 %)</t>
        </is>
      </c>
      <c r="D12" s="34" t="inlineStr">
        <is>
          <t>CONFORME</t>
        </is>
      </c>
      <c r="E12" s="33" t="inlineStr">
        <is>
          <t>Sin acción: la segmentación valida la geometría del bloque.</t>
        </is>
      </c>
    </row>
    <row r="13" ht="48" customHeight="1">
      <c r="A13" s="35" t="inlineStr">
        <is>
          <t>D-04</t>
        </is>
      </c>
      <c r="B13" s="35" t="inlineStr">
        <is>
          <t>Cobertura vegetal total</t>
        </is>
      </c>
      <c r="C13" s="35" t="inlineStr">
        <is>
          <t>La ficha DT estima 70 % de cobertura vegetal en campo; el NDVI mediana 2025 clasifica 99.99 % del polígono en clases de vegetación</t>
        </is>
      </c>
      <c r="D13" s="12" t="inlineStr">
        <is>
          <t>NO SUSTANTIVA</t>
        </is>
      </c>
      <c r="E13" s="35" t="inlineStr">
        <is>
          <t>Se declaran ambos valores. La observación de campo corresponde a una parcela o recorrido puntual y no es representativa de la totalidad del bloque; el índice espectral no discrimina composición ni integridad ecosistémica.</t>
        </is>
      </c>
    </row>
    <row r="14" ht="48" customHeight="1">
      <c r="A14" s="33" t="inlineStr">
        <is>
          <t>D-05</t>
        </is>
      </c>
      <c r="B14" s="33" t="inlineStr">
        <is>
          <t>Dimensiones del inventario de cárcavas</t>
        </is>
      </c>
      <c r="C14" s="33" t="inlineStr">
        <is>
          <t>Se registran 0 rasgos erosivos, pero longitud, profundidad y ancho no fueron medidos instrumentalmente</t>
        </is>
      </c>
      <c r="D14" s="12" t="inlineStr">
        <is>
          <t>NO SUSTANTIVA</t>
        </is>
      </c>
      <c r="E14" s="33" t="inlineStr">
        <is>
          <t>El conteo registrado no debe usarse para calcular densidad de cárcavas por hectárea. Pendiente de levantamiento con GPS submétrico.</t>
        </is>
      </c>
    </row>
    <row r="15" ht="48" customHeight="1">
      <c r="A15" s="35" t="inlineStr">
        <is>
          <t>D-06</t>
        </is>
      </c>
      <c r="B15" s="35" t="inlineStr">
        <is>
          <t>Elenco florístico</t>
        </is>
      </c>
      <c r="C15" s="35" t="inlineStr">
        <is>
          <t>La ficha registra 10 taxones, por debajo del mínimo de 15 que exige el formato V5</t>
        </is>
      </c>
      <c r="D15" s="36" t="inlineStr">
        <is>
          <t>SUSTANTIVA</t>
        </is>
      </c>
      <c r="E15" s="35" t="inlineStr">
        <is>
          <t>Registro florístico preliminar, sin colecta ni determinación botánica formal. Debe cerrarse con colecta botánica en la siguiente campaña.</t>
        </is>
      </c>
    </row>
    <row r="16" ht="48" customHeight="1">
      <c r="A16" s="33" t="inlineStr">
        <is>
          <t>D-07</t>
        </is>
      </c>
      <c r="B16" s="33" t="inlineStr">
        <is>
          <t>Centro poblado asociado</t>
        </is>
      </c>
      <c r="C16" s="33" t="inlineStr">
        <is>
          <t>La ficha DT declara «Santa Rosa de Chirimoyos»; el cruce INEI-Bloques V5 identifica 1 centro(s) poblado(s) en el bloque: SANTA ROSA DE CHIRIMOYOS</t>
        </is>
      </c>
      <c r="D16" s="34" t="inlineStr">
        <is>
          <t>CONFORME</t>
        </is>
      </c>
      <c r="E16" s="33" t="inlineStr">
        <is>
          <t>Se conserva el registro de campo como referencia y se adopta el listado INEI para el diagnóstico social y el cálculo de población beneficiaria.</t>
        </is>
      </c>
    </row>
    <row r="17" ht="48" customHeight="1">
      <c r="A17" s="35" t="inlineStr">
        <is>
          <t>D-08</t>
        </is>
      </c>
      <c r="B17" s="35" t="inlineStr">
        <is>
          <t>Peligro integrado (MCA-AHP)</t>
        </is>
      </c>
      <c r="C17" s="35" t="inlineStr">
        <is>
          <t>El nivel de peligro integrado no está disponible en los insumos de este entregable</t>
        </is>
      </c>
      <c r="D17" s="36" t="inlineStr">
        <is>
          <t>SUSTANTIVA</t>
        </is>
      </c>
      <c r="E17" s="35" t="inlineStr">
        <is>
          <t>Debe tomarse del modelamiento de mesolocalización (PMM + EPH + PGI ponderados por AHP) antes de fijar la prioridad definitiva de intervención del bloque.</t>
        </is>
      </c>
    </row>
    <row r="18" ht="48" customHeight="1">
      <c r="A18" s="35" t="inlineStr">
        <is>
          <t>D-09</t>
        </is>
      </c>
      <c r="B18" s="35" t="inlineStr">
        <is>
          <t>Distribución areal MSAVI 2024</t>
        </is>
      </c>
      <c r="C18" s="35" t="inlineStr">
        <is>
          <t>La distribución por clase de MSAVI no figuraba en los insumos del entregable y se consignaba «Por determinar»; se incorpora la estadística zonal del ráster MSAVI clasificado (142 polígonos, 80.616 ha)</t>
        </is>
      </c>
      <c r="D18" s="36" t="inlineStr">
        <is>
          <t>CORREGIDO</t>
        </is>
      </c>
      <c r="E18" s="35"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19" ht="48" customHeight="1">
      <c r="A19" s="35" t="inlineStr">
        <is>
          <t>D-10</t>
        </is>
      </c>
      <c r="B19" s="35" t="inlineStr">
        <is>
          <t>Superficie MSAVI vs. catálogo</t>
        </is>
      </c>
      <c r="C19" s="35" t="inlineStr">
        <is>
          <t>La superficie total clasificada por el MSAVI 2024 (80.616 ha) frente a la de catálogo V5/V6 (80.620 ha): desviación de -0.01 %</t>
        </is>
      </c>
      <c r="D19" s="36" t="inlineStr">
        <is>
          <t>CONFORME</t>
        </is>
      </c>
      <c r="E19" s="35" t="inlineStr">
        <is>
          <t>Sin acción: la segmentación del ráster valida la geometría del bloque dentro del ±2 %.</t>
        </is>
      </c>
    </row>
    <row r="20" ht="48" customHeight="1">
      <c r="A20" s="35" t="inlineStr">
        <is>
          <t>D-11</t>
        </is>
      </c>
      <c r="B20" s="35" t="inlineStr">
        <is>
          <t>Media MSAVI vs. clase DN dominante</t>
        </is>
      </c>
      <c r="C20" s="35" t="inlineStr">
        <is>
          <t>La media del bloque (0.6348) cae en la clase «DN 5 · &gt; 0.6139 (Vigor alto)»; la clase de mayor superficie es «DN 5 · &gt; 0.6139 (Vigor alto)», con 65.87 % del bloque. Superficie bajo el umbral 0.4976: 4.543 ha (5.64 %)</t>
        </is>
      </c>
      <c r="D20" s="36" t="inlineStr">
        <is>
          <t>CONFORME</t>
        </is>
      </c>
      <c r="E20" s="35" t="inlineStr">
        <is>
          <t>Sin acción: la media del bloque y la clase de mayor superficie coinciden.</t>
        </is>
      </c>
    </row>
    <row r="21"/>
    <row r="22">
      <c r="A22" s="16" t="inlineStr">
        <is>
          <t>RESUMEN</t>
        </is>
      </c>
      <c r="B22" s="17" t="inlineStr">
        <is>
          <t>11 verificaciones</t>
        </is>
      </c>
      <c r="C22" s="17" t="inlineStr">
        <is>
          <t>CONFORME: 5 · CORREGIDO: 1 · NO SUSTANTIVA: 2 · SUSTANTIVA: 3</t>
        </is>
      </c>
      <c r="D22" s="17" t="inlineStr"/>
      <c r="E22" s="17" t="inlineStr"/>
    </row>
    <row r="23"/>
    <row r="24" ht="60" customHeight="1">
      <c r="A24"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24" s="40" t="n"/>
      <c r="C24" s="40" t="n"/>
      <c r="D24" s="40" t="n"/>
      <c r="E24" s="41" t="n"/>
    </row>
  </sheetData>
  <mergeCells count="8">
    <mergeCell ref="A4:E4"/>
    <mergeCell ref="A24:E24"/>
    <mergeCell ref="A2:E2"/>
    <mergeCell ref="A5:E5"/>
    <mergeCell ref="A1:E1"/>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42 — IN Piura</dc:title>
  <dc:subject>Diagnóstico Territorial por bloque de intervención</dc:subject>
  <dcterms:created xsi:type="dcterms:W3CDTF">2026-09-08T03:39:56Z</dcterms:created>
  <dcterms:modified xsi:type="dcterms:W3CDTF">2026-09-09T23:30:52Z</dcterms:modified>
</cp:coreProperties>
</file>