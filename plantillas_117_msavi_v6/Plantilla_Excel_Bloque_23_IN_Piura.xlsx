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23</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23</t>
        </is>
      </c>
      <c r="C9" s="6" t="inlineStr">
        <is>
          <t>Microcuenca (catálogo)</t>
        </is>
      </c>
      <c r="D9" s="7" t="inlineStr">
        <is>
          <t>C1086-Q9570</t>
        </is>
      </c>
      <c r="E9" s="8" t="n"/>
      <c r="F9" s="8" t="n"/>
    </row>
    <row r="10">
      <c r="A10" s="6" t="inlineStr">
        <is>
          <t>Zona de planificación</t>
        </is>
      </c>
      <c r="B10" s="7" t="inlineStr">
        <is>
          <t>Z03</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Santo Domingo</t>
        </is>
      </c>
      <c r="C12" s="6" t="inlineStr">
        <is>
          <t>Capital distrital</t>
        </is>
      </c>
      <c r="D12" s="7" t="inlineStr">
        <is>
          <t>Santo Domingo</t>
        </is>
      </c>
      <c r="E12" s="8" t="n"/>
      <c r="F12" s="8" t="n"/>
    </row>
    <row r="13">
      <c r="A13" s="6" t="inlineStr">
        <is>
          <t>Centro poblado asociado</t>
        </is>
      </c>
      <c r="B13" s="7" t="inlineStr">
        <is>
          <t>Nueva Esperanza</t>
        </is>
      </c>
      <c r="C13" s="6" t="inlineStr">
        <is>
          <t>Comunidad campesina</t>
        </is>
      </c>
      <c r="D13" s="7" t="inlineStr">
        <is>
          <t>Por verificar</t>
        </is>
      </c>
      <c r="E13" s="8" t="n"/>
      <c r="F13" s="8" t="n"/>
    </row>
    <row r="14">
      <c r="A14" s="6" t="inlineStr">
        <is>
          <t>Superficie de catálogo (V5/V6), ha</t>
        </is>
      </c>
      <c r="B14" s="7" t="n">
        <v>81.78</v>
      </c>
      <c r="C14" s="6" t="inlineStr">
        <is>
          <t>Fuente de superficie</t>
        </is>
      </c>
      <c r="D14" s="7" t="inlineStr">
        <is>
          <t>Catálogo maestro Bloques V5/V6</t>
        </is>
      </c>
      <c r="E14" s="8" t="n"/>
      <c r="F14" s="8" t="n"/>
    </row>
    <row r="15">
      <c r="A15" s="6" t="inlineStr">
        <is>
          <t>Centroide UTM ESTE (m)</t>
        </is>
      </c>
      <c r="B15" s="7" t="n">
        <v>619939</v>
      </c>
      <c r="C15" s="6" t="inlineStr">
        <is>
          <t>Centroide UTM NORTE (m)</t>
        </is>
      </c>
      <c r="D15" s="7" t="n">
        <v>9438544</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521</v>
      </c>
      <c r="C19" s="6" t="inlineStr">
        <is>
          <t>Altitud máxima (msnm)</t>
        </is>
      </c>
      <c r="D19" s="7" t="n">
        <v>973</v>
      </c>
      <c r="E19" s="8" t="n"/>
      <c r="F19" s="8" t="n"/>
    </row>
    <row r="20">
      <c r="A20" s="6" t="inlineStr">
        <is>
          <t>Amplitud altitudinal (m)</t>
        </is>
      </c>
      <c r="B20" s="7" t="n">
        <v>452</v>
      </c>
      <c r="C20" s="6" t="inlineStr">
        <is>
          <t>Piso altitudinal dominante</t>
        </is>
      </c>
      <c r="D20" s="7" t="inlineStr">
        <is>
          <t>&lt;1000 m (Yunga)</t>
        </is>
      </c>
      <c r="E20" s="8" t="n"/>
      <c r="F20" s="8" t="n"/>
    </row>
    <row r="21">
      <c r="A21" s="6" t="inlineStr">
        <is>
          <t>Pendiente promedio (%)</t>
        </is>
      </c>
      <c r="B21" s="7" t="n">
        <v>35.28</v>
      </c>
      <c r="C21" s="6" t="inlineStr">
        <is>
          <t>Pendiente promedio (grados)</t>
        </is>
      </c>
      <c r="D21" s="7" t="n">
        <v>19.4</v>
      </c>
      <c r="E21" s="8" t="n"/>
      <c r="F21" s="8" t="n"/>
    </row>
    <row r="22">
      <c r="A22" s="6" t="inlineStr">
        <is>
          <t>Clase de pendiente equivalente</t>
        </is>
      </c>
      <c r="B22" s="7" t="inlineStr">
        <is>
          <t>25-50% (Mod. escarpado)</t>
        </is>
      </c>
      <c r="C22" s="6" t="inlineStr">
        <is>
          <t>Rango de pendiente declarado en campo</t>
        </is>
      </c>
      <c r="D22" s="7" t="inlineStr">
        <is>
          <t>No consignado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 consignada</t>
        </is>
      </c>
      <c r="C24" s="6" t="inlineStr">
        <is>
          <t>Afloramientos rocosos</t>
        </is>
      </c>
      <c r="D24" s="7" t="inlineStr">
        <is>
          <t>No consignado</t>
        </is>
      </c>
      <c r="E24" s="8" t="n"/>
      <c r="F24" s="8" t="n"/>
    </row>
    <row r="25">
      <c r="A25" s="6" t="inlineStr">
        <is>
          <t>Escarpes activos</t>
        </is>
      </c>
      <c r="B25" s="7" t="inlineStr">
        <is>
          <t>No consignado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0.5731000000000001</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(47.99 %)</t>
        </is>
      </c>
      <c r="E29" s="8" t="n"/>
      <c r="F29" s="8" t="n"/>
    </row>
    <row r="30">
      <c r="A30" s="6" t="inlineStr">
        <is>
          <t>Superficie clasificada NDVI 2025 (ha)</t>
        </is>
      </c>
      <c r="B30" s="7" t="n">
        <v>81.812</v>
      </c>
      <c r="C30" s="6" t="inlineStr">
        <is>
          <t>Desviación frente al catálogo (%)</t>
        </is>
      </c>
      <c r="D30" s="7" t="n">
        <v>0.04</v>
      </c>
      <c r="E30" s="8" t="n"/>
      <c r="F30" s="8" t="n"/>
    </row>
    <row r="31">
      <c r="A31" s="6" t="inlineStr">
        <is>
          <t>Superficie clasificada MSAVI 2024 (ha)</t>
        </is>
      </c>
      <c r="B31" s="38" t="n">
        <v>81.776</v>
      </c>
      <c r="C31" s="6" t="inlineStr">
        <is>
          <t>Desviación MSAVI frente al catálogo (%)</t>
        </is>
      </c>
      <c r="D31" s="39" t="n">
        <v>-0.01</v>
      </c>
      <c r="E31" s="8" t="n"/>
      <c r="F31" s="8" t="n"/>
    </row>
    <row r="32">
      <c r="A32" s="6" t="inlineStr">
        <is>
          <t>Superficie bajo umbral MSAVI 0.4976 (ha)</t>
        </is>
      </c>
      <c r="B32" s="38" t="n">
        <v>15.33</v>
      </c>
      <c r="C32" s="6" t="inlineStr">
        <is>
          <t>% del bloque bajo umbral (brecha espectral)</t>
        </is>
      </c>
      <c r="D32" s="39" t="n">
        <v>18.75</v>
      </c>
      <c r="E32" s="8" t="n"/>
      <c r="F32" s="8" t="n"/>
    </row>
    <row r="33">
      <c r="A33" s="6" t="inlineStr">
        <is>
          <t>Clase DN dominante (MSAVI 2024)</t>
        </is>
      </c>
      <c r="B33" s="7" t="inlineStr">
        <is>
          <t>DN 4 · 0.4976 - 0.6139 (Vigor moderado)</t>
        </is>
      </c>
      <c r="C33" s="6" t="inlineStr">
        <is>
          <t>N.° de polígonos MSAVI del bloque</t>
        </is>
      </c>
      <c r="D33" s="40" t="n">
        <v>312</v>
      </c>
      <c r="E33" s="8" t="n"/>
      <c r="F33" s="8" t="n"/>
    </row>
    <row r="34"/>
    <row r="35" ht="18" customHeight="1">
      <c r="A35" s="5" t="inlineStr">
        <is>
          <t>4. ECOSISTEMA Y ESTADO DE CONSERVACIÓN</t>
        </is>
      </c>
    </row>
    <row r="36">
      <c r="A36" s="6" t="inlineStr">
        <is>
          <t>Tipo de ecosistema (UP)</t>
        </is>
      </c>
      <c r="B36" s="7" t="inlineStr">
        <is>
          <t>Matorral Andino árido</t>
        </is>
      </c>
      <c r="C36" s="6" t="inlineStr">
        <is>
          <t>Superficie de ecosistema (ha)</t>
        </is>
      </c>
      <c r="D36" s="7" t="inlineStr">
        <is>
          <t>Por determinar</t>
        </is>
      </c>
      <c r="E36" s="8" t="n"/>
      <c r="F36" s="8" t="n"/>
    </row>
    <row r="37">
      <c r="A37" s="6" t="inlineStr">
        <is>
          <t>Estado de conservación</t>
        </is>
      </c>
      <c r="B37" s="7" t="inlineStr">
        <is>
          <t>Medianamente alterado</t>
        </is>
      </c>
      <c r="C37" s="6" t="inlineStr">
        <is>
          <t>Uso actual dominante del suelo</t>
        </is>
      </c>
      <c r="D37" s="7" t="inlineStr">
        <is>
          <t>Uso mixto</t>
        </is>
      </c>
      <c r="E37" s="8" t="n"/>
      <c r="F37" s="8" t="n"/>
    </row>
    <row r="38">
      <c r="A38" s="6" t="inlineStr">
        <is>
          <t>Tipo de cobertura dominante</t>
        </is>
      </c>
      <c r="B38" s="7" t="inlineStr">
        <is>
          <t>Matorral ralo</t>
        </is>
      </c>
      <c r="C38" s="6" t="inlineStr">
        <is>
          <t>Cobertura vegetal total — campo (%)</t>
        </is>
      </c>
      <c r="D38" s="7" t="inlineStr">
        <is>
          <t>Media (40-60%)</t>
        </is>
      </c>
      <c r="E38" s="8" t="n"/>
      <c r="F38" s="8" t="n"/>
    </row>
    <row r="39">
      <c r="A39" s="6" t="inlineStr">
        <is>
          <t>Suelo desnudo — campo (%)</t>
        </is>
      </c>
      <c r="B39" s="7" t="n">
        <v>20</v>
      </c>
      <c r="C39" s="6" t="inlineStr">
        <is>
          <t>Regeneración natural</t>
        </is>
      </c>
      <c r="D39" s="7" t="inlineStr">
        <is>
          <t>Por determinar</t>
        </is>
      </c>
      <c r="E39" s="8" t="n"/>
      <c r="F39" s="8" t="n"/>
    </row>
    <row r="40">
      <c r="A40" s="6" t="inlineStr">
        <is>
          <t>Nivel general de erosión</t>
        </is>
      </c>
      <c r="B40" s="7" t="inlineStr">
        <is>
          <t>Moderada (surcos)</t>
        </is>
      </c>
      <c r="C40" s="6" t="inlineStr">
        <is>
          <t>N.° de cárcavas registradas</t>
        </is>
      </c>
      <c r="D40" s="7" t="inlineStr">
        <is>
          <t>Sin inventario</t>
        </is>
      </c>
      <c r="E40" s="8" t="n"/>
      <c r="F40" s="8" t="n"/>
    </row>
    <row r="41">
      <c r="A41" s="6" t="inlineStr">
        <is>
          <t>Elenco florístico (n.° de taxones)</t>
        </is>
      </c>
      <c r="B41" s="7" t="n">
        <v>9</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Héctor Cahuas / Pedro Talledo / Juan Domínguez</t>
        </is>
      </c>
      <c r="C44" s="6" t="inlineStr">
        <is>
          <t>Fecha de evaluación</t>
        </is>
      </c>
      <c r="D44" s="7" t="inlineStr">
        <is>
          <t>2026-06-27</t>
        </is>
      </c>
      <c r="E44" s="8" t="n"/>
      <c r="F44" s="8" t="n"/>
    </row>
    <row r="45">
      <c r="A45" s="6" t="inlineStr">
        <is>
          <t>Hora de registro</t>
        </is>
      </c>
      <c r="B45" s="7" t="inlineStr">
        <is>
          <t>23:26</t>
        </is>
      </c>
      <c r="C45" s="6" t="inlineStr">
        <is>
          <t>Correlativo de ficha</t>
        </is>
      </c>
      <c r="D45" s="7" t="inlineStr">
        <is>
          <t>Por registrar</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instalada</t>
        </is>
      </c>
      <c r="E47" s="8" t="n"/>
      <c r="F47" s="8" t="n"/>
    </row>
    <row r="48">
      <c r="A48" s="6" t="inlineStr">
        <is>
          <t>Estaciones fotográficas georreferenciadas</t>
        </is>
      </c>
      <c r="B48" s="7" t="inlineStr">
        <is>
          <t>Sin registro en la ficha DT</t>
        </is>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Expansión de la frontera agropecuaria de subsistencia familiar</t>
        </is>
      </c>
      <c r="C51" s="6" t="inlineStr">
        <is>
          <t>Velocidad de degradación</t>
        </is>
      </c>
      <c r="D51" s="7" t="inlineStr">
        <is>
          <t>Lenta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Alta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23</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26.1441</v>
      </c>
      <c r="C10" s="19">
        <f>ROUND(B10/$B$15*100,2)</f>
        <v/>
      </c>
      <c r="D10" s="11" t="inlineStr">
        <is>
          <t>Vigor alto</t>
        </is>
      </c>
      <c r="E10" s="11" t="inlineStr">
        <is>
          <t>Sobre umbral</t>
        </is>
      </c>
    </row>
    <row r="11">
      <c r="A11" s="12" t="inlineStr">
        <is>
          <t>0.4976 - 0.6139 · DN 4</t>
        </is>
      </c>
      <c r="B11" s="32" t="n">
        <v>40.3014</v>
      </c>
      <c r="C11" s="31">
        <f>ROUND(B11/$B$15*100,2)</f>
        <v/>
      </c>
      <c r="D11" s="13" t="inlineStr">
        <is>
          <t>Vigor moderado</t>
        </is>
      </c>
      <c r="E11" s="13" t="inlineStr">
        <is>
          <t>Sobre umbral</t>
        </is>
      </c>
    </row>
    <row r="12">
      <c r="A12" s="7" t="inlineStr">
        <is>
          <t>0.3813 - 0.4976 · DN 3</t>
        </is>
      </c>
      <c r="B12" s="18" t="n">
        <v>14.7915</v>
      </c>
      <c r="C12" s="19">
        <f>ROUND(B12/$B$15*100,2)</f>
        <v/>
      </c>
      <c r="D12" s="11" t="inlineStr">
        <is>
          <t>Vigor bajo</t>
        </is>
      </c>
      <c r="E12" s="11" t="inlineStr">
        <is>
          <t>BAJO umbral 0.4976</t>
        </is>
      </c>
    </row>
    <row r="13">
      <c r="A13" s="14" t="inlineStr">
        <is>
          <t>0.2650 - 0.3813 · DN 2</t>
        </is>
      </c>
      <c r="B13" s="20" t="n">
        <v>0.5385</v>
      </c>
      <c r="C13" s="21">
        <f>ROUND(B13/$B$15*100,2)</f>
        <v/>
      </c>
      <c r="D13" s="15" t="inlineStr">
        <is>
          <t>Vigor muy bajo</t>
        </is>
      </c>
      <c r="E13" s="15" t="inlineStr">
        <is>
          <t>BAJO umbral 0.4976</t>
        </is>
      </c>
    </row>
    <row r="14">
      <c r="A14" s="7" t="inlineStr">
        <is>
          <t>&lt;= 0.2650 · DN 1</t>
        </is>
      </c>
      <c r="B14" s="18" t="n">
        <v>0</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312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81.78</v>
      </c>
      <c r="C18" s="49" t="inlineStr">
        <is>
          <t>—</t>
        </is>
      </c>
      <c r="D18" s="46" t="inlineStr">
        <is>
          <t>Desviación planimétrica frente al catálogo</t>
        </is>
      </c>
      <c r="E18" s="46" t="inlineStr">
        <is>
          <t>-0.01 %</t>
        </is>
      </c>
    </row>
    <row r="19">
      <c r="A19" s="16" t="inlineStr">
        <is>
          <t>MSAVI 2024 — MEDIA DEL BLOQUE</t>
        </is>
      </c>
      <c r="B19" s="17" t="n">
        <v>0.573141</v>
      </c>
      <c r="C19" s="17" t="inlineStr">
        <is>
          <t>—</t>
        </is>
      </c>
      <c r="D19" s="17" t="inlineStr">
        <is>
          <t>Vigor moderado · clase 0.4976 - 0.6139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312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(0.5731)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39.2647</v>
      </c>
      <c r="C25" s="19" t="n">
        <v>47.99</v>
      </c>
      <c r="D25" s="11" t="inlineStr">
        <is>
          <t>Dosel continuo, matorral denso o mosaico agroforestal</t>
        </is>
      </c>
      <c r="E25" s="11" t="inlineStr"/>
    </row>
    <row r="26">
      <c r="A26" s="14" t="inlineStr">
        <is>
          <t>Vegetación mediana</t>
        </is>
      </c>
      <c r="B26" s="20" t="n">
        <v>37.412</v>
      </c>
      <c r="C26" s="21" t="n">
        <v>45.73</v>
      </c>
      <c r="D26" s="15" t="inlineStr">
        <is>
          <t>Pastizal cultivado, matorral ralo, parcelas agrícolas</t>
        </is>
      </c>
      <c r="E26" s="15" t="inlineStr"/>
    </row>
    <row r="27">
      <c r="A27" s="7" t="inlineStr">
        <is>
          <t>Vegetación ligera</t>
        </is>
      </c>
      <c r="B27" s="18" t="n">
        <v>5.135</v>
      </c>
      <c r="C27" s="19" t="n">
        <v>6.28</v>
      </c>
      <c r="D27" s="11" t="inlineStr">
        <is>
          <t>Cobertura discontinua, suelo parcialmente expuesto</t>
        </is>
      </c>
      <c r="E27" s="11" t="inlineStr"/>
    </row>
    <row r="28">
      <c r="A28" s="16" t="inlineStr">
        <is>
          <t>TOTAL CLASIFICADO</t>
        </is>
      </c>
      <c r="B28" s="22">
        <f>SUM(B25:B27)</f>
        <v/>
      </c>
      <c r="C28" s="23">
        <f>SUM(C25:C27)</f>
        <v/>
      </c>
      <c r="D28" s="17" t="inlineStr"/>
      <c r="E28" s="17" t="inlineStr"/>
    </row>
    <row r="29">
      <c r="A29" s="24" t="inlineStr">
        <is>
          <t>Superficie de catálogo (V5/V6)</t>
        </is>
      </c>
      <c r="B29" s="25" t="n">
        <v>81.78</v>
      </c>
      <c r="C29" s="25" t="inlineStr">
        <is>
          <t>—</t>
        </is>
      </c>
      <c r="D29" s="25" t="inlineStr">
        <is>
          <t>Desviación planimétrica frente al catálogo</t>
        </is>
      </c>
      <c r="E29" s="25" t="inlineStr">
        <is>
          <t>+0.04 %</t>
        </is>
      </c>
    </row>
    <row r="30"/>
    <row r="31" ht="72"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1" s="41" t="n"/>
      <c r="C31" s="41" t="n"/>
      <c r="D31" s="41" t="n"/>
      <c r="E31" s="42" t="n"/>
    </row>
  </sheetData>
  <mergeCells count="10">
    <mergeCell ref="A21:E21"/>
    <mergeCell ref="A4:E4"/>
    <mergeCell ref="A2:E2"/>
    <mergeCell ref="A1:E1"/>
    <mergeCell ref="A5:E5"/>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23</t>
        </is>
      </c>
    </row>
    <row r="6" ht="24" customHeight="1">
      <c r="A6" s="4" t="inlineStr">
        <is>
          <t>Levantamiento del 2026-06-27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645575</v>
      </c>
      <c r="D10" s="26" t="n">
        <v>9393500</v>
      </c>
      <c r="E10" s="11" t="n">
        <v>51828.2</v>
      </c>
      <c r="F10" s="11" t="inlineStr"/>
      <c r="G10" s="11" t="inlineStr">
        <is>
          <t>Coordenada consignada en F-DT-01</t>
        </is>
      </c>
    </row>
    <row r="11">
      <c r="A11" s="14" t="inlineStr">
        <is>
          <t>H-01</t>
        </is>
      </c>
      <c r="B11" s="15" t="inlineStr">
        <is>
          <t>Fuente de agua — Manantial / Puquio</t>
        </is>
      </c>
      <c r="C11" s="27" t="n">
        <v>620251</v>
      </c>
      <c r="D11" s="27" t="n">
        <v>9438484</v>
      </c>
      <c r="E11" s="15" t="n">
        <v>317.7</v>
      </c>
      <c r="F11" s="15" t="inlineStr">
        <is>
          <t>Permanente</t>
        </is>
      </c>
      <c r="G11" s="15" t="inlineStr"/>
    </row>
    <row r="12">
      <c r="A12" s="7" t="inlineStr">
        <is>
          <t>B-01</t>
        </is>
      </c>
      <c r="B12" s="11" t="inlineStr">
        <is>
          <t>Especie clave — Faique (Vachellia macracantha)</t>
        </is>
      </c>
      <c r="C12" s="26" t="n">
        <v>620573</v>
      </c>
      <c r="D12" s="26" t="n">
        <v>9438163</v>
      </c>
      <c r="E12" s="11" t="n">
        <v>739.7</v>
      </c>
      <c r="F12" s="11" t="inlineStr">
        <is>
          <t>Amenazada D.S. 043</t>
        </is>
      </c>
      <c r="G12" s="11" t="inlineStr">
        <is>
          <t>NT — Casi Amenazado</t>
        </is>
      </c>
    </row>
    <row r="13">
      <c r="A13" s="14" t="inlineStr">
        <is>
          <t>B-02</t>
        </is>
      </c>
      <c r="B13" s="15" t="inlineStr">
        <is>
          <t>Especie clave — Guayacán (Handroanthus/Tabebuia sp.)</t>
        </is>
      </c>
      <c r="C13" s="27" t="n">
        <v>620606</v>
      </c>
      <c r="D13" s="27" t="n">
        <v>9438217</v>
      </c>
      <c r="E13" s="15" t="n">
        <v>742.8</v>
      </c>
      <c r="F13" s="15" t="inlineStr">
        <is>
          <t>Clave cultural</t>
        </is>
      </c>
      <c r="G13" s="15" t="inlineStr">
        <is>
          <t>NE</t>
        </is>
      </c>
    </row>
    <row r="14">
      <c r="A14" s="16" t="inlineStr">
        <is>
          <t>TOTAL: 4 puntos</t>
        </is>
      </c>
      <c r="B14" s="17" t="inlineStr"/>
      <c r="C14" s="17" t="inlineStr"/>
      <c r="D14" s="17" t="inlineStr"/>
      <c r="E14" s="17" t="inlineStr"/>
      <c r="F14" s="17" t="inlineStr"/>
      <c r="G14" s="17" t="inlineStr"/>
    </row>
    <row r="16">
      <c r="A16" s="6" t="inlineStr">
        <is>
          <t>Centroide del bloque — UTM ESTE (m)</t>
        </is>
      </c>
      <c r="B16" s="7" t="n">
        <v>619939</v>
      </c>
      <c r="C16" s="6" t="inlineStr">
        <is>
          <t>Centroide del bloque — UTM NORTE (m)</t>
        </is>
      </c>
      <c r="D16" s="7" t="n">
        <v>9438544</v>
      </c>
      <c r="E16" s="8" t="n"/>
      <c r="F16" s="8" t="n"/>
      <c r="G16" s="8" t="n"/>
      <c r="H16" s="8" t="n"/>
    </row>
    <row r="17">
      <c r="A17" s="6" t="inlineStr">
        <is>
          <t>N.° de estaciones fotográficas declaradas</t>
        </is>
      </c>
      <c r="B17" s="7" t="inlineStr">
        <is>
          <t>Sin registro en la ficha DT</t>
        </is>
      </c>
      <c r="C17" s="6" t="inlineStr">
        <is>
          <t>Estaciones dentro del polígono</t>
        </is>
      </c>
      <c r="D17" s="7" t="inlineStr">
        <is>
          <t>Por determinar</t>
        </is>
      </c>
      <c r="E17" s="8" t="n"/>
      <c r="F17" s="8" t="n"/>
      <c r="G17" s="8" t="n"/>
      <c r="H17" s="8" t="n"/>
    </row>
    <row r="19" ht="84" customHeight="1">
      <c r="A19"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Relieve montañoso a colinoso fuertemente empinado; perfil de elevación 1419-1897 m con pendiente media 46.8% y máxima 70.5% (transecto 1.02 km).</t>
        </is>
      </c>
      <c r="B19" s="41" t="n"/>
      <c r="C19" s="41" t="n"/>
      <c r="D19" s="41" t="n"/>
      <c r="E19" s="41" t="n"/>
      <c r="F19" s="41" t="n"/>
      <c r="G19" s="42" t="n"/>
    </row>
  </sheetData>
  <mergeCells count="8">
    <mergeCell ref="A1:G1"/>
    <mergeCell ref="A8:G8"/>
    <mergeCell ref="A3:G3"/>
    <mergeCell ref="A6:G6"/>
    <mergeCell ref="A4:G4"/>
    <mergeCell ref="A2:G2"/>
    <mergeCell ref="A19:G19"/>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C1086-Q9570 — BLOQUE 23</t>
        </is>
      </c>
    </row>
    <row r="6" ht="24" customHeight="1">
      <c r="A6" s="4" t="inlineStr">
        <is>
          <t>Distrito de Santo Domingo · Provincia de Morropon · Comparación de los bloques preliminares de intervención de la misma microcuenca</t>
        </is>
      </c>
    </row>
    <row r="7"/>
    <row r="8" ht="18" customHeight="1">
      <c r="A8" s="5" t="inlineStr">
        <is>
          <t>BLOQUES DE LA MICROCUENCA C1086-Q9570</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12</t>
        </is>
      </c>
      <c r="B10" s="28" t="n">
        <v>119.54</v>
      </c>
      <c r="C10" s="19" t="n">
        <v>14</v>
      </c>
      <c r="D10" s="11" t="inlineStr">
        <is>
          <t>672 – 2244</t>
        </is>
      </c>
      <c r="E10" s="11" t="n">
        <v>1572</v>
      </c>
      <c r="F10" s="11" t="n">
        <v>27.41</v>
      </c>
      <c r="G10" s="18" t="n">
        <v>0.7067</v>
      </c>
      <c r="H10" s="19" t="n">
        <v>99.93000000000001</v>
      </c>
      <c r="I10" s="19" t="n">
        <v>0.07000000000000001</v>
      </c>
    </row>
    <row r="11">
      <c r="A11" s="14" t="inlineStr">
        <is>
          <t>11</t>
        </is>
      </c>
      <c r="B11" s="29" t="n">
        <v>103.95</v>
      </c>
      <c r="C11" s="21" t="n">
        <v>12.17</v>
      </c>
      <c r="D11" s="15" t="inlineStr">
        <is>
          <t>1375 – 1928</t>
        </is>
      </c>
      <c r="E11" s="15" t="n">
        <v>553</v>
      </c>
      <c r="F11" s="15" t="n">
        <v>32.19</v>
      </c>
      <c r="G11" s="20" t="n">
        <v>0.6047</v>
      </c>
      <c r="H11" s="21" t="n">
        <v>75.28</v>
      </c>
      <c r="I11" s="21" t="n">
        <v>11.34</v>
      </c>
    </row>
    <row r="12">
      <c r="A12" s="7" t="inlineStr">
        <is>
          <t>17</t>
        </is>
      </c>
      <c r="B12" s="28" t="n">
        <v>96.08</v>
      </c>
      <c r="C12" s="19" t="n">
        <v>11.25</v>
      </c>
      <c r="D12" s="11" t="inlineStr">
        <is>
          <t>1253 – 1880</t>
        </is>
      </c>
      <c r="E12" s="11" t="n">
        <v>627</v>
      </c>
      <c r="F12" s="11" t="n">
        <v>35.56</v>
      </c>
      <c r="G12" s="18" t="n">
        <v>0.6479</v>
      </c>
      <c r="H12" s="19" t="n">
        <v>88.68000000000001</v>
      </c>
      <c r="I12" s="19" t="n">
        <v>2.09</v>
      </c>
    </row>
    <row r="13">
      <c r="A13" s="14" t="inlineStr">
        <is>
          <t>14</t>
        </is>
      </c>
      <c r="B13" s="29" t="n">
        <v>92.90000000000001</v>
      </c>
      <c r="C13" s="21" t="n">
        <v>10.88</v>
      </c>
      <c r="D13" s="15" t="inlineStr">
        <is>
          <t>87 – 1355</t>
        </is>
      </c>
      <c r="E13" s="15" t="n">
        <v>1268</v>
      </c>
      <c r="F13" s="15" t="n">
        <v>23.75</v>
      </c>
      <c r="G13" s="20" t="n">
        <v>0.5197000000000001</v>
      </c>
      <c r="H13" s="21" t="n">
        <v>58.89</v>
      </c>
      <c r="I13" s="21" t="n">
        <v>39.02</v>
      </c>
    </row>
    <row r="14">
      <c r="A14" s="7" t="inlineStr">
        <is>
          <t>15</t>
        </is>
      </c>
      <c r="B14" s="28" t="n">
        <v>86.15000000000001</v>
      </c>
      <c r="C14" s="19" t="n">
        <v>10.09</v>
      </c>
      <c r="D14" s="11" t="inlineStr">
        <is>
          <t>1199 – 1655</t>
        </is>
      </c>
      <c r="E14" s="11" t="n">
        <v>456</v>
      </c>
      <c r="F14" s="11" t="n">
        <v>26.19</v>
      </c>
      <c r="G14" s="18" t="n">
        <v>0.5605</v>
      </c>
      <c r="H14" s="19" t="n">
        <v>56.47</v>
      </c>
      <c r="I14" s="19" t="n">
        <v>22.48</v>
      </c>
    </row>
    <row r="15">
      <c r="A15" s="12" t="inlineStr">
        <is>
          <t>► 23</t>
        </is>
      </c>
      <c r="B15" s="30" t="n">
        <v>81.78</v>
      </c>
      <c r="C15" s="31" t="n">
        <v>9.58</v>
      </c>
      <c r="D15" s="13" t="inlineStr">
        <is>
          <t>521 – 973</t>
        </is>
      </c>
      <c r="E15" s="13" t="n">
        <v>452</v>
      </c>
      <c r="F15" s="13" t="n">
        <v>35.28</v>
      </c>
      <c r="G15" s="32" t="n">
        <v>0.5731000000000001</v>
      </c>
      <c r="H15" s="31" t="n">
        <v>47.99</v>
      </c>
      <c r="I15" s="31" t="n">
        <v>18.75</v>
      </c>
    </row>
    <row r="16">
      <c r="A16" s="7" t="inlineStr">
        <is>
          <t>42</t>
        </is>
      </c>
      <c r="B16" s="28" t="n">
        <v>80.62</v>
      </c>
      <c r="C16" s="19" t="n">
        <v>9.44</v>
      </c>
      <c r="D16" s="11" t="inlineStr">
        <is>
          <t>1131 – 1548</t>
        </is>
      </c>
      <c r="E16" s="11" t="n">
        <v>417</v>
      </c>
      <c r="F16" s="11" t="n">
        <v>27.86</v>
      </c>
      <c r="G16" s="18" t="n">
        <v>0.6348</v>
      </c>
      <c r="H16" s="19" t="n">
        <v>88.83</v>
      </c>
      <c r="I16" s="19" t="n">
        <v>5.64</v>
      </c>
    </row>
    <row r="17">
      <c r="A17" s="14" t="inlineStr">
        <is>
          <t>M19B2</t>
        </is>
      </c>
      <c r="B17" s="29" t="n">
        <v>74.37</v>
      </c>
      <c r="C17" s="21" t="n">
        <v>8.710000000000001</v>
      </c>
      <c r="D17" s="15" t="inlineStr">
        <is>
          <t>203 – 523</t>
        </is>
      </c>
      <c r="E17" s="15" t="n">
        <v>320</v>
      </c>
      <c r="F17" s="15" t="n">
        <v>21.71</v>
      </c>
      <c r="G17" s="20" t="n">
        <v>0.4012</v>
      </c>
      <c r="H17" s="21" t="n">
        <v>1.28</v>
      </c>
      <c r="I17" s="21" t="n">
        <v>96.23999999999999</v>
      </c>
    </row>
    <row r="18">
      <c r="A18" s="7" t="inlineStr">
        <is>
          <t>82</t>
        </is>
      </c>
      <c r="B18" s="28" t="n">
        <v>35.66</v>
      </c>
      <c r="C18" s="19" t="n">
        <v>4.18</v>
      </c>
      <c r="D18" s="11" t="inlineStr">
        <is>
          <t>1796 – 2098</t>
        </is>
      </c>
      <c r="E18" s="11" t="n">
        <v>302</v>
      </c>
      <c r="F18" s="11" t="n">
        <v>23.55</v>
      </c>
      <c r="G18" s="18" t="n">
        <v>0.6283</v>
      </c>
      <c r="H18" s="19" t="n">
        <v>90.06999999999999</v>
      </c>
      <c r="I18" s="19" t="n">
        <v>12.67</v>
      </c>
    </row>
    <row r="19">
      <c r="A19" s="14" t="inlineStr">
        <is>
          <t>78</t>
        </is>
      </c>
      <c r="B19" s="29" t="n">
        <v>35.1</v>
      </c>
      <c r="C19" s="21" t="n">
        <v>4.11</v>
      </c>
      <c r="D19" s="15" t="inlineStr">
        <is>
          <t>1908 – 2236</t>
        </is>
      </c>
      <c r="E19" s="15" t="n">
        <v>328</v>
      </c>
      <c r="F19" s="15" t="n">
        <v>30.64</v>
      </c>
      <c r="G19" s="20" t="n">
        <v>0.7074</v>
      </c>
      <c r="H19" s="21" t="n">
        <v>89.33</v>
      </c>
      <c r="I19" s="21" t="n">
        <v>1.77</v>
      </c>
    </row>
    <row r="20">
      <c r="A20" s="7" t="inlineStr">
        <is>
          <t>M19B7</t>
        </is>
      </c>
      <c r="B20" s="28" t="n">
        <v>34.17</v>
      </c>
      <c r="C20" s="19" t="n">
        <v>4</v>
      </c>
      <c r="D20" s="11" t="inlineStr">
        <is>
          <t>1213 – 1578</t>
        </is>
      </c>
      <c r="E20" s="11" t="n">
        <v>365</v>
      </c>
      <c r="F20" s="11" t="n">
        <v>28.15</v>
      </c>
      <c r="G20" s="18" t="n">
        <v>0.5919</v>
      </c>
      <c r="H20" s="19" t="n">
        <v>78.52</v>
      </c>
      <c r="I20" s="19" t="n">
        <v>5.85</v>
      </c>
    </row>
    <row r="21">
      <c r="A21" s="14" t="inlineStr">
        <is>
          <t>59</t>
        </is>
      </c>
      <c r="B21" s="29" t="n">
        <v>13.55</v>
      </c>
      <c r="C21" s="21" t="n">
        <v>1.59</v>
      </c>
      <c r="D21" s="15" t="inlineStr">
        <is>
          <t>2045 – 2218</t>
        </is>
      </c>
      <c r="E21" s="15" t="n">
        <v>173</v>
      </c>
      <c r="F21" s="15" t="n">
        <v>29.85</v>
      </c>
      <c r="G21" s="20" t="n">
        <v>0.6147</v>
      </c>
      <c r="H21" s="21" t="n">
        <v>86.56999999999999</v>
      </c>
      <c r="I21" s="21" t="n">
        <v>13.72</v>
      </c>
    </row>
    <row r="22">
      <c r="A22" s="16" t="inlineStr">
        <is>
          <t>TOTAL / PROMEDIO</t>
        </is>
      </c>
      <c r="B22" s="33">
        <f>SUM(B10:B21)</f>
        <v/>
      </c>
      <c r="C22" s="23">
        <f>SUM(C10:C21)</f>
        <v/>
      </c>
      <c r="D22" s="17" t="inlineStr">
        <is>
          <t>87 – 2244</t>
        </is>
      </c>
      <c r="E22" s="17" t="inlineStr"/>
      <c r="F22" s="17">
        <f>ROUND(AVERAGE(F10:F21),2)</f>
        <v/>
      </c>
      <c r="G22" s="22">
        <f>ROUND(AVERAGE(G10:G21),4)</f>
        <v/>
      </c>
      <c r="H22" s="23">
        <f>ROUND(AVERAGE(H10:H21),2)</f>
        <v/>
      </c>
      <c r="I22" s="23">
        <f>ROUND(AVERAGE(I10:I21),2)</f>
        <v/>
      </c>
    </row>
    <row r="23"/>
    <row r="24" ht="84" customHeight="1">
      <c r="A24" s="9" t="inlineStr">
        <is>
          <t>LECTURA INTRAMICROCUENCA. El bloque 23 ocupa el puesto 6 de 12 por superficie dentro de la microcuenca C1086-Q9570 (9.58 % de las 853.87 ha preliminares de la microcuenca). Su pendiente promedio (35.28 %, clase «25-50% (Mod. escarpado)») es la 11.ª más baja de 12 y se sitúa por encima del promedio de la microcuenca (28.51 %). Su MSAVI 2024 (0.5731) es el 9.º de 12 y queda por debajo del promedio local (0.5993). Amplitud altitudinal del bloque: 452 m (521–973 msnm). El cuadro conserva todos los bloques catalogados en la microcuenca, incluidos los descartados en el tamizaje, para referencia del conjunto. Los bloques sin ficha DT figuran con sus parámetros de gabinete. BRECHA ESPECTRAL. El 18.75 % de la superficie del bloque (15.330 ha de 81.776 ha) se sitúa bajo el umbral MSAVI 0.4976, por debajo del promedio local de la microcuenca (19.14 %) calculado sobre los bloques con dato MSAVI disponible.</t>
        </is>
      </c>
      <c r="B24" s="41" t="n"/>
      <c r="C24" s="41" t="n"/>
      <c r="D24" s="41" t="n"/>
      <c r="E24" s="41" t="n"/>
      <c r="F24" s="41" t="n"/>
      <c r="G24" s="41" t="n"/>
      <c r="H24" s="42" t="n"/>
    </row>
    <row r="25"/>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6" s="41" t="n"/>
      <c r="C26" s="41" t="n"/>
      <c r="D26" s="41" t="n"/>
      <c r="E26" s="41" t="n"/>
      <c r="F26" s="41" t="n"/>
      <c r="G26" s="41" t="n"/>
      <c r="H26" s="42" t="n"/>
    </row>
  </sheetData>
  <mergeCells count="9">
    <mergeCell ref="A1:I1"/>
    <mergeCell ref="A4:I4"/>
    <mergeCell ref="A3:I3"/>
    <mergeCell ref="A26:I26"/>
    <mergeCell ref="A24:I24"/>
    <mergeCell ref="A2:I2"/>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5"/>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23</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La ficha DT declara «C1076-Q9584»; el catálogo maestro V5/V6 asigna el bloque a «C1086-Q9570»</t>
        </is>
      </c>
      <c r="D10" s="35" t="inlineStr">
        <is>
          <t>SUSTANTIVA</t>
        </is>
      </c>
      <c r="E10" s="34" t="inlineStr">
        <is>
          <t>Se conserva el código del catálogo maestro para todo cálculo intramicrocuenca. La declaración de la ficha debe corregirse en la siguiente versión del formato V5.</t>
        </is>
      </c>
    </row>
    <row r="11" ht="48" customHeight="1">
      <c r="A11" s="36" t="inlineStr">
        <is>
          <t>D-02</t>
        </is>
      </c>
      <c r="B11" s="36" t="inlineStr">
        <is>
          <t>UTM del punto de muestreo</t>
        </is>
      </c>
      <c r="C11" s="36" t="inlineStr">
        <is>
          <t>El punto de muestreo declarado (645575 E / 9393500 N) dista 51,828 m del centroide de catálogo (619939 E / 9438544 N), distancia incompatible con la superficie del bloque (81.78 ha)</t>
        </is>
      </c>
      <c r="D11" s="35" t="inlineStr">
        <is>
          <t>SUSTANTIVA</t>
        </is>
      </c>
      <c r="E11" s="36" t="inlineStr">
        <is>
          <t>Se declara la coordenada como POR VERIFICAR: puede corresponder a otro bloque o a un error de digitación. No se corrige de oficio.</t>
        </is>
      </c>
    </row>
    <row r="12" ht="48" customHeight="1">
      <c r="A12" s="34" t="inlineStr">
        <is>
          <t>D-03</t>
        </is>
      </c>
      <c r="B12" s="34" t="inlineStr">
        <is>
          <t>Superficie del polígono</t>
        </is>
      </c>
      <c r="C12" s="34" t="inlineStr">
        <is>
          <t>La superficie clasificada por el NDVI 2025 (81.812 ha) coincide con la de catálogo (81.78 ha) dentro del ±2 % (+0.04 %)</t>
        </is>
      </c>
      <c r="D12" s="37"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«No consignado»; la estadística zonal sobre el MDE arroja una pendiente promedio de 35.28 %, que corresponde a la clase «25-50% (Mod. escarpado)»</t>
        </is>
      </c>
      <c r="D13" s="13"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Rango altitudinal / piso ecológico</t>
        </is>
      </c>
      <c r="C14" s="34" t="inlineStr">
        <is>
          <t>La ficha DT declara «1500-2000 m (Quechua media)»; el MDE sitúa el bloque entre 521 y 973 msnm, cuyo punto medio corresponde a «&lt;1000 m (Yunga)»</t>
        </is>
      </c>
      <c r="D14" s="13" t="inlineStr">
        <is>
          <t>NO SUSTANTIVA</t>
        </is>
      </c>
      <c r="E14" s="34" t="inlineStr">
        <is>
          <t>Se declara la divergencia. El bloque abarca más de un piso altitudinal cuando la amplitud supera el ancho de la clase; el registro de campo corresponde al sector recorrido.</t>
        </is>
      </c>
    </row>
    <row r="15" ht="48" customHeight="1">
      <c r="A15" s="36" t="inlineStr">
        <is>
          <t>D-06</t>
        </is>
      </c>
      <c r="B15" s="36" t="inlineStr">
        <is>
          <t>Inventario georreferenciado de cárcavas</t>
        </is>
      </c>
      <c r="C15" s="36" t="inlineStr">
        <is>
          <t>El inventario de cárcavas no fue ejecutado o no consta en la ficha DT</t>
        </is>
      </c>
      <c r="D15" s="35" t="inlineStr">
        <is>
          <t>SUSTANTIVA</t>
        </is>
      </c>
      <c r="E15" s="36" t="inlineStr">
        <is>
          <t>La ausencia de registros NO equivale a ausencia verificada de cárcavas. Queda pendiente el levantamiento instrumental a cargo del especialista de Infraestructura Marrón antes de fijar metas físicas de infraestructura gris.</t>
        </is>
      </c>
    </row>
    <row r="16" ht="48" customHeight="1">
      <c r="A16" s="34" t="inlineStr">
        <is>
          <t>D-07</t>
        </is>
      </c>
      <c r="B16" s="34" t="inlineStr">
        <is>
          <t>Elenco florístico</t>
        </is>
      </c>
      <c r="C16" s="34" t="inlineStr">
        <is>
          <t>La ficha registra 9 taxones, por debajo del mínimo de 15 que exige el formato V5</t>
        </is>
      </c>
      <c r="D16" s="35" t="inlineStr">
        <is>
          <t>SUSTANTIVA</t>
        </is>
      </c>
      <c r="E16" s="34" t="inlineStr">
        <is>
          <t>Registro florístico preliminar, sin colecta ni determinación botánica formal. Debe cerrarse con colecta botánica en la siguiente campaña.</t>
        </is>
      </c>
    </row>
    <row r="17" ht="48" customHeight="1">
      <c r="A17" s="36" t="inlineStr">
        <is>
          <t>D-08</t>
        </is>
      </c>
      <c r="B17" s="36" t="inlineStr">
        <is>
          <t>Centro poblado asociado</t>
        </is>
      </c>
      <c r="C17" s="36" t="inlineStr">
        <is>
          <t>La ficha DT declara «Nueva Esperanza»; el cruce INEI-Bloques V5 identifica 2 centro(s) poblado(s) en el bloque: JACANACAS, NUEVA ESPERANZA</t>
        </is>
      </c>
      <c r="D17" s="37" t="inlineStr">
        <is>
          <t>CONFORME</t>
        </is>
      </c>
      <c r="E17" s="36" t="inlineStr">
        <is>
          <t>Se conserva el registro de campo como referencia y se adopta el listado INEI para el diagnóstico social y el cálculo de población beneficiaria.</t>
        </is>
      </c>
    </row>
    <row r="18" ht="48" customHeight="1">
      <c r="A18" s="34" t="inlineStr">
        <is>
          <t>D-09</t>
        </is>
      </c>
      <c r="B18" s="34" t="inlineStr">
        <is>
          <t>Peligro integrado (MCA-AHP)</t>
        </is>
      </c>
      <c r="C18" s="34" t="inlineStr">
        <is>
          <t>El nivel de peligro integrado no está disponible en los insumos de este entregable</t>
        </is>
      </c>
      <c r="D18" s="35" t="inlineStr">
        <is>
          <t>SUSTANTIVA</t>
        </is>
      </c>
      <c r="E18" s="34" t="inlineStr">
        <is>
          <t>Debe tomarse del modelamiento de mesolocalización (PMM + EPH + PGI ponderados por AHP) antes de fijar la prioridad definitiva de intervención del bloque.</t>
        </is>
      </c>
    </row>
    <row r="19" ht="48" customHeight="1">
      <c r="A19" s="34" t="inlineStr">
        <is>
          <t>D-10</t>
        </is>
      </c>
      <c r="B19" s="34" t="inlineStr">
        <is>
          <t>Distribución areal MSAVI 2024</t>
        </is>
      </c>
      <c r="C19" s="34" t="inlineStr">
        <is>
          <t>La distribución por clase de MSAVI no figuraba en los insumos del entregable y se consignaba «Por determinar»; se incorpora la estadística zonal del ráster MSAVI clasificado (312 polígonos, 81.776 ha)</t>
        </is>
      </c>
      <c r="D19" s="35" t="inlineStr">
        <is>
          <t>CORREGIDO</t>
        </is>
      </c>
      <c r="E19" s="34"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0" ht="48" customHeight="1">
      <c r="A20" s="34" t="inlineStr">
        <is>
          <t>D-11</t>
        </is>
      </c>
      <c r="B20" s="34" t="inlineStr">
        <is>
          <t>Superficie MSAVI vs. catálogo</t>
        </is>
      </c>
      <c r="C20" s="34" t="inlineStr">
        <is>
          <t>La superficie total clasificada por el MSAVI 2024 (81.776 ha) frente a la de catálogo V5/V6 (81.780 ha): desviación de -0.01 %</t>
        </is>
      </c>
      <c r="D20" s="35" t="inlineStr">
        <is>
          <t>CONFORME</t>
        </is>
      </c>
      <c r="E20" s="34" t="inlineStr">
        <is>
          <t>Sin acción: la segmentación del ráster valida la geometría del bloque dentro del ±2 %.</t>
        </is>
      </c>
    </row>
    <row r="21" ht="48" customHeight="1">
      <c r="A21" s="34" t="inlineStr">
        <is>
          <t>D-12</t>
        </is>
      </c>
      <c r="B21" s="34" t="inlineStr">
        <is>
          <t>Media MSAVI vs. clase DN dominante</t>
        </is>
      </c>
      <c r="C21" s="34" t="inlineStr">
        <is>
          <t>La media del bloque (0.5731) cae en la clase «DN 4 · 0.4976 - 0.6139 (Vigor moderado)»; la clase de mayor superficie es «DN 4 · 0.4976 - 0.6139 (Vigor moderado)», con 49.28 % del bloque. Superficie bajo el umbral 0.4976: 15.330 ha (18.75 %)</t>
        </is>
      </c>
      <c r="D21" s="35" t="inlineStr">
        <is>
          <t>CONFORME</t>
        </is>
      </c>
      <c r="E21" s="34" t="inlineStr">
        <is>
          <t>Sin acción: la media del bloque y la clase de mayor superficie coinciden.</t>
        </is>
      </c>
    </row>
    <row r="22"/>
    <row r="23">
      <c r="A23" s="16" t="inlineStr">
        <is>
          <t>RESUMEN</t>
        </is>
      </c>
      <c r="B23" s="17" t="inlineStr">
        <is>
          <t>12 verificaciones</t>
        </is>
      </c>
      <c r="C23" s="17" t="inlineStr">
        <is>
          <t>CONFORME: 4 · CORREGIDO: 1 · NO SUSTANTIVA: 2 · SUSTANTIVA: 5</t>
        </is>
      </c>
      <c r="D23" s="17" t="inlineStr"/>
      <c r="E23" s="17" t="inlineStr"/>
    </row>
    <row r="24"/>
    <row r="25" ht="60" customHeight="1">
      <c r="A25"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5" s="41" t="n"/>
      <c r="C25" s="41" t="n"/>
      <c r="D25" s="41" t="n"/>
      <c r="E25" s="42" t="n"/>
    </row>
  </sheetData>
  <mergeCells count="8">
    <mergeCell ref="A4:E4"/>
    <mergeCell ref="A2:E2"/>
    <mergeCell ref="A25:E25"/>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23 — IN Piura</dc:title>
  <dc:subject>Diagnóstico Territorial por bloque de intervención</dc:subject>
  <dcterms:created xsi:type="dcterms:W3CDTF">2026-09-08T03:39:55Z</dcterms:created>
  <dcterms:modified xsi:type="dcterms:W3CDTF">2026-09-09T23:30:51Z</dcterms:modified>
</cp:coreProperties>
</file>