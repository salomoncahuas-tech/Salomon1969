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M8B2</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M8B2</t>
        </is>
      </c>
      <c r="C9" s="6" t="inlineStr">
        <is>
          <t>Microcuenca (catálogo)</t>
        </is>
      </c>
      <c r="D9" s="7" t="inlineStr">
        <is>
          <t>C1096-Q9558</t>
        </is>
      </c>
      <c r="E9" s="8" t="n"/>
      <c r="F9" s="8" t="n"/>
    </row>
    <row r="10">
      <c r="A10" s="6" t="inlineStr">
        <is>
          <t>Zona de planificación</t>
        </is>
      </c>
      <c r="B10" s="7" t="inlineStr">
        <is>
          <t>Z03</t>
        </is>
      </c>
      <c r="C10" s="6" t="inlineStr">
        <is>
          <t>Microcuenca declarada en ficha DT</t>
        </is>
      </c>
      <c r="D10" s="7" t="inlineStr">
        <is>
          <t>C1096-Q9558</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Santo Domingo</t>
        </is>
      </c>
      <c r="C12" s="6" t="inlineStr">
        <is>
          <t>Capital distrital</t>
        </is>
      </c>
      <c r="D12" s="7" t="inlineStr">
        <is>
          <t>Santo Domingo</t>
        </is>
      </c>
      <c r="E12" s="8" t="n"/>
      <c r="F12" s="8" t="n"/>
    </row>
    <row r="13">
      <c r="A13" s="6" t="inlineStr">
        <is>
          <t>Centro poblado asociado</t>
        </is>
      </c>
      <c r="B13" s="7" t="inlineStr">
        <is>
          <t>Botijas</t>
        </is>
      </c>
      <c r="C13" s="6" t="inlineStr">
        <is>
          <t>Comunidad campesina</t>
        </is>
      </c>
      <c r="D13" s="7" t="inlineStr">
        <is>
          <t>No aplica (predios de propiedad privada)</t>
        </is>
      </c>
      <c r="E13" s="8" t="n"/>
      <c r="F13" s="8" t="n"/>
    </row>
    <row r="14">
      <c r="A14" s="6" t="inlineStr">
        <is>
          <t>Superficie de catálogo (V5/V6), ha</t>
        </is>
      </c>
      <c r="B14" s="7" t="n">
        <v>35.35</v>
      </c>
      <c r="C14" s="6" t="inlineStr">
        <is>
          <t>Fuente de superficie</t>
        </is>
      </c>
      <c r="D14" s="7" t="inlineStr">
        <is>
          <t>Catálogo maestro Bloques V5/V6</t>
        </is>
      </c>
      <c r="E14" s="8" t="n"/>
      <c r="F14" s="8" t="n"/>
    </row>
    <row r="15">
      <c r="A15" s="6" t="inlineStr">
        <is>
          <t>Centroide UTM ESTE (m)</t>
        </is>
      </c>
      <c r="B15" s="7" t="n">
        <v>617596</v>
      </c>
      <c r="C15" s="6" t="inlineStr">
        <is>
          <t>Centroide UTM NORTE (m)</t>
        </is>
      </c>
      <c r="D15" s="7" t="n">
        <v>9436227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882</v>
      </c>
      <c r="C19" s="6" t="inlineStr">
        <is>
          <t>Altitud máxima (msnm)</t>
        </is>
      </c>
      <c r="D19" s="7" t="n">
        <v>1181</v>
      </c>
      <c r="E19" s="8" t="n"/>
      <c r="F19" s="8" t="n"/>
    </row>
    <row r="20">
      <c r="A20" s="6" t="inlineStr">
        <is>
          <t>Amplitud altitudinal (m)</t>
        </is>
      </c>
      <c r="B20" s="7" t="n">
        <v>299</v>
      </c>
      <c r="C20" s="6" t="inlineStr">
        <is>
          <t>Piso altitudinal dominante</t>
        </is>
      </c>
      <c r="D20" s="7" t="inlineStr">
        <is>
          <t>1000-1500 m (Quechua baja)</t>
        </is>
      </c>
      <c r="E20" s="8" t="n"/>
      <c r="F20" s="8" t="n"/>
    </row>
    <row r="21">
      <c r="A21" s="6" t="inlineStr">
        <is>
          <t>Pendiente promedio (%)</t>
        </is>
      </c>
      <c r="B21" s="7" t="n">
        <v>24.49</v>
      </c>
      <c r="C21" s="6" t="inlineStr">
        <is>
          <t>Pendiente promedio (grados)</t>
        </is>
      </c>
      <c r="D21" s="7" t="n">
        <v>13.8</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0.5305</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(59.58 %)</t>
        </is>
      </c>
      <c r="E29" s="8" t="n"/>
      <c r="F29" s="8" t="n"/>
    </row>
    <row r="30">
      <c r="A30" s="6" t="inlineStr">
        <is>
          <t>Superficie clasificada NDVI 2025 (ha)</t>
        </is>
      </c>
      <c r="B30" s="7" t="n">
        <v>35.363</v>
      </c>
      <c r="C30" s="6" t="inlineStr">
        <is>
          <t>Desviación frente al catálogo (%)</t>
        </is>
      </c>
      <c r="D30" s="7" t="n">
        <v>0.04</v>
      </c>
      <c r="E30" s="8" t="n"/>
      <c r="F30" s="8" t="n"/>
    </row>
    <row r="31">
      <c r="A31" s="6" t="inlineStr">
        <is>
          <t>Superficie clasificada MSAVI 2024 (ha)</t>
        </is>
      </c>
      <c r="B31" s="38" t="n">
        <v>35.347</v>
      </c>
      <c r="C31" s="6" t="inlineStr">
        <is>
          <t>Desviación MSAVI frente al catálogo (%)</t>
        </is>
      </c>
      <c r="D31" s="39" t="n">
        <v>-0.01</v>
      </c>
      <c r="E31" s="8" t="n"/>
      <c r="F31" s="8" t="n"/>
    </row>
    <row r="32">
      <c r="A32" s="6" t="inlineStr">
        <is>
          <t>Superficie bajo umbral MSAVI 0.4976 (ha)</t>
        </is>
      </c>
      <c r="B32" s="38" t="n">
        <v>11.037</v>
      </c>
      <c r="C32" s="6" t="inlineStr">
        <is>
          <t>% del bloque bajo umbral (brecha espectral)</t>
        </is>
      </c>
      <c r="D32" s="39" t="n">
        <v>31.22</v>
      </c>
      <c r="E32" s="8" t="n"/>
      <c r="F32" s="8" t="n"/>
    </row>
    <row r="33">
      <c r="A33" s="6" t="inlineStr">
        <is>
          <t>Clase DN dominante (MSAVI 2024)</t>
        </is>
      </c>
      <c r="B33" s="7" t="inlineStr">
        <is>
          <t>DN 4 · 0.4976 - 0.6139 (Vigor moderado)</t>
        </is>
      </c>
      <c r="C33" s="6" t="inlineStr">
        <is>
          <t>N.° de polígonos MSAVI del bloque</t>
        </is>
      </c>
      <c r="D33" s="40" t="n">
        <v>184</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Tomar del Reporte de Ecosistemas por Bloques (no medida en campo)</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Mixto / Mosaico</t>
        </is>
      </c>
      <c r="C38" s="6" t="inlineStr">
        <is>
          <t>Cobertura vegetal total — campo (%)</t>
        </is>
      </c>
      <c r="D38" s="7" t="inlineStr">
        <is>
          <t>Por determinar</t>
        </is>
      </c>
      <c r="E38" s="8" t="n"/>
      <c r="F38" s="8" t="n"/>
    </row>
    <row r="39">
      <c r="A39" s="6" t="inlineStr">
        <is>
          <t>Suelo desnudo — campo (%)</t>
        </is>
      </c>
      <c r="B39" s="7" t="inlineStr">
        <is>
          <t>Por determinar</t>
        </is>
      </c>
      <c r="C39" s="6" t="inlineStr">
        <is>
          <t>Regeneración natural</t>
        </is>
      </c>
      <c r="D39" s="7" t="inlineStr">
        <is>
          <t>Escasa (&lt;10 pl./100m²)</t>
        </is>
      </c>
      <c r="E39" s="8" t="n"/>
      <c r="F39" s="8" t="n"/>
    </row>
    <row r="40">
      <c r="A40" s="6" t="inlineStr">
        <is>
          <t>Nivel general de erosión</t>
        </is>
      </c>
      <c r="B40" s="7" t="inlineStr">
        <is>
          <t>Fuerte (cárcavas incipientes)</t>
        </is>
      </c>
      <c r="C40" s="6" t="inlineStr">
        <is>
          <t>N.° de cárcavas registradas</t>
        </is>
      </c>
      <c r="D40" s="7" t="inlineStr">
        <is>
          <t>No inventariadas</t>
        </is>
      </c>
      <c r="E40" s="8" t="n"/>
      <c r="F40" s="8" t="n"/>
    </row>
    <row r="41">
      <c r="A41" s="6" t="inlineStr">
        <is>
          <t>Elenco florístico (n.° de taxones)</t>
        </is>
      </c>
      <c r="B41" s="7" t="n">
        <v>9</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Salomón Cahuas Miller (Esp. Infraestructura Verde); Ing. Pedro Talledo Hernández; Ing. Juan Carlos Domínguez Varas</t>
        </is>
      </c>
      <c r="C44" s="6" t="inlineStr">
        <is>
          <t>Fecha de evaluación</t>
        </is>
      </c>
      <c r="D44" s="7" t="inlineStr">
        <is>
          <t>2026-06-16</t>
        </is>
      </c>
      <c r="E44" s="8" t="n"/>
      <c r="F44" s="8" t="n"/>
    </row>
    <row r="45">
      <c r="A45" s="6" t="inlineStr">
        <is>
          <t>Hora de registro</t>
        </is>
      </c>
      <c r="B45" s="7" t="inlineStr">
        <is>
          <t>03:46 h (hora de registro según ficha)</t>
        </is>
      </c>
      <c r="C45" s="6" t="inlineStr">
        <is>
          <t>Correlativo de ficha</t>
        </is>
      </c>
      <c r="D45" s="7" t="inlineStr">
        <is>
          <t>F-DT/M8B2/2026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Sin parcela formal (UTM = punto referencial del bloque)</t>
        </is>
      </c>
      <c r="E47" s="8" t="n"/>
      <c r="F47" s="8" t="n"/>
    </row>
    <row r="48">
      <c r="A48" s="6" t="inlineStr">
        <is>
          <t>Estaciones fotográficas georreferenciadas</t>
        </is>
      </c>
      <c r="B48" s="7" t="n">
        <v>0</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No consignada en la ficha</t>
        </is>
      </c>
      <c r="C51" s="6" t="inlineStr">
        <is>
          <t>Velocidad de degradación</t>
        </is>
      </c>
      <c r="D51" s="7" t="inlineStr">
        <is>
          <t>Sin registro en ficha</t>
        </is>
      </c>
      <c r="E51" s="8" t="n"/>
      <c r="F51" s="8" t="n"/>
    </row>
    <row r="52">
      <c r="A52" s="6" t="inlineStr">
        <is>
          <t>Reversibilidad técnica</t>
        </is>
      </c>
      <c r="B52" s="7" t="inlineStr">
        <is>
          <t>Sin registro en ficha</t>
        </is>
      </c>
      <c r="C52" s="6" t="inlineStr">
        <is>
          <t>Urgencia de intervención</t>
        </is>
      </c>
      <c r="D52" s="7" t="inlineStr">
        <is>
          <t>Sin registro en ficha</t>
        </is>
      </c>
      <c r="E52" s="8" t="n"/>
      <c r="F52" s="8" t="n"/>
    </row>
    <row r="53">
      <c r="A53" s="6" t="inlineStr">
        <is>
          <t>Urgencia de control de erosión</t>
        </is>
      </c>
      <c r="B53" s="7" t="inlineStr">
        <is>
          <t>Sin registro en ficha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M8B2</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5.2208</v>
      </c>
      <c r="C10" s="19">
        <f>ROUND(B10/$B$15*100,2)</f>
        <v>14.77</v>
      </c>
      <c r="D10" s="11" t="inlineStr">
        <is>
          <t>Vigor alto</t>
        </is>
      </c>
      <c r="E10" s="11" t="inlineStr">
        <is>
          <t>Sobre umbral</t>
        </is>
      </c>
    </row>
    <row r="11">
      <c r="A11" s="12" t="inlineStr">
        <is>
          <t>0.4976 - 0.6139 · DN 4</t>
        </is>
      </c>
      <c r="B11" s="31" t="n">
        <v>19.0898</v>
      </c>
      <c r="C11" s="30">
        <f>ROUND(B11/$B$15*100,2)</f>
        <v>54.01</v>
      </c>
      <c r="D11" s="13" t="inlineStr">
        <is>
          <t>Vigor moderado</t>
        </is>
      </c>
      <c r="E11" s="13" t="inlineStr">
        <is>
          <t>Sobre umbral</t>
        </is>
      </c>
    </row>
    <row r="12">
      <c r="A12" s="7" t="inlineStr">
        <is>
          <t>0.3813 - 0.4976 · DN 3</t>
        </is>
      </c>
      <c r="B12" s="18" t="n">
        <v>9.363300000000001</v>
      </c>
      <c r="C12" s="19">
        <f>ROUND(B12/$B$15*100,2)</f>
        <v>26.49</v>
      </c>
      <c r="D12" s="11" t="inlineStr">
        <is>
          <t>Vigor bajo</t>
        </is>
      </c>
      <c r="E12" s="11" t="inlineStr">
        <is>
          <t>BAJO umbral 0.4976</t>
        </is>
      </c>
    </row>
    <row r="13">
      <c r="A13" s="14" t="inlineStr">
        <is>
          <t>0.2650 - 0.3813 · DN 2</t>
        </is>
      </c>
      <c r="B13" s="20" t="n">
        <v>1.6435</v>
      </c>
      <c r="C13" s="21">
        <f>ROUND(B13/$B$15*100,2)</f>
        <v>4.65</v>
      </c>
      <c r="D13" s="15" t="inlineStr">
        <is>
          <t>Vigor muy bajo</t>
        </is>
      </c>
      <c r="E13" s="15" t="inlineStr">
        <is>
          <t>BAJO umbral 0.4976</t>
        </is>
      </c>
    </row>
    <row r="14">
      <c r="A14" s="7" t="inlineStr">
        <is>
          <t>&lt;= 0.2650 · DN 1</t>
        </is>
      </c>
      <c r="B14" s="18" t="n">
        <v>0.0297</v>
      </c>
      <c r="C14" s="19">
        <f>ROUND(B14/$B$15*100,2)</f>
        <v>0.08</v>
      </c>
      <c r="D14" s="11" t="inlineStr">
        <is>
          <t>Suelo desnudo / no vegetal</t>
        </is>
      </c>
      <c r="E14" s="11" t="inlineStr">
        <is>
          <t>BAJO umbral 0.4976</t>
        </is>
      </c>
    </row>
    <row r="15" ht="30" customHeight="1">
      <c r="A15" s="43" t="inlineStr">
        <is>
          <t>TOTAL CLASIFICADO MSAVI 2024</t>
        </is>
      </c>
      <c r="B15" s="44">
        <f>SUM(B10:B14)</f>
        <v>35.3471</v>
      </c>
      <c r="C15" s="45">
        <f>SUM(C10:C14)</f>
        <v>100.0</v>
      </c>
      <c r="D15" s="43" t="inlineStr">
        <is>
          <t>Suma de la distribución areal · 184 polígonos</t>
        </is>
      </c>
      <c r="E15" s="43" t="inlineStr">
        <is>
          <t>—</t>
        </is>
      </c>
    </row>
    <row r="16" ht="30" customHeight="1">
      <c r="A16" s="46" t="inlineStr">
        <is>
          <t>Superficie SOBRE umbral 0.4976 (ha)</t>
        </is>
      </c>
      <c r="B16" s="47">
        <f>SUM(B10:B11)</f>
        <v>24.3106</v>
      </c>
      <c r="C16" s="48">
        <f>ROUND(B16/B15*100,2)</f>
        <v>68.78</v>
      </c>
      <c r="D16" s="46" t="inlineStr">
        <is>
          <t>Vigor alto y moderado (DN 4 y DN 5)</t>
        </is>
      </c>
      <c r="E16" s="46" t="inlineStr">
        <is>
          <t>Sobre umbral 0.4976</t>
        </is>
      </c>
    </row>
    <row r="17" ht="30" customHeight="1">
      <c r="A17" s="46" t="inlineStr">
        <is>
          <t>Superficie BAJO umbral 0.4976 (ha) — brecha</t>
        </is>
      </c>
      <c r="B17" s="47">
        <f>SUM(B12:B14)</f>
        <v>11.0365</v>
      </c>
      <c r="C17" s="48">
        <f>ROUND(B17/B15*100,2)</f>
        <v>31.22</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35.35</v>
      </c>
      <c r="C18" s="49" t="inlineStr">
        <is>
          <t>—</t>
        </is>
      </c>
      <c r="D18" s="46" t="inlineStr">
        <is>
          <t>Desviación planimétrica frente al catálogo</t>
        </is>
      </c>
      <c r="E18" s="46" t="inlineStr">
        <is>
          <t>-0.01 %</t>
        </is>
      </c>
    </row>
    <row r="19">
      <c r="A19" s="16" t="inlineStr">
        <is>
          <t>MSAVI 2024 — MEDIA DEL BLOQUE</t>
        </is>
      </c>
      <c r="B19" s="17" t="n">
        <v>0.530453</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184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(0.5305)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21.0687</v>
      </c>
      <c r="C25" s="19" t="n">
        <v>59.58</v>
      </c>
      <c r="D25" s="11" t="inlineStr">
        <is>
          <t>Dosel continuo, matorral denso o mosaico agroforestal</t>
        </is>
      </c>
      <c r="E25" s="11" t="inlineStr"/>
    </row>
    <row r="26">
      <c r="A26" s="14" t="inlineStr">
        <is>
          <t>Vegetación mediana</t>
        </is>
      </c>
      <c r="B26" s="20" t="n">
        <v>11.8842</v>
      </c>
      <c r="C26" s="21" t="n">
        <v>33.61</v>
      </c>
      <c r="D26" s="15" t="inlineStr">
        <is>
          <t>Pastizal cultivado, matorral ralo, parcelas agrícolas</t>
        </is>
      </c>
      <c r="E26" s="15" t="inlineStr"/>
    </row>
    <row r="27">
      <c r="A27" s="7" t="inlineStr">
        <is>
          <t>Vegetación ligera</t>
        </is>
      </c>
      <c r="B27" s="18" t="n">
        <v>2.3609</v>
      </c>
      <c r="C27" s="19" t="n">
        <v>6.68</v>
      </c>
      <c r="D27" s="11" t="inlineStr">
        <is>
          <t>Cobertura discontinua, suelo parcialmente expuesto</t>
        </is>
      </c>
      <c r="E27" s="11" t="inlineStr"/>
    </row>
    <row r="28">
      <c r="A28" s="14" t="inlineStr">
        <is>
          <t>Tierra desnuda</t>
        </is>
      </c>
      <c r="B28" s="20" t="n">
        <v>0.0495</v>
      </c>
      <c r="C28" s="21" t="n">
        <v>0.14</v>
      </c>
      <c r="D28" s="15" t="inlineStr">
        <is>
          <t>Suelo desnudo, afloramientos, plataformas y taludes</t>
        </is>
      </c>
      <c r="E28" s="15" t="inlineStr"/>
    </row>
    <row r="29">
      <c r="A29" s="16" t="inlineStr">
        <is>
          <t>TOTAL CLASIFICADO</t>
        </is>
      </c>
      <c r="B29" s="22">
        <f>SUM(B25:B28)</f>
        <v>35.3633</v>
      </c>
      <c r="C29" s="23">
        <f>SUM(C25:C28)</f>
        <v>100.01</v>
      </c>
      <c r="D29" s="17" t="inlineStr"/>
      <c r="E29" s="17" t="inlineStr"/>
    </row>
    <row r="30">
      <c r="A30" s="24" t="inlineStr">
        <is>
          <t>Superficie de catálogo (V5/V6)</t>
        </is>
      </c>
      <c r="B30" s="25" t="n">
        <v>35.35</v>
      </c>
      <c r="C30" s="25" t="inlineStr">
        <is>
          <t>—</t>
        </is>
      </c>
      <c r="D30" s="25" t="inlineStr">
        <is>
          <t>Desviación planimétrica frente al catálogo</t>
        </is>
      </c>
      <c r="E30" s="25" t="inlineStr">
        <is>
          <t>+0.04 %</t>
        </is>
      </c>
    </row>
    <row r="31"/>
    <row r="32" ht="72"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M8B2</t>
        </is>
      </c>
    </row>
    <row r="6" ht="24" customHeight="1">
      <c r="A6" s="4" t="inlineStr">
        <is>
          <t>Levantamiento del 2026-06-16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617630</v>
      </c>
      <c r="D10" s="26" t="n">
        <v>9436148</v>
      </c>
      <c r="E10" s="11" t="n">
        <v>86</v>
      </c>
      <c r="F10" s="11" t="inlineStr"/>
      <c r="G10" s="11" t="inlineStr">
        <is>
          <t>Coordenada consignada en F-DT-01</t>
        </is>
      </c>
    </row>
    <row r="11">
      <c r="A11" s="14" t="inlineStr">
        <is>
          <t>H-01</t>
        </is>
      </c>
      <c r="B11" s="15" t="inlineStr">
        <is>
          <t>Fuente de agua — Reservorio / Represa</t>
        </is>
      </c>
      <c r="C11" s="27" t="inlineStr">
        <is>
          <t>Por determinar</t>
        </is>
      </c>
      <c r="D11" s="27" t="inlineStr">
        <is>
          <t>Por determinar</t>
        </is>
      </c>
      <c r="E11" s="15" t="inlineStr"/>
      <c r="F11" s="15" t="inlineStr">
        <is>
          <t>Por determinar</t>
        </is>
      </c>
      <c r="G11" s="15" t="inlineStr">
        <is>
          <t>Caja/reservorio rústico en desuso</t>
        </is>
      </c>
    </row>
    <row r="12">
      <c r="A12" s="7" t="inlineStr">
        <is>
          <t>H-02</t>
        </is>
      </c>
      <c r="B12" s="11" t="inlineStr">
        <is>
          <t>Fuente de agua — Quebrada estacional</t>
        </is>
      </c>
      <c r="C12" s="26" t="inlineStr">
        <is>
          <t>Por determinar</t>
        </is>
      </c>
      <c r="D12" s="26" t="inlineStr">
        <is>
          <t>Por determinar</t>
        </is>
      </c>
      <c r="E12" s="11" t="inlineStr"/>
      <c r="F12" s="11" t="inlineStr">
        <is>
          <t>Estacional</t>
        </is>
      </c>
      <c r="G12" s="11" t="inlineStr">
        <is>
          <t>Quebrada tributaria del río Piura</t>
        </is>
      </c>
    </row>
    <row r="13">
      <c r="A13" s="16" t="inlineStr">
        <is>
          <t>TOTAL: 3 puntos</t>
        </is>
      </c>
      <c r="B13" s="17" t="inlineStr"/>
      <c r="C13" s="17" t="inlineStr"/>
      <c r="D13" s="17" t="inlineStr"/>
      <c r="E13" s="17" t="inlineStr"/>
      <c r="F13" s="17" t="inlineStr"/>
      <c r="G13" s="17" t="inlineStr"/>
    </row>
    <row r="14"/>
    <row r="15">
      <c r="A15" s="6" t="inlineStr">
        <is>
          <t>Centroide del bloque — UTM ESTE (m)</t>
        </is>
      </c>
      <c r="B15" s="7" t="n">
        <v>617596</v>
      </c>
      <c r="C15" s="6" t="inlineStr">
        <is>
          <t>Centroide del bloque — UTM NORTE (m)</t>
        </is>
      </c>
      <c r="D15" s="7" t="n">
        <v>9436227</v>
      </c>
      <c r="E15" s="8" t="n"/>
      <c r="F15" s="8" t="n"/>
      <c r="G15" s="8" t="n"/>
      <c r="H15" s="8" t="n"/>
    </row>
    <row r="16">
      <c r="A16" s="6" t="inlineStr">
        <is>
          <t>N.° de estaciones fotográficas declaradas</t>
        </is>
      </c>
      <c r="B16" s="7" t="n">
        <v>0</v>
      </c>
      <c r="C16" s="6" t="inlineStr">
        <is>
          <t>Estaciones dentro del polígono</t>
        </is>
      </c>
      <c r="D16" s="7" t="n">
        <v>0</v>
      </c>
      <c r="E16" s="8" t="n"/>
      <c r="F16" s="8" t="n"/>
      <c r="G16" s="8" t="n"/>
      <c r="H16" s="8" t="n"/>
    </row>
    <row r="17"/>
    <row r="18" ht="96"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EN CABECERA DE MICROCUENCA tributaria del río Piura; relieve de ladera empinada (PENDIENTE MEDIA 35.5%, MÁXIMA 62.2%). Exposición dominante de laderas SO-NO. Acceso por vía vecinal PI-799. TENENCIA PRIVADA; uso actual pastoreo/ganadería y cultivo de maíz. Verificación de campo 16/06/2026.</t>
        </is>
      </c>
      <c r="B18" s="41" t="n"/>
      <c r="C18" s="41" t="n"/>
      <c r="D18" s="41" t="n"/>
      <c r="E18" s="41" t="n"/>
      <c r="F18" s="41" t="n"/>
      <c r="G18" s="42"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C1096-Q9558 — BLOQUE M8B2</t>
        </is>
      </c>
    </row>
    <row r="6" ht="24" customHeight="1">
      <c r="A6" s="4" t="inlineStr">
        <is>
          <t>Distrito de Santo Domingo · Provincia de Morropon · Comparación de los bloques preliminares de intervención de la misma microcuenca</t>
        </is>
      </c>
    </row>
    <row r="7"/>
    <row r="8" ht="18" customHeight="1">
      <c r="A8" s="5" t="inlineStr">
        <is>
          <t>BLOQUES DE LA MICROCUENCA C1096-Q9558</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2</t>
        </is>
      </c>
      <c r="B10" s="28" t="n">
        <v>330.6</v>
      </c>
      <c r="C10" s="19" t="n">
        <v>90.34</v>
      </c>
      <c r="D10" s="11" t="inlineStr">
        <is>
          <t>142 – 406</t>
        </is>
      </c>
      <c r="E10" s="11" t="n">
        <v>264</v>
      </c>
      <c r="F10" s="11" t="n">
        <v>13.27</v>
      </c>
      <c r="G10" s="18" t="n">
        <v>0.3586</v>
      </c>
      <c r="H10" s="19" t="n">
        <v>0.32</v>
      </c>
      <c r="I10" s="19" t="n">
        <v>99.18000000000001</v>
      </c>
    </row>
    <row r="11">
      <c r="A11" s="12" t="inlineStr">
        <is>
          <t>► M8B2</t>
        </is>
      </c>
      <c r="B11" s="29" t="n">
        <v>35.35</v>
      </c>
      <c r="C11" s="30" t="n">
        <v>9.66</v>
      </c>
      <c r="D11" s="13" t="inlineStr">
        <is>
          <t>882 – 1181</t>
        </is>
      </c>
      <c r="E11" s="13" t="n">
        <v>299</v>
      </c>
      <c r="F11" s="13" t="n">
        <v>24.49</v>
      </c>
      <c r="G11" s="31" t="n">
        <v>0.5305</v>
      </c>
      <c r="H11" s="30" t="n">
        <v>59.58</v>
      </c>
      <c r="I11" s="30" t="n">
        <v>31.22</v>
      </c>
    </row>
    <row r="12">
      <c r="A12" s="16" t="inlineStr">
        <is>
          <t>TOTAL / PROMEDIO</t>
        </is>
      </c>
      <c r="B12" s="32">
        <f>SUM(B10:B11)</f>
        <v>365.95</v>
      </c>
      <c r="C12" s="23">
        <f>SUM(C10:C11)</f>
        <v>100.0</v>
      </c>
      <c r="D12" s="17" t="inlineStr">
        <is>
          <t>142 – 1181</t>
        </is>
      </c>
      <c r="E12" s="17" t="inlineStr"/>
      <c r="F12" s="17">
        <f>ROUND(AVERAGE(F10:F11),2)</f>
        <v>18.88</v>
      </c>
      <c r="G12" s="22">
        <f>ROUND(AVERAGE(G10:G11),4)</f>
        <v>0.4446</v>
      </c>
      <c r="H12" s="23">
        <f>ROUND(AVERAGE(H10:H11),2)</f>
        <v>29.95</v>
      </c>
      <c r="I12" s="23">
        <f>ROUND(AVERAGE(I10:I11),2)</f>
        <v>65.2</v>
      </c>
    </row>
    <row r="13"/>
    <row r="14" ht="84" customHeight="1">
      <c r="A14" s="9" t="inlineStr">
        <is>
          <t>LECTURA INTRAMICROCUENCA. El bloque M8B2 ocupa el puesto 2 de 2 por superficie dentro de la microcuenca C1096-Q9558 (9.66 % de las 365.95 ha preliminares de la microcuenca). Su pendiente promedio (24.49 %, clase «15-25% (Fuert. inclinado)») es la 2.ª más baja de 2 y se sitúa por encima del promedio de la microcuenca (18.88 %). Su MSAVI 2024 (0.5305) es el 1.º de 2 y queda por encima del promedio local (0.4445). Amplitud altitudinal del bloque: 299 m (882–1181 msnm). El cuadro conserva todos los bloques catalogados en la microcuenca, incluidos los descartados en el tamizaje, para referencia del conjunto. Los bloques sin ficha DT figuran con sus parámetros de gabinete. BRECHA ESPECTRAL. El 31.22 % de la superficie del bloque (11.037 ha de 35.347 ha) se sitúa bajo el umbral MSAVI 0.4976, por debajo del promedio local de la microcuenca (65.20 %) calculado sobre los bloques con dato MSAVI disponible.</t>
        </is>
      </c>
      <c r="B14" s="41" t="n"/>
      <c r="C14" s="41" t="n"/>
      <c r="D14" s="41" t="n"/>
      <c r="E14" s="41" t="n"/>
      <c r="F14" s="41" t="n"/>
      <c r="G14" s="41" t="n"/>
      <c r="H14" s="42" t="n"/>
    </row>
    <row r="15"/>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6" s="41" t="n"/>
      <c r="C16" s="41" t="n"/>
      <c r="D16" s="41" t="n"/>
      <c r="E16" s="41" t="n"/>
      <c r="F16" s="41" t="n"/>
      <c r="G16" s="41" t="n"/>
      <c r="H16" s="42" t="n"/>
    </row>
  </sheetData>
  <mergeCells count="9">
    <mergeCell ref="A1:I1"/>
    <mergeCell ref="A4:I4"/>
    <mergeCell ref="A3:I3"/>
    <mergeCell ref="A2:I2"/>
    <mergeCell ref="A16:I16"/>
    <mergeCell ref="A14:I14"/>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4"/>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M8B2</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«C1096-Q9558»</t>
        </is>
      </c>
      <c r="D10" s="34" t="inlineStr">
        <is>
          <t>CONFORME</t>
        </is>
      </c>
      <c r="E10" s="33" t="inlineStr">
        <is>
          <t>Sin acción.</t>
        </is>
      </c>
    </row>
    <row r="11" ht="48" customHeight="1">
      <c r="A11" s="35" t="inlineStr">
        <is>
          <t>D-02</t>
        </is>
      </c>
      <c r="B11" s="35" t="inlineStr">
        <is>
          <t>UTM del punto de muestreo</t>
        </is>
      </c>
      <c r="C11" s="35" t="inlineStr">
        <is>
          <t>El punto de muestreo declarado dista 86 m del centroide de catálogo, compatible con la extensión del bloque</t>
        </is>
      </c>
      <c r="D11" s="34" t="inlineStr">
        <is>
          <t>CONFORME</t>
        </is>
      </c>
      <c r="E11" s="35" t="inlineStr">
        <is>
          <t>Sin acción.</t>
        </is>
      </c>
    </row>
    <row r="12" ht="48" customHeight="1">
      <c r="A12" s="33" t="inlineStr">
        <is>
          <t>D-03</t>
        </is>
      </c>
      <c r="B12" s="33" t="inlineStr">
        <is>
          <t>Superficie del polígono</t>
        </is>
      </c>
      <c r="C12" s="33" t="inlineStr">
        <is>
          <t>La superficie clasificada por el NDVI 2025 (35.363 ha) coincide con la de catálogo (35.35 ha) dentro del ±2 % (+0.04 %)</t>
        </is>
      </c>
      <c r="D12" s="34" t="inlineStr">
        <is>
          <t>CONFORME</t>
        </is>
      </c>
      <c r="E12" s="33" t="inlineStr">
        <is>
          <t>Sin acción: la segmentación valida la geometría del bloque.</t>
        </is>
      </c>
    </row>
    <row r="13" ht="48" customHeight="1">
      <c r="A13" s="35" t="inlineStr">
        <is>
          <t>D-04</t>
        </is>
      </c>
      <c r="B13" s="35" t="inlineStr">
        <is>
          <t>Rango de pendiente dominante</t>
        </is>
      </c>
      <c r="C13" s="35" t="inlineStr">
        <is>
          <t>La ficha DT declara «25-50% (Mod. escarpado)»; la estadística zonal sobre el MDE arroja una pendiente promedio de 24.49 %, que corresponde a la clase «15-25% (Fuert. inclinado)»</t>
        </is>
      </c>
      <c r="D13" s="13" t="inlineStr">
        <is>
          <t>NO SUSTANTIVA</t>
        </is>
      </c>
      <c r="E13" s="35"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3" t="inlineStr">
        <is>
          <t>D-05</t>
        </is>
      </c>
      <c r="B14" s="33" t="inlineStr">
        <is>
          <t>Dimensiones del inventario de cárcavas</t>
        </is>
      </c>
      <c r="C14" s="33" t="inlineStr">
        <is>
          <t>Se registran No inventariadas rasgos erosivos, pero longitud, profundidad y ancho no fueron medidos instrumentalmente</t>
        </is>
      </c>
      <c r="D14" s="13" t="inlineStr">
        <is>
          <t>NO SUSTANTIVA</t>
        </is>
      </c>
      <c r="E14" s="33" t="inlineStr">
        <is>
          <t>El conteo registrado no debe usarse para calcular densidad de cárcavas por hectárea. Pendiente de levantamiento con GPS submétrico.</t>
        </is>
      </c>
    </row>
    <row r="15" ht="48" customHeight="1">
      <c r="A15" s="35" t="inlineStr">
        <is>
          <t>D-06</t>
        </is>
      </c>
      <c r="B15" s="35" t="inlineStr">
        <is>
          <t>Elenco florístico</t>
        </is>
      </c>
      <c r="C15" s="35" t="inlineStr">
        <is>
          <t>La ficha registra 9 taxones, por debajo del mínimo de 15 que exige el formato V5</t>
        </is>
      </c>
      <c r="D15" s="36" t="inlineStr">
        <is>
          <t>SUSTANTIVA</t>
        </is>
      </c>
      <c r="E15" s="35" t="inlineStr">
        <is>
          <t>Registro florístico preliminar, sin colecta ni determinación botánica formal. Debe cerrarse con colecta botánica en la siguiente campaña.</t>
        </is>
      </c>
    </row>
    <row r="16" ht="48" customHeight="1">
      <c r="A16" s="33" t="inlineStr">
        <is>
          <t>D-07</t>
        </is>
      </c>
      <c r="B16" s="33" t="inlineStr">
        <is>
          <t>Representatividad del levantamiento</t>
        </is>
      </c>
      <c r="C16" s="33" t="inlineStr">
        <is>
          <t>Ninguna de las estaciones fotográficas georreferenciadas se localiza dentro del polígono del bloque</t>
        </is>
      </c>
      <c r="D16" s="36" t="inlineStr">
        <is>
          <t>SUSTANTIVA</t>
        </is>
      </c>
      <c r="E16" s="33" t="inlineStr">
        <is>
          <t>La verificación documenta el perímetro y la vista panorámica del bloque, no su interior. Los parámetros que exigen recorrido interno se consignan «Por determinar».</t>
        </is>
      </c>
    </row>
    <row r="17" ht="48" customHeight="1">
      <c r="A17" s="35" t="inlineStr">
        <is>
          <t>D-08</t>
        </is>
      </c>
      <c r="B17" s="35" t="inlineStr">
        <is>
          <t>Centro poblado asociado</t>
        </is>
      </c>
      <c r="C17" s="35" t="inlineStr">
        <is>
          <t>La ficha DT declara «Botijas»; el cruce INEI-Bloques V5 identifica 1 centro(s) poblado(s) en el bloque: BOTIJAS</t>
        </is>
      </c>
      <c r="D17" s="34" t="inlineStr">
        <is>
          <t>CONFORME</t>
        </is>
      </c>
      <c r="E17" s="35" t="inlineStr">
        <is>
          <t>Se conserva el registro de campo como referencia y se adopta el listado INEI para el diagnóstico social y el cálculo de población beneficiaria.</t>
        </is>
      </c>
    </row>
    <row r="18" ht="48" customHeight="1">
      <c r="A18" s="33" t="inlineStr">
        <is>
          <t>D-09</t>
        </is>
      </c>
      <c r="B18" s="33" t="inlineStr">
        <is>
          <t>Peligro integrado (MCA-AHP)</t>
        </is>
      </c>
      <c r="C18" s="33" t="inlineStr">
        <is>
          <t>El nivel de peligro integrado no está disponible en los insumos de este entregable</t>
        </is>
      </c>
      <c r="D18" s="36" t="inlineStr">
        <is>
          <t>SUSTANTIVA</t>
        </is>
      </c>
      <c r="E18" s="33" t="inlineStr">
        <is>
          <t>Debe tomarse del modelamiento de mesolocalización (PMM + EPH + PGI ponderados por AHP) antes de fijar la prioridad definitiva de intervención del bloque.</t>
        </is>
      </c>
    </row>
    <row r="19" ht="48" customHeight="1">
      <c r="A19" s="35" t="inlineStr">
        <is>
          <t>D-10</t>
        </is>
      </c>
      <c r="B19" s="35" t="inlineStr">
        <is>
          <t>Plan de Ingreso</t>
        </is>
      </c>
      <c r="C19" s="35" t="inlineStr">
        <is>
          <t>Altitud = 0 msnm (captura por defecto del aplicativo)</t>
        </is>
      </c>
      <c r="D19" s="37" t="inlineStr">
        <is>
          <t>CORREGIDO</t>
        </is>
      </c>
      <c r="E19" s="35" t="inlineStr">
        <is>
          <t>Se reemplaza por la altitud GPS de campo (1050 msnm)</t>
        </is>
      </c>
    </row>
    <row r="20" ht="48" customHeight="1">
      <c r="A20" s="33" t="inlineStr">
        <is>
          <t>D-11</t>
        </is>
      </c>
      <c r="B20" s="33" t="inlineStr">
        <is>
          <t>F-DT-02</t>
        </is>
      </c>
      <c r="C20" s="33" t="inlineStr">
        <is>
          <t>Inventario georreferenciado de cárcavas pendiente pese a calificar la erosión como Fuerte</t>
        </is>
      </c>
      <c r="D20" s="36" t="inlineStr">
        <is>
          <t>SUSTANTIVA</t>
        </is>
      </c>
      <c r="E20" s="33" t="inlineStr">
        <is>
          <t>Levantamiento pendiente</t>
        </is>
      </c>
    </row>
    <row r="21" ht="48" customHeight="1">
      <c r="A21" s="35" t="inlineStr">
        <is>
          <t>D-12</t>
        </is>
      </c>
      <c r="B21" s="35" t="inlineStr">
        <is>
          <t>F-DT-03</t>
        </is>
      </c>
      <c r="C21" s="35" t="inlineStr">
        <is>
          <t>Coberturas por estrato, DAP, altura y especies clave sin registrar; superficie de ecosistema no medida</t>
        </is>
      </c>
      <c r="D21" s="36" t="inlineStr">
        <is>
          <t>SUSTANTIVA</t>
        </is>
      </c>
      <c r="E21" s="35" t="inlineStr">
        <is>
          <t>Pendientes del inventario florístico especializado</t>
        </is>
      </c>
    </row>
    <row r="22" ht="48" customHeight="1">
      <c r="A22" s="33" t="inlineStr">
        <is>
          <t>D-13</t>
        </is>
      </c>
      <c r="B22" s="33" t="inlineStr">
        <is>
          <t>F-DT-03</t>
        </is>
      </c>
      <c r="C22" s="33" t="inlineStr">
        <is>
          <t>Solo 9 taxones registrados frente al mínimo de 15 exigido</t>
        </is>
      </c>
      <c r="D22" s="13" t="inlineStr">
        <is>
          <t>NO SUSTANTIVA</t>
        </is>
      </c>
      <c r="E22" s="33" t="inlineStr">
        <is>
          <t>Inventario a completar</t>
        </is>
      </c>
    </row>
    <row r="23" ht="48" customHeight="1">
      <c r="A23" s="35" t="inlineStr">
        <is>
          <t>D-14</t>
        </is>
      </c>
      <c r="B23" s="35" t="inlineStr">
        <is>
          <t>F-DT-04</t>
        </is>
      </c>
      <c r="C23" s="35" t="inlineStr">
        <is>
          <t>Solo 2 de los 8 indicadores cuantitativos diligenciados; intensidad, extensión y antigüedad de las causas sin cuantificar</t>
        </is>
      </c>
      <c r="D23" s="36" t="inlineStr">
        <is>
          <t>SUSTANTIVA</t>
        </is>
      </c>
      <c r="E23" s="35" t="inlineStr">
        <is>
          <t>Cuantificación pendiente</t>
        </is>
      </c>
    </row>
    <row r="24" ht="48" customHeight="1">
      <c r="A24" s="33" t="inlineStr">
        <is>
          <t>D-15</t>
        </is>
      </c>
      <c r="B24" s="33" t="inlineStr">
        <is>
          <t>F-DT-04</t>
        </is>
      </c>
      <c r="C24" s="33" t="inlineStr">
        <is>
          <t>Velocidad de degradación, reversibilidad y urgencia de intervención no consignadas</t>
        </is>
      </c>
      <c r="D24" s="36" t="inlineStr">
        <is>
          <t>SUSTANTIVA</t>
        </is>
      </c>
      <c r="E24" s="33" t="inlineStr">
        <is>
          <t>Calificación pendiente</t>
        </is>
      </c>
    </row>
    <row r="25" ht="48" customHeight="1">
      <c r="A25" s="35" t="inlineStr">
        <is>
          <t>D-16</t>
        </is>
      </c>
      <c r="B25" s="35" t="inlineStr">
        <is>
          <t>F-DT-04</t>
        </is>
      </c>
      <c r="C25" s="35" t="inlineStr">
        <is>
          <t>Peligros calificados por juicio de experto (PMM medio-alto, EPH moderado-alto, PGI moderado)</t>
        </is>
      </c>
      <c r="D25" s="13" t="inlineStr">
        <is>
          <t>NO SUSTANTIVA</t>
        </is>
      </c>
      <c r="E25" s="35" t="inlineStr">
        <is>
          <t>No sustituyen el Peligro Integrado por AHP; declarado en la propia ficha</t>
        </is>
      </c>
    </row>
    <row r="26" ht="48" customHeight="1">
      <c r="A26" s="33" t="inlineStr">
        <is>
          <t>D-17</t>
        </is>
      </c>
      <c r="B26" s="33" t="inlineStr">
        <is>
          <t>F-DT-05</t>
        </is>
      </c>
      <c r="C26" s="33" t="inlineStr">
        <is>
          <t>Las dos fuentes de agua inventariadas carecen de coordenadas</t>
        </is>
      </c>
      <c r="D26" s="13" t="inlineStr">
        <is>
          <t>NO SUSTANTIVA</t>
        </is>
      </c>
      <c r="E26" s="33" t="inlineStr">
        <is>
          <t>Georreferenciación pendiente</t>
        </is>
      </c>
    </row>
    <row r="27" ht="48" customHeight="1">
      <c r="A27" s="35" t="inlineStr">
        <is>
          <t>D-18</t>
        </is>
      </c>
      <c r="B27" s="35" t="inlineStr">
        <is>
          <t>F-DT-05</t>
        </is>
      </c>
      <c r="C27" s="35" t="inlineStr">
        <is>
          <t>La vía PI-799 presenta erosión de plataforma, taludes inestables y colapsos de banca</t>
        </is>
      </c>
      <c r="D27" s="36" t="inlineStr">
        <is>
          <t>SUSTANTIVA</t>
        </is>
      </c>
      <c r="E27" s="35" t="inlineStr">
        <is>
          <t>Condiciona el acceso y es a la vez foco de erosión: incorporar al diseño de MRR-CCC complementarias</t>
        </is>
      </c>
    </row>
    <row r="28" ht="48" customHeight="1">
      <c r="A28" s="35" t="inlineStr">
        <is>
          <t>D-19</t>
        </is>
      </c>
      <c r="B28" s="35" t="inlineStr">
        <is>
          <t>Distribución areal MSAVI 2024</t>
        </is>
      </c>
      <c r="C28" s="35" t="inlineStr">
        <is>
          <t>La distribución por clase de MSAVI no figuraba en los insumos del entregable y se consignaba «Por determinar»; se incorpora la estadística zonal del ráster MSAVI clasificado (184 polígonos, 35.347 ha)</t>
        </is>
      </c>
      <c r="D28" s="36" t="inlineStr">
        <is>
          <t>CORREGIDO</t>
        </is>
      </c>
      <c r="E28" s="35"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9" ht="48" customHeight="1">
      <c r="A29" s="35" t="inlineStr">
        <is>
          <t>D-20</t>
        </is>
      </c>
      <c r="B29" s="35" t="inlineStr">
        <is>
          <t>Superficie MSAVI vs. catálogo</t>
        </is>
      </c>
      <c r="C29" s="35" t="inlineStr">
        <is>
          <t>La superficie total clasificada por el MSAVI 2024 (35.347 ha) frente a la de catálogo V5/V6 (35.350 ha): desviación de -0.01 %</t>
        </is>
      </c>
      <c r="D29" s="36" t="inlineStr">
        <is>
          <t>CONFORME</t>
        </is>
      </c>
      <c r="E29" s="35" t="inlineStr">
        <is>
          <t>Sin acción: la segmentación del ráster valida la geometría del bloque dentro del ±2 %.</t>
        </is>
      </c>
    </row>
    <row r="30" ht="48" customHeight="1">
      <c r="A30" s="35" t="inlineStr">
        <is>
          <t>D-21</t>
        </is>
      </c>
      <c r="B30" s="35" t="inlineStr">
        <is>
          <t>Media MSAVI vs. clase DN dominante</t>
        </is>
      </c>
      <c r="C30" s="35" t="inlineStr">
        <is>
          <t>La media del bloque (0.5305) cae en la clase «DN 4 · 0.4976 - 0.6139 (Vigor moderado)»; la clase de mayor superficie es «DN 4 · 0.4976 - 0.6139 (Vigor moderado)», con 54.01 % del bloque. Superficie bajo el umbral 0.4976: 11.037 ha (31.22 %)</t>
        </is>
      </c>
      <c r="D30" s="36" t="inlineStr">
        <is>
          <t>CONFORME</t>
        </is>
      </c>
      <c r="E30" s="35" t="inlineStr">
        <is>
          <t>Sin acción: la media del bloque y la clase de mayor superficie coinciden.</t>
        </is>
      </c>
    </row>
    <row r="31"/>
    <row r="32">
      <c r="A32" s="16" t="inlineStr">
        <is>
          <t>RESUMEN</t>
        </is>
      </c>
      <c r="B32" s="17" t="inlineStr">
        <is>
          <t>21 verificaciones</t>
        </is>
      </c>
      <c r="C32" s="17" t="inlineStr">
        <is>
          <t>CONFORME: 6 · CORREGIDO: 2 · NO SUSTANTIVA: 5 · SUSTANTIVA: 8</t>
        </is>
      </c>
      <c r="D32" s="17" t="inlineStr"/>
      <c r="E32" s="17" t="inlineStr"/>
    </row>
    <row r="33"/>
    <row r="34" ht="60" customHeight="1">
      <c r="A34"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4" s="41" t="n"/>
      <c r="C34" s="41" t="n"/>
      <c r="D34" s="41" t="n"/>
      <c r="E34" s="42" t="n"/>
    </row>
  </sheetData>
  <mergeCells count="8">
    <mergeCell ref="A34:E34"/>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M8B2 — IN Piura</dc:title>
  <dc:subject>Diagnóstico Territorial por bloque de intervención</dc:subject>
  <dcterms:created xsi:type="dcterms:W3CDTF">2026-09-08T03:39:53Z</dcterms:created>
  <dcterms:modified xsi:type="dcterms:W3CDTF">2026-09-10T00:28:33Z</dcterms:modified>
</cp:coreProperties>
</file>