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M1B1</t>
        </is>
      </c>
      <c r="C9" s="6" t="inlineStr">
        <is>
          <t>Microcuenca (catálogo)</t>
        </is>
      </c>
      <c r="D9" s="7" t="inlineStr">
        <is>
          <t>C1077-Q9580</t>
        </is>
      </c>
      <c r="E9" s="8" t="n"/>
      <c r="F9" s="8" t="n"/>
    </row>
    <row r="10">
      <c r="A10" s="6" t="inlineStr">
        <is>
          <t>Zona de planificación</t>
        </is>
      </c>
      <c r="B10" s="7" t="inlineStr">
        <is>
          <t>Z06</t>
        </is>
      </c>
      <c r="C10" s="6" t="inlineStr">
        <is>
          <t>Microcuenca declarada en ficha DT</t>
        </is>
      </c>
      <c r="D10" s="7" t="inlineStr">
        <is>
          <t>C1077-Q9580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Río Seco</t>
        </is>
      </c>
      <c r="C13" s="6" t="inlineStr">
        <is>
          <t>Comunidad campesina</t>
        </is>
      </c>
      <c r="D13" s="7" t="inlineStr">
        <is>
          <t>No aplica formalmente — predios rurales individuales y sectores asociados al CP Río Seco</t>
        </is>
      </c>
      <c r="E13" s="8" t="n"/>
      <c r="F13" s="8" t="n"/>
    </row>
    <row r="14">
      <c r="A14" s="6" t="inlineStr">
        <is>
          <t>Superficie de catálogo (V5/V6), ha</t>
        </is>
      </c>
      <c r="B14" s="7" t="n">
        <v>188.8</v>
      </c>
      <c r="C14" s="6" t="inlineStr">
        <is>
          <t>Fuente de superficie</t>
        </is>
      </c>
      <c r="D14" s="7" t="inlineStr">
        <is>
          <t>Catálogo maestro Bloques V5/V6</t>
        </is>
      </c>
      <c r="E14" s="8" t="n"/>
      <c r="F14" s="8" t="n"/>
    </row>
    <row r="15">
      <c r="A15" s="6" t="inlineStr">
        <is>
          <t>Centroide UTM ESTE (m)</t>
        </is>
      </c>
      <c r="B15" s="7" t="n">
        <v>617695</v>
      </c>
      <c r="C15" s="6" t="inlineStr">
        <is>
          <t>Centroide UTM NORTE (m)</t>
        </is>
      </c>
      <c r="D15" s="7" t="n">
        <v>9409136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173</v>
      </c>
      <c r="C19" s="6" t="inlineStr">
        <is>
          <t>Altitud máxima (msnm)</t>
        </is>
      </c>
      <c r="D19" s="7" t="n">
        <v>477</v>
      </c>
      <c r="E19" s="8" t="n"/>
      <c r="F19" s="8" t="n"/>
    </row>
    <row r="20">
      <c r="A20" s="6" t="inlineStr">
        <is>
          <t>Amplitud altitudinal (m)</t>
        </is>
      </c>
      <c r="B20" s="7" t="n">
        <v>304</v>
      </c>
      <c r="C20" s="6" t="inlineStr">
        <is>
          <t>Piso altitudinal dominante</t>
        </is>
      </c>
      <c r="D20" s="7" t="inlineStr">
        <is>
          <t>&lt;1000 m (Yunga)</t>
        </is>
      </c>
      <c r="E20" s="8" t="n"/>
      <c r="F20" s="8" t="n"/>
    </row>
    <row r="21">
      <c r="A21" s="6" t="inlineStr">
        <is>
          <t>Pendiente promedio (%)</t>
        </is>
      </c>
      <c r="B21" s="7" t="n">
        <v>18.7</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0.3193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(57.13 %)</t>
        </is>
      </c>
      <c r="E29" s="8" t="n"/>
      <c r="F29" s="8" t="n"/>
    </row>
    <row r="30">
      <c r="A30" s="6" t="inlineStr">
        <is>
          <t>Superficie clasificada NDVI 2025 (ha)</t>
        </is>
      </c>
      <c r="B30" s="7" t="n">
        <v>188.883</v>
      </c>
      <c r="C30" s="6" t="inlineStr">
        <is>
          <t>Desviación frente al catálogo (%)</t>
        </is>
      </c>
      <c r="D30" s="7" t="n">
        <v>0.04</v>
      </c>
      <c r="E30" s="8" t="n"/>
      <c r="F30" s="8" t="n"/>
    </row>
    <row r="31">
      <c r="A31" s="6" t="inlineStr">
        <is>
          <t>Superficie clasificada MSAVI 2024 (ha)</t>
        </is>
      </c>
      <c r="B31" s="37" t="n">
        <v>188.797</v>
      </c>
      <c r="C31" s="6" t="inlineStr">
        <is>
          <t>Desviación MSAVI frente al catálogo (%)</t>
        </is>
      </c>
      <c r="D31" s="38" t="n">
        <v>0</v>
      </c>
      <c r="E31" s="8" t="n"/>
      <c r="F31" s="8" t="n"/>
    </row>
    <row r="32">
      <c r="A32" s="6" t="inlineStr">
        <is>
          <t>Superficie bajo umbral MSAVI 0.4976 (ha)</t>
        </is>
      </c>
      <c r="B32" s="37" t="n">
        <v>187.627</v>
      </c>
      <c r="C32" s="6" t="inlineStr">
        <is>
          <t>% del bloque bajo umbral (brecha espectral)</t>
        </is>
      </c>
      <c r="D32" s="38" t="n">
        <v>99.38</v>
      </c>
      <c r="E32" s="8" t="n"/>
      <c r="F32" s="8" t="n"/>
    </row>
    <row r="33">
      <c r="A33" s="6" t="inlineStr">
        <is>
          <t>Clase DN dominante (MSAVI 2024)</t>
        </is>
      </c>
      <c r="B33" s="7" t="inlineStr">
        <is>
          <t>DN 2 · 0.2650 - 0.3813 (Vigor muy bajo)</t>
        </is>
      </c>
      <c r="C33" s="6" t="inlineStr">
        <is>
          <t>N.° de polígonos MSAVI del bloque</t>
        </is>
      </c>
      <c r="D33" s="39" t="n">
        <v>510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185 ha (de 188.80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20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1</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 Ing. Héctor Salomón Cahuas Miller / Ing. Juan Carlos Domínguez Varas</t>
        </is>
      </c>
      <c r="C44" s="6" t="inlineStr">
        <is>
          <t>Fecha de evaluación</t>
        </is>
      </c>
      <c r="D44" s="7" t="inlineStr">
        <is>
          <t>2026-05-22</t>
        </is>
      </c>
      <c r="E44" s="8" t="n"/>
      <c r="F44" s="8" t="n"/>
    </row>
    <row r="45">
      <c r="A45" s="6" t="inlineStr">
        <is>
          <t>Hora de registro</t>
        </is>
      </c>
      <c r="B45" s="7" t="inlineStr">
        <is>
          <t>07:07 h</t>
        </is>
      </c>
      <c r="C45" s="6" t="inlineStr">
        <is>
          <t>Correlativo de ficha</t>
        </is>
      </c>
      <c r="D45" s="7" t="inlineStr">
        <is>
          <t>DT-M1B1-001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la población rural respecto de los recursos del bosque seco (leña, pastoreo) sumada a la presión climática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0.1188</v>
      </c>
      <c r="C10" s="19">
        <f>ROUND(B10/$B$15*100,2)</f>
        <v/>
      </c>
      <c r="D10" s="11" t="inlineStr">
        <is>
          <t>Vigor alto</t>
        </is>
      </c>
      <c r="E10" s="11" t="inlineStr">
        <is>
          <t>Sobre umbral</t>
        </is>
      </c>
    </row>
    <row r="11">
      <c r="A11" s="12" t="inlineStr">
        <is>
          <t>0.4976 - 0.6139 · DN 4</t>
        </is>
      </c>
      <c r="B11" s="20" t="n">
        <v>1.0516</v>
      </c>
      <c r="C11" s="21">
        <f>ROUND(B11/$B$15*100,2)</f>
        <v/>
      </c>
      <c r="D11" s="13" t="inlineStr">
        <is>
          <t>Vigor moderado</t>
        </is>
      </c>
      <c r="E11" s="13" t="inlineStr">
        <is>
          <t>Sobre umbral</t>
        </is>
      </c>
    </row>
    <row r="12">
      <c r="A12" s="7" t="inlineStr">
        <is>
          <t>0.3813 - 0.4976 · DN 3</t>
        </is>
      </c>
      <c r="B12" s="18" t="n">
        <v>23.9701</v>
      </c>
      <c r="C12" s="19">
        <f>ROUND(B12/$B$15*100,2)</f>
        <v/>
      </c>
      <c r="D12" s="11" t="inlineStr">
        <is>
          <t>Vigor bajo</t>
        </is>
      </c>
      <c r="E12" s="11" t="inlineStr">
        <is>
          <t>BAJO umbral 0.4976</t>
        </is>
      </c>
    </row>
    <row r="13">
      <c r="A13" s="14" t="inlineStr">
        <is>
          <t>0.2650 - 0.3813 · DN 2</t>
        </is>
      </c>
      <c r="B13" s="30" t="n">
        <v>124.7542</v>
      </c>
      <c r="C13" s="29">
        <f>ROUND(B13/$B$15*100,2)</f>
        <v/>
      </c>
      <c r="D13" s="15" t="inlineStr">
        <is>
          <t>Vigor muy bajo</t>
        </is>
      </c>
      <c r="E13" s="15" t="inlineStr">
        <is>
          <t>BAJO umbral 0.4976</t>
        </is>
      </c>
    </row>
    <row r="14">
      <c r="A14" s="7" t="inlineStr">
        <is>
          <t>&lt;= 0.2650 · DN 1</t>
        </is>
      </c>
      <c r="B14" s="18" t="n">
        <v>38.9022</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510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188.8</v>
      </c>
      <c r="C18" s="48" t="inlineStr">
        <is>
          <t>—</t>
        </is>
      </c>
      <c r="D18" s="45" t="inlineStr">
        <is>
          <t>Desviación planimétrica frente al catálogo</t>
        </is>
      </c>
      <c r="E18" s="45" t="inlineStr">
        <is>
          <t>+0.00 %</t>
        </is>
      </c>
    </row>
    <row r="19">
      <c r="A19" s="16" t="inlineStr">
        <is>
          <t>MSAVI 2024 — MEDIA DEL BLOQUE</t>
        </is>
      </c>
      <c r="B19" s="17" t="n">
        <v>0.319305</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510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(0.3193)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1.3213</v>
      </c>
      <c r="C25" s="19" t="n">
        <v>0.7</v>
      </c>
      <c r="D25" s="11" t="inlineStr">
        <is>
          <t>Dosel continuo, matorral denso o mosaico agroforestal</t>
        </is>
      </c>
      <c r="E25" s="11" t="inlineStr"/>
    </row>
    <row r="26">
      <c r="A26" s="12" t="inlineStr">
        <is>
          <t>Vegetación mediana</t>
        </is>
      </c>
      <c r="B26" s="20" t="n">
        <v>77.7757</v>
      </c>
      <c r="C26" s="21" t="n">
        <v>41.18</v>
      </c>
      <c r="D26" s="13" t="inlineStr">
        <is>
          <t>Pastizal cultivado, matorral ralo, parcelas agrícolas</t>
        </is>
      </c>
      <c r="E26" s="13" t="inlineStr"/>
    </row>
    <row r="27">
      <c r="A27" s="7" t="inlineStr">
        <is>
          <t>Vegetación ligera</t>
        </is>
      </c>
      <c r="B27" s="18" t="n">
        <v>107.9118</v>
      </c>
      <c r="C27" s="19" t="n">
        <v>57.13</v>
      </c>
      <c r="D27" s="11" t="inlineStr">
        <is>
          <t>Cobertura discontinua, suelo parcialmente expuesto</t>
        </is>
      </c>
      <c r="E27" s="11" t="inlineStr"/>
    </row>
    <row r="28">
      <c r="A28" s="12" t="inlineStr">
        <is>
          <t>Tierra desnuda</t>
        </is>
      </c>
      <c r="B28" s="20" t="n">
        <v>1.8743</v>
      </c>
      <c r="C28" s="21" t="n">
        <v>0.99</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188.8</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0.70 % del polígono clasificado como «Vegetación alta» por el NDVI 2025; la observación de campo corresponde a una parcela o recorrido puntual y no es estadísticamente representativa de las 188.800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M1B1</t>
        </is>
      </c>
    </row>
    <row r="6" ht="24" customHeight="1">
      <c r="A6" s="4" t="inlineStr">
        <is>
          <t>Levantamiento del 2026-05-22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618460</v>
      </c>
      <c r="D10" s="26" t="n">
        <v>9410690</v>
      </c>
      <c r="E10" s="11" t="n">
        <v>1732.1</v>
      </c>
      <c r="F10" s="11" t="inlineStr"/>
      <c r="G10" s="11" t="inlineStr">
        <is>
          <t>Coordenada consignada en F-DT-01</t>
        </is>
      </c>
    </row>
    <row r="11">
      <c r="A11" s="12" t="inlineStr">
        <is>
          <t>C-01</t>
        </is>
      </c>
      <c r="B11" s="13" t="inlineStr">
        <is>
          <t>Rasgo erosivo — Cárcava somera (0.5-2 m) — 380 m long., 1.0 m prof., 1.5 m ancho</t>
        </is>
      </c>
      <c r="C11" s="27" t="n">
        <v>618300</v>
      </c>
      <c r="D11" s="27" t="n">
        <v>9410540</v>
      </c>
      <c r="E11" s="13" t="n">
        <v>1528.8</v>
      </c>
      <c r="F11" s="13" t="inlineStr">
        <is>
          <t>Semi-activa</t>
        </is>
      </c>
      <c r="G11" s="13" t="inlineStr">
        <is>
          <t>Concentración natural de escorrentía</t>
        </is>
      </c>
    </row>
    <row r="12">
      <c r="A12" s="7" t="inlineStr">
        <is>
          <t>H-01</t>
        </is>
      </c>
      <c r="B12" s="11" t="inlineStr">
        <is>
          <t>Fuente de agua — Quebrada estacional</t>
        </is>
      </c>
      <c r="C12" s="26" t="n">
        <v>618620</v>
      </c>
      <c r="D12" s="26" t="n">
        <v>9410820</v>
      </c>
      <c r="E12" s="11" t="n">
        <v>1921.3</v>
      </c>
      <c r="F12" s="11" t="inlineStr">
        <is>
          <t>Estacional</t>
        </is>
      </c>
      <c r="G12" s="11" t="inlineStr">
        <is>
          <t>Quebrada de Río Seco</t>
        </is>
      </c>
    </row>
    <row r="13">
      <c r="A13" s="12" t="inlineStr">
        <is>
          <t>H-02</t>
        </is>
      </c>
      <c r="B13" s="13" t="inlineStr">
        <is>
          <t>Fuente de agua — Río</t>
        </is>
      </c>
      <c r="C13" s="27" t="n">
        <v>619050</v>
      </c>
      <c r="D13" s="27" t="n">
        <v>9411000</v>
      </c>
      <c r="E13" s="13" t="n">
        <v>2304.5</v>
      </c>
      <c r="F13" s="13" t="inlineStr">
        <is>
          <t>Permanente</t>
        </is>
      </c>
      <c r="G13" s="13" t="inlineStr">
        <is>
          <t>Cauce de Río Seco al norte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617695</v>
      </c>
      <c r="C16" s="6" t="inlineStr">
        <is>
          <t>Centroide del bloque — UTM NORTE (m)</t>
        </is>
      </c>
      <c r="D16" s="7" t="n">
        <v>9409136</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56"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ingreso se realizó el 22-05-2026 desde la carretera Morropón-Buenos Aires, con punto de partida al pie del bloque (CP Río Seco), donde SE CONSTATÓ UN MURO DE CONTENCIÓN Y DESVÍO DE CAUCE de quebrada estacional que protege al CP de las avenidas en temporada de lluvias. El recorrido cubrió el sector basal y medio del flanco NE (cotas ≈235 a ≈360 msnm); EL SECTOR ALTO Y ROCOSO (refugio relictual de especies del ecosistema) NO FUE RECORRIDO por pendiente y tiempo. Si bien no se observaron remociones en masa activas ni escarpes extensos, LOS AFLORAMIENTOS ROCOSOS EN PENDIENTES FUERTES CONFIGURAN SUSCEPTIBILIDAD A CAÍDA DE ROCAS; el peligro dominante del bloque es LA GENERACIÓN DE ESCORRENTÍA CONCENTRADA hacia la Quebrada de Río Seco (zona de origen de inundaciones aguas abajo).</t>
        </is>
      </c>
      <c r="B19" s="40" t="n"/>
      <c r="C19" s="40" t="n"/>
      <c r="D19" s="40" t="n"/>
      <c r="E19" s="40" t="n"/>
      <c r="F19" s="40" t="n"/>
      <c r="G19" s="41"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C1077-Q9580 — BLOQUE M1B1</t>
        </is>
      </c>
    </row>
    <row r="6" ht="24" customHeight="1">
      <c r="A6" s="4" t="inlineStr">
        <is>
          <t>Distrito de Buenos Aires · Provincia de Morropon · Comparación de los bloques preliminares de intervención de la misma microcuenca</t>
        </is>
      </c>
    </row>
    <row r="7"/>
    <row r="8" ht="18" customHeight="1">
      <c r="A8" s="5" t="inlineStr">
        <is>
          <t>BLOQUES DE LA MICROCUENCA C1077-Q9580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M1B1</t>
        </is>
      </c>
      <c r="B10" s="28" t="n">
        <v>188.8</v>
      </c>
      <c r="C10" s="29" t="n">
        <v>100</v>
      </c>
      <c r="D10" s="15" t="inlineStr">
        <is>
          <t>173 – 477</t>
        </is>
      </c>
      <c r="E10" s="15" t="n">
        <v>304</v>
      </c>
      <c r="F10" s="15" t="n">
        <v>18.7</v>
      </c>
      <c r="G10" s="30" t="n">
        <v>0.3193</v>
      </c>
      <c r="H10" s="29" t="n">
        <v>0.7</v>
      </c>
      <c r="I10" s="29" t="n">
        <v>99.38</v>
      </c>
    </row>
    <row r="11">
      <c r="A11" s="16" t="inlineStr">
        <is>
          <t>TOTAL / PROMEDIO</t>
        </is>
      </c>
      <c r="B11" s="31">
        <f>SUM(B10:B10)</f>
        <v/>
      </c>
      <c r="C11" s="23">
        <f>SUM(C10:C10)</f>
        <v/>
      </c>
      <c r="D11" s="17" t="inlineStr">
        <is>
          <t>173 – 477</t>
        </is>
      </c>
      <c r="E11" s="17" t="inlineStr"/>
      <c r="F11" s="17">
        <f>ROUND(AVERAGE(F10:F10),2)</f>
        <v/>
      </c>
      <c r="G11" s="22">
        <f>ROUND(AVERAGE(G10:G10),4)</f>
        <v/>
      </c>
      <c r="H11" s="23">
        <f>ROUND(AVERAGE(H10:H10),2)</f>
        <v/>
      </c>
      <c r="I11" s="23">
        <f>ROUND(AVERAGE(I10:I10),2)</f>
        <v/>
      </c>
    </row>
    <row r="12"/>
    <row r="13" ht="84" customHeight="1">
      <c r="A13" s="9" t="inlineStr">
        <is>
          <t>LECTURA INTRAMICROCUENCA. El bloque M1B1 ocupa el puesto 1 de 1 por superficie dentro de la microcuenca C1077-Q9580 (100.00 % de las 188.80 ha preliminares de la microcuenca). Su pendiente promedio (18.70 %, clase «15-25% (Fuert. inclinado)») es la 1.ª más baja de 1 y se sitúa por encima del promedio de la microcuenca (18.70 %). Su MSAVI 2024 (0.3193) es el 1.º de 1 y queda por debajo del promedio local (0.3193). Amplitud altitudinal del bloque: 304 m (173–477 msnm). El cuadro conserva todos los bloques catalogados en la microcuenca, incluidos los descartados en el tamizaje, para referencia del conjunto. Los bloques sin ficha DT figuran con sus parámetros de gabinete. BRECHA ESPECTRAL. El 99.38 % de la superficie del bloque (187.627 ha de 188.797 ha) se sitúa bajo el umbral MSAVI 0.4976, igual al promedio local de la microcuenca (99.38 %) calculado sobre los bloques con dato MSAVI disponible.</t>
        </is>
      </c>
      <c r="B13" s="40" t="n"/>
      <c r="C13" s="40" t="n"/>
      <c r="D13" s="40" t="n"/>
      <c r="E13" s="40" t="n"/>
      <c r="F13" s="40" t="n"/>
      <c r="G13" s="40" t="n"/>
      <c r="H13" s="41" t="n"/>
    </row>
    <row r="14"/>
    <row r="15" ht="60" customHeight="1">
      <c r="A1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5" s="40" t="n"/>
      <c r="C15" s="40" t="n"/>
      <c r="D15" s="40" t="n"/>
      <c r="E15" s="40" t="n"/>
      <c r="F15" s="40" t="n"/>
      <c r="G15" s="40" t="n"/>
      <c r="H15" s="41" t="n"/>
    </row>
  </sheetData>
  <mergeCells count="9">
    <mergeCell ref="A1:I1"/>
    <mergeCell ref="A4:I4"/>
    <mergeCell ref="A3:I3"/>
    <mergeCell ref="A15:I15"/>
    <mergeCell ref="A2:I2"/>
    <mergeCell ref="A13:I13"/>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Ficha DT y catálogo maestro coinciden en «C1077-Q9580»</t>
        </is>
      </c>
      <c r="D10" s="33" t="inlineStr">
        <is>
          <t>CONFORME</t>
        </is>
      </c>
      <c r="E10" s="32" t="inlineStr">
        <is>
          <t>Sin acción.</t>
        </is>
      </c>
    </row>
    <row r="11" ht="48" customHeight="1">
      <c r="A11" s="34" t="inlineStr">
        <is>
          <t>D-02</t>
        </is>
      </c>
      <c r="B11" s="34" t="inlineStr">
        <is>
          <t>UTM del punto de muestreo</t>
        </is>
      </c>
      <c r="C11" s="34" t="inlineStr">
        <is>
          <t>El punto de muestreo declarado (618460 E / 9410690 N) dista 1,732 m del centroide de catálogo (617695 E / 9409136 N), distancia incompatible con la superficie del bloque (188.8 ha)</t>
        </is>
      </c>
      <c r="D11" s="35"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(188.883 ha) coincide con la de catálogo (188.8 ha) dentro del ±2 % (+0.04 %)</t>
        </is>
      </c>
      <c r="D12" s="33"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18.70 %,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60 % de cobertura vegetal en campo; el NDVI mediana 2025 clasifica 99.01 %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13 taxones, por debajo del mínimo de 15 que exige el formato V5</t>
        </is>
      </c>
      <c r="D15" s="35"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5"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«Río Seco»; el cruce INEI-Bloques V5 identifica 1 centro(s) poblado(s) en el bloque: RIO SECO</t>
        </is>
      </c>
      <c r="D17" s="15" t="inlineStr">
        <is>
          <t>NO SUSTANTIVA</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5"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Plan de Ingreso</t>
        </is>
      </c>
      <c r="C19" s="34" t="inlineStr">
        <is>
          <t>Altitud = 0 msnm (captura por defecto del aplicativo)</t>
        </is>
      </c>
      <c r="D19" s="36" t="inlineStr">
        <is>
          <t>CORREGIDO</t>
        </is>
      </c>
      <c r="E19" s="34" t="inlineStr">
        <is>
          <t>Se reemplaza por la altitud GPS de campo (340 msnm)</t>
        </is>
      </c>
    </row>
    <row r="20" ht="48" customHeight="1">
      <c r="A20" s="32" t="inlineStr">
        <is>
          <t>D-11</t>
        </is>
      </c>
      <c r="B20" s="32" t="inlineStr">
        <is>
          <t>F-DT-01</t>
        </is>
      </c>
      <c r="C20" s="32" t="inlineStr">
        <is>
          <t>El sector alto y rocoso del bloque —refugio relictual de las especies del ecosistema— NO fue recorrido</t>
        </is>
      </c>
      <c r="D20" s="35" t="inlineStr">
        <is>
          <t>SUSTANTIVA</t>
        </is>
      </c>
      <c r="E20" s="32" t="inlineStr">
        <is>
          <t>La caracterización del sector alto queda pendiente</t>
        </is>
      </c>
    </row>
    <row r="21" ht="48" customHeight="1">
      <c r="A21" s="34" t="inlineStr">
        <is>
          <t>D-12</t>
        </is>
      </c>
      <c r="B21" s="34" t="inlineStr">
        <is>
          <t>F-DT-03</t>
        </is>
      </c>
      <c r="C21" s="34" t="inlineStr">
        <is>
          <t>Listado florístico preliminar; nombres científicos sujetos a colecta botánica</t>
        </is>
      </c>
      <c r="D21" s="15" t="inlineStr">
        <is>
          <t>NO SUSTANTIVA</t>
        </is>
      </c>
      <c r="E21" s="34" t="inlineStr">
        <is>
          <t>Determinación formal pendiente</t>
        </is>
      </c>
    </row>
    <row r="22" ht="48" customHeight="1">
      <c r="A22" s="32" t="inlineStr">
        <is>
          <t>D-13</t>
        </is>
      </c>
      <c r="B22" s="32" t="inlineStr">
        <is>
          <t>F-DT-03</t>
        </is>
      </c>
      <c r="C22" s="32" t="inlineStr">
        <is>
          <t>Tres especies en Peligro Crítico (D.S. 043-2006-AG) georreferenciadas dentro del bloque</t>
        </is>
      </c>
      <c r="D22" s="35" t="inlineStr">
        <is>
          <t>SUSTANTIVA</t>
        </is>
      </c>
      <c r="E22" s="32" t="inlineStr">
        <is>
          <t>Alto valor de conservación: incorporar al diseño de MRR-CCC y al plan de manejo</t>
        </is>
      </c>
    </row>
    <row r="23" ht="48" customHeight="1">
      <c r="A23" s="34" t="inlineStr">
        <is>
          <t>D-14</t>
        </is>
      </c>
      <c r="B23" s="34" t="inlineStr">
        <is>
          <t>F-DT-04</t>
        </is>
      </c>
      <c r="C23" s="34" t="inlineStr">
        <is>
          <t>Especies invasoras al 30% del área (Ipomoea carnea, no palatable): nivel ALTO</t>
        </is>
      </c>
      <c r="D23" s="35" t="inlineStr">
        <is>
          <t>SUSTANTIVA</t>
        </is>
      </c>
      <c r="E23" s="34" t="inlineStr">
        <is>
          <t>Requiere medida específica de control en el diseño de la revegetación</t>
        </is>
      </c>
    </row>
    <row r="24" ht="48" customHeight="1">
      <c r="A24" s="34" t="inlineStr">
        <is>
          <t>D-15</t>
        </is>
      </c>
      <c r="B24" s="34" t="inlineStr">
        <is>
          <t>Distribución areal MSAVI 2024</t>
        </is>
      </c>
      <c r="C24" s="34" t="inlineStr">
        <is>
          <t>La distribución por clase de MSAVI no figuraba en los insumos del entregable y se consignaba «Por determinar»; se incorpora la estadística zonal del ráster MSAVI clasificado (510 polígonos, 188.797 ha)</t>
        </is>
      </c>
      <c r="D24" s="35" t="inlineStr">
        <is>
          <t>CORREGIDO</t>
        </is>
      </c>
      <c r="E24"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4" t="inlineStr">
        <is>
          <t>D-16</t>
        </is>
      </c>
      <c r="B25" s="34" t="inlineStr">
        <is>
          <t>Superficie MSAVI vs. catálogo</t>
        </is>
      </c>
      <c r="C25" s="34" t="inlineStr">
        <is>
          <t>La superficie total clasificada por el MSAVI 2024 (188.797 ha) frente a la de catálogo V5/V6 (188.800 ha): desviación de +0.00 %</t>
        </is>
      </c>
      <c r="D25" s="35" t="inlineStr">
        <is>
          <t>CONFORME</t>
        </is>
      </c>
      <c r="E25" s="34" t="inlineStr">
        <is>
          <t>Sin acción: la segmentación del ráster valida la geometría del bloque dentro del ±2 %.</t>
        </is>
      </c>
    </row>
    <row r="26" ht="48" customHeight="1">
      <c r="A26" s="34" t="inlineStr">
        <is>
          <t>D-17</t>
        </is>
      </c>
      <c r="B26" s="34" t="inlineStr">
        <is>
          <t>Media MSAVI vs. clase DN dominante</t>
        </is>
      </c>
      <c r="C26" s="34" t="inlineStr">
        <is>
          <t>La media del bloque (0.3193) cae en la clase «DN 2 · 0.2650 - 0.3813 (Vigor muy bajo)»; la clase de mayor superficie es «DN 2 · 0.2650 - 0.3813 (Vigor muy bajo)», con 66.08 % del bloque. Superficie bajo el umbral 0.4976: 187.627 ha (99.38 %)</t>
        </is>
      </c>
      <c r="D26" s="35" t="inlineStr">
        <is>
          <t>CONFORME</t>
        </is>
      </c>
      <c r="E26" s="34" t="inlineStr">
        <is>
          <t>Sin acción: la media del bloque y la clase de mayor superficie coinciden.</t>
        </is>
      </c>
    </row>
    <row r="27"/>
    <row r="28">
      <c r="A28" s="16" t="inlineStr">
        <is>
          <t>RESUMEN</t>
        </is>
      </c>
      <c r="B28" s="17" t="inlineStr">
        <is>
          <t>17 verificaciones</t>
        </is>
      </c>
      <c r="C28" s="17" t="inlineStr">
        <is>
          <t>CONFORME: 4 · CORREGIDO: 2 · NO SUSTANTIVA: 4 · SUSTANTIVA: 7</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0" t="n"/>
      <c r="C30" s="40" t="n"/>
      <c r="D30" s="40" t="n"/>
      <c r="E30" s="41"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M1B1 — IN Piura</dc:title>
  <dc:subject>Diagnóstico Territorial por bloque de intervención</dc:subject>
  <dcterms:created xsi:type="dcterms:W3CDTF">2026-09-08T03:39:58Z</dcterms:created>
  <dcterms:modified xsi:type="dcterms:W3CDTF">2026-09-09T23:30:55Z</dcterms:modified>
</cp:coreProperties>
</file>