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Caserío El Ala (~250 m al norte del límite)</t>
        </is>
      </c>
      <c r="C13" s="6" t="inlineStr">
        <is>
          <t>Comunidad campesina</t>
        </is>
      </c>
      <c r="D13" s="7" t="inlineStr">
        <is>
          <t>Hualas (referencial - por confirmar con Ronda Campesina)</t>
        </is>
      </c>
      <c r="E13" s="8" t="n"/>
      <c r="F13" s="8" t="n"/>
    </row>
    <row r="14">
      <c r="A14" s="6" t="inlineStr">
        <is>
          <t>Superficie de catálogo (V5/V6), ha</t>
        </is>
      </c>
      <c r="B14" s="7" t="n">
        <v>295.73</v>
      </c>
      <c r="C14" s="6" t="inlineStr">
        <is>
          <t>Fuente de superficie</t>
        </is>
      </c>
      <c r="D14" s="7" t="inlineStr">
        <is>
          <t>Catálogo maestro Bloques V5/V6</t>
        </is>
      </c>
      <c r="E14" s="8" t="n"/>
      <c r="F14" s="8" t="n"/>
    </row>
    <row r="15">
      <c r="A15" s="6" t="inlineStr">
        <is>
          <t>Centroide UTM ESTE (m)</t>
        </is>
      </c>
      <c r="B15" s="7" t="n">
        <v>617860</v>
      </c>
      <c r="C15" s="6" t="inlineStr">
        <is>
          <t>Centroide UTM NORTE (m)</t>
        </is>
      </c>
      <c r="D15" s="7" t="n">
        <v>9413182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150</v>
      </c>
      <c r="C19" s="6" t="inlineStr">
        <is>
          <t>Altitud máxima (msnm)</t>
        </is>
      </c>
      <c r="D19" s="7" t="n">
        <v>377</v>
      </c>
      <c r="E19" s="8" t="n"/>
      <c r="F19" s="8" t="n"/>
    </row>
    <row r="20">
      <c r="A20" s="6" t="inlineStr">
        <is>
          <t>Amplitud altitudinal (m)</t>
        </is>
      </c>
      <c r="B20" s="7" t="n">
        <v>227</v>
      </c>
      <c r="C20" s="6" t="inlineStr">
        <is>
          <t>Piso altitudinal dominante</t>
        </is>
      </c>
      <c r="D20" s="7" t="inlineStr">
        <is>
          <t>&lt;1000 m (Yunga)</t>
        </is>
      </c>
      <c r="E20" s="8" t="n"/>
      <c r="F20" s="8" t="n"/>
    </row>
    <row r="21">
      <c r="A21" s="6" t="inlineStr">
        <is>
          <t>Pendiente promedio (%)</t>
        </is>
      </c>
      <c r="B21" s="7" t="n">
        <v>18.57</v>
      </c>
      <c r="C21" s="6" t="inlineStr">
        <is>
          <t>Pendiente promedio (grados)</t>
        </is>
      </c>
      <c r="D21" s="7" t="n">
        <v>10.5</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0.3394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(64.60 %)</t>
        </is>
      </c>
      <c r="E29" s="8" t="n"/>
      <c r="F29" s="8" t="n"/>
    </row>
    <row r="30">
      <c r="A30" s="6" t="inlineStr">
        <is>
          <t>Superficie clasificada NDVI 2025 (ha)</t>
        </is>
      </c>
      <c r="B30" s="7" t="n">
        <v>295.861</v>
      </c>
      <c r="C30" s="6" t="inlineStr">
        <is>
          <t>Desviación frente al catálogo (%)</t>
        </is>
      </c>
      <c r="D30" s="7" t="n">
        <v>0.04</v>
      </c>
      <c r="E30" s="8" t="n"/>
      <c r="F30" s="8" t="n"/>
    </row>
    <row r="31">
      <c r="A31" s="6" t="inlineStr">
        <is>
          <t>Superficie clasificada MSAVI 2024 (ha)</t>
        </is>
      </c>
      <c r="B31" s="38" t="n">
        <v>295.726</v>
      </c>
      <c r="C31" s="6" t="inlineStr">
        <is>
          <t>Desviación MSAVI frente al catálogo (%)</t>
        </is>
      </c>
      <c r="D31" s="39" t="n">
        <v>0</v>
      </c>
      <c r="E31" s="8" t="n"/>
      <c r="F31" s="8" t="n"/>
    </row>
    <row r="32">
      <c r="A32" s="6" t="inlineStr">
        <is>
          <t>Superficie bajo umbral MSAVI 0.4976 (ha)</t>
        </is>
      </c>
      <c r="B32" s="38" t="n">
        <v>295.281</v>
      </c>
      <c r="C32" s="6" t="inlineStr">
        <is>
          <t>% del bloque bajo umbral (brecha espectral)</t>
        </is>
      </c>
      <c r="D32" s="39" t="n">
        <v>99.84999999999999</v>
      </c>
      <c r="E32" s="8" t="n"/>
      <c r="F32" s="8" t="n"/>
    </row>
    <row r="33">
      <c r="A33" s="6" t="inlineStr">
        <is>
          <t>Clase DN dominante (MSAVI 2024)</t>
        </is>
      </c>
      <c r="B33" s="7" t="inlineStr">
        <is>
          <t>DN 2 · 0.2650 - 0.3813 (Vigor muy bajo)</t>
        </is>
      </c>
      <c r="C33" s="6" t="inlineStr">
        <is>
          <t>N.° de polígonos MSAVI del bloque</t>
        </is>
      </c>
      <c r="D33" s="40" t="n">
        <v>901</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295.73 ha</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13</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4</v>
      </c>
      <c r="E40" s="8" t="n"/>
      <c r="F40" s="8" t="n"/>
    </row>
    <row r="41">
      <c r="A41" s="6" t="inlineStr">
        <is>
          <t>Elenco florístico (n.° de taxones)</t>
        </is>
      </c>
      <c r="B41" s="7" t="n">
        <v>14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Carlos Domínguez Varas</t>
        </is>
      </c>
      <c r="C44" s="6" t="inlineStr">
        <is>
          <t>Fecha de evaluación</t>
        </is>
      </c>
      <c r="D44" s="7" t="inlineStr">
        <is>
          <t>2026-05-14</t>
        </is>
      </c>
      <c r="E44" s="8" t="n"/>
      <c r="F44" s="8" t="n"/>
    </row>
    <row r="45">
      <c r="A45" s="6" t="inlineStr">
        <is>
          <t>Hora de registro</t>
        </is>
      </c>
      <c r="B45" s="7" t="inlineStr">
        <is>
          <t>10:05 a.m.</t>
        </is>
      </c>
      <c r="C45" s="6" t="inlineStr">
        <is>
          <t>Correlativo de ficha</t>
        </is>
      </c>
      <c r="D45" s="7" t="inlineStr">
        <is>
          <t>F-DT-2026-B5-001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P-B5-01</t>
        </is>
      </c>
      <c r="E47" s="8" t="n"/>
      <c r="F47" s="8" t="n"/>
    </row>
    <row r="48">
      <c r="A48" s="6" t="inlineStr">
        <is>
          <t>Estaciones fotográficas georreferenciadas</t>
        </is>
      </c>
      <c r="B48" s="7" t="inlineStr">
        <is>
          <t>Sin registro en la ficha DT</t>
        </is>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Pobreza rural + ausencia de planes comunitarios de manejo silvopastoril + tenencia difusa de la tierra + baja adopción de prácticas de conservación</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0.0</v>
      </c>
      <c r="D10" s="11" t="inlineStr">
        <is>
          <t>Vigor alto</t>
        </is>
      </c>
      <c r="E10" s="11" t="inlineStr">
        <is>
          <t>Sobre umbral</t>
        </is>
      </c>
    </row>
    <row r="11">
      <c r="A11" s="12" t="inlineStr">
        <is>
          <t>0.4976 - 0.6139 · DN 4</t>
        </is>
      </c>
      <c r="B11" s="20" t="n">
        <v>0.4454</v>
      </c>
      <c r="C11" s="21">
        <f>ROUND(B11/$B$15*100,2)</f>
        <v>0.15</v>
      </c>
      <c r="D11" s="13" t="inlineStr">
        <is>
          <t>Vigor moderado</t>
        </is>
      </c>
      <c r="E11" s="13" t="inlineStr">
        <is>
          <t>Sobre umbral</t>
        </is>
      </c>
    </row>
    <row r="12">
      <c r="A12" s="7" t="inlineStr">
        <is>
          <t>0.3813 - 0.4976 · DN 3</t>
        </is>
      </c>
      <c r="B12" s="18" t="n">
        <v>74.8554</v>
      </c>
      <c r="C12" s="19">
        <f>ROUND(B12/$B$15*100,2)</f>
        <v>25.31</v>
      </c>
      <c r="D12" s="11" t="inlineStr">
        <is>
          <t>Vigor bajo</t>
        </is>
      </c>
      <c r="E12" s="11" t="inlineStr">
        <is>
          <t>BAJO umbral 0.4976</t>
        </is>
      </c>
    </row>
    <row r="13">
      <c r="A13" s="14" t="inlineStr">
        <is>
          <t>0.2650 - 0.3813 · DN 2</t>
        </is>
      </c>
      <c r="B13" s="32" t="n">
        <v>186.949</v>
      </c>
      <c r="C13" s="31">
        <f>ROUND(B13/$B$15*100,2)</f>
        <v>63.22</v>
      </c>
      <c r="D13" s="15" t="inlineStr">
        <is>
          <t>Vigor muy bajo</t>
        </is>
      </c>
      <c r="E13" s="15" t="inlineStr">
        <is>
          <t>BAJO umbral 0.4976</t>
        </is>
      </c>
    </row>
    <row r="14">
      <c r="A14" s="7" t="inlineStr">
        <is>
          <t>&lt;= 0.2650 · DN 1</t>
        </is>
      </c>
      <c r="B14" s="18" t="n">
        <v>33.4763</v>
      </c>
      <c r="C14" s="19">
        <f>ROUND(B14/$B$15*100,2)</f>
        <v>11.32</v>
      </c>
      <c r="D14" s="11" t="inlineStr">
        <is>
          <t>Suelo desnudo / no vegetal</t>
        </is>
      </c>
      <c r="E14" s="11" t="inlineStr">
        <is>
          <t>BAJO umbral 0.4976</t>
        </is>
      </c>
    </row>
    <row r="15" ht="30" customHeight="1">
      <c r="A15" s="43" t="inlineStr">
        <is>
          <t>TOTAL CLASIFICADO MSAVI 2024</t>
        </is>
      </c>
      <c r="B15" s="44">
        <f>SUM(B10:B14)</f>
        <v>295.7261</v>
      </c>
      <c r="C15" s="45">
        <f>SUM(C10:C14)</f>
        <v>100.0</v>
      </c>
      <c r="D15" s="43" t="inlineStr">
        <is>
          <t>Suma de la distribución areal · 901 polígonos</t>
        </is>
      </c>
      <c r="E15" s="43" t="inlineStr">
        <is>
          <t>—</t>
        </is>
      </c>
    </row>
    <row r="16" ht="30" customHeight="1">
      <c r="A16" s="46" t="inlineStr">
        <is>
          <t>Superficie SOBRE umbral 0.4976 (ha)</t>
        </is>
      </c>
      <c r="B16" s="47">
        <f>SUM(B10:B11)</f>
        <v>0.4454</v>
      </c>
      <c r="C16" s="48">
        <f>ROUND(B16/B15*100,2)</f>
        <v>0.15</v>
      </c>
      <c r="D16" s="46" t="inlineStr">
        <is>
          <t>Vigor alto y moderado (DN 4 y DN 5)</t>
        </is>
      </c>
      <c r="E16" s="46" t="inlineStr">
        <is>
          <t>Sobre umbral 0.4976</t>
        </is>
      </c>
    </row>
    <row r="17" ht="30" customHeight="1">
      <c r="A17" s="46" t="inlineStr">
        <is>
          <t>Superficie BAJO umbral 0.4976 (ha) — brecha</t>
        </is>
      </c>
      <c r="B17" s="47">
        <f>SUM(B12:B14)</f>
        <v>295.2807</v>
      </c>
      <c r="C17" s="48">
        <f>ROUND(B17/B15*100,2)</f>
        <v>99.85</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295.73</v>
      </c>
      <c r="C18" s="49" t="inlineStr">
        <is>
          <t>—</t>
        </is>
      </c>
      <c r="D18" s="46" t="inlineStr">
        <is>
          <t>Desviación planimétrica frente al catálogo</t>
        </is>
      </c>
      <c r="E18" s="46" t="inlineStr">
        <is>
          <t>+0.00 %</t>
        </is>
      </c>
    </row>
    <row r="19">
      <c r="A19" s="16" t="inlineStr">
        <is>
          <t>MSAVI 2024 — MEDIA DEL BLOQUE</t>
        </is>
      </c>
      <c r="B19" s="17" t="n">
        <v>0.3394</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901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(0.3394)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16.5447</v>
      </c>
      <c r="C25" s="19" t="n">
        <v>5.59</v>
      </c>
      <c r="D25" s="11" t="inlineStr">
        <is>
          <t>Dosel continuo, matorral denso o mosaico agroforestal</t>
        </is>
      </c>
      <c r="E25" s="11" t="inlineStr"/>
    </row>
    <row r="26">
      <c r="A26" s="12" t="inlineStr">
        <is>
          <t>Vegetación mediana</t>
        </is>
      </c>
      <c r="B26" s="20" t="n">
        <v>191.1145</v>
      </c>
      <c r="C26" s="21" t="n">
        <v>64.59999999999999</v>
      </c>
      <c r="D26" s="13" t="inlineStr">
        <is>
          <t>Pastizal cultivado, matorral ralo, parcelas agrícolas</t>
        </is>
      </c>
      <c r="E26" s="13" t="inlineStr"/>
    </row>
    <row r="27">
      <c r="A27" s="7" t="inlineStr">
        <is>
          <t>Vegetación ligera</t>
        </is>
      </c>
      <c r="B27" s="18" t="n">
        <v>82.94370000000001</v>
      </c>
      <c r="C27" s="19" t="n">
        <v>28.03</v>
      </c>
      <c r="D27" s="11" t="inlineStr">
        <is>
          <t>Cobertura discontinua, suelo parcialmente expuesto</t>
        </is>
      </c>
      <c r="E27" s="11" t="inlineStr"/>
    </row>
    <row r="28">
      <c r="A28" s="12" t="inlineStr">
        <is>
          <t>Tierra desnuda</t>
        </is>
      </c>
      <c r="B28" s="20" t="n">
        <v>5.258</v>
      </c>
      <c r="C28" s="21" t="n">
        <v>1.78</v>
      </c>
      <c r="D28" s="13" t="inlineStr">
        <is>
          <t>Suelo desnudo, afloramientos, plataformas y taludes</t>
        </is>
      </c>
      <c r="E28" s="13" t="inlineStr"/>
    </row>
    <row r="29">
      <c r="A29" s="16" t="inlineStr">
        <is>
          <t>TOTAL CLASIFICADO</t>
        </is>
      </c>
      <c r="B29" s="22">
        <f>SUM(B25:B28)</f>
        <v>295.8609</v>
      </c>
      <c r="C29" s="23">
        <f>SUM(C25:C28)</f>
        <v>100.0</v>
      </c>
      <c r="D29" s="17" t="inlineStr"/>
      <c r="E29" s="17" t="inlineStr"/>
    </row>
    <row r="30">
      <c r="A30" s="24" t="inlineStr">
        <is>
          <t>Superficie de catálogo (V5/V6)</t>
        </is>
      </c>
      <c r="B30" s="25" t="n">
        <v>295.73</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5.59 % del polígono clasificado como «Vegetación alta» por el NDVI 2025; la observación de campo corresponde a una parcela o recorrido puntual y no es estadísticamente representativa de las 295.730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t>
        </is>
      </c>
    </row>
    <row r="6" ht="24" customHeight="1">
      <c r="A6" s="4" t="inlineStr">
        <is>
          <t>Levantamiento del 2026-05-14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618722</v>
      </c>
      <c r="D10" s="26" t="n">
        <v>9413102</v>
      </c>
      <c r="E10" s="11" t="n">
        <v>865.7</v>
      </c>
      <c r="F10" s="11" t="inlineStr"/>
      <c r="G10" s="11" t="inlineStr">
        <is>
          <t>Coordenada consignada en F-DT-01</t>
        </is>
      </c>
    </row>
    <row r="11">
      <c r="A11" s="12" t="inlineStr">
        <is>
          <t>C-01</t>
        </is>
      </c>
      <c r="B11" s="13" t="inlineStr">
        <is>
          <t>Rasgo erosivo — Cárcava incipiente (30-50 cm)</t>
        </is>
      </c>
      <c r="C11" s="27" t="n">
        <v>618650</v>
      </c>
      <c r="D11" s="27" t="n">
        <v>9413100</v>
      </c>
      <c r="E11" s="13" t="n">
        <v>794.2</v>
      </c>
      <c r="F11" s="13" t="inlineStr">
        <is>
          <t>Semi-activa</t>
        </is>
      </c>
      <c r="G11" s="13" t="inlineStr">
        <is>
          <t>Concentración natural de escorrentía</t>
        </is>
      </c>
    </row>
    <row r="12">
      <c r="A12" s="7" t="inlineStr">
        <is>
          <t>C-02</t>
        </is>
      </c>
      <c r="B12" s="11" t="inlineStr">
        <is>
          <t>Rasgo erosivo — Cárcava somera (0.5-2 m)</t>
        </is>
      </c>
      <c r="C12" s="26" t="n">
        <v>618620</v>
      </c>
      <c r="D12" s="26" t="n">
        <v>9413110</v>
      </c>
      <c r="E12" s="11" t="n">
        <v>763.4</v>
      </c>
      <c r="F12" s="11" t="inlineStr">
        <is>
          <t>Activa</t>
        </is>
      </c>
      <c r="G12" s="11" t="inlineStr">
        <is>
          <t>Socavamiento de cauce</t>
        </is>
      </c>
    </row>
    <row r="13">
      <c r="A13" s="12" t="inlineStr">
        <is>
          <t>C-03</t>
        </is>
      </c>
      <c r="B13" s="13" t="inlineStr">
        <is>
          <t>Rasgo erosivo — Surco (&lt;30 cm)</t>
        </is>
      </c>
      <c r="C13" s="27" t="n">
        <v>618700</v>
      </c>
      <c r="D13" s="27" t="n">
        <v>9413105</v>
      </c>
      <c r="E13" s="13" t="n">
        <v>843.5</v>
      </c>
      <c r="F13" s="13" t="inlineStr">
        <is>
          <t>Activa</t>
        </is>
      </c>
      <c r="G13" s="13" t="inlineStr">
        <is>
          <t>Caminos / huellas de ganado</t>
        </is>
      </c>
    </row>
    <row r="14">
      <c r="A14" s="7" t="inlineStr">
        <is>
          <t>C-04</t>
        </is>
      </c>
      <c r="B14" s="11" t="inlineStr">
        <is>
          <t>Rasgo erosivo — Surco (&lt;30 cm)</t>
        </is>
      </c>
      <c r="C14" s="26" t="n">
        <v>618680</v>
      </c>
      <c r="D14" s="26" t="n">
        <v>9413090</v>
      </c>
      <c r="E14" s="11" t="n">
        <v>825.1</v>
      </c>
      <c r="F14" s="11" t="inlineStr">
        <is>
          <t>Activa</t>
        </is>
      </c>
      <c r="G14" s="11" t="inlineStr">
        <is>
          <t>Caminos / huellas de ganado</t>
        </is>
      </c>
    </row>
    <row r="15">
      <c r="A15" s="12" t="inlineStr">
        <is>
          <t>H-01</t>
        </is>
      </c>
      <c r="B15" s="13" t="inlineStr">
        <is>
          <t>Fuente de agua — Quebrada estacional</t>
        </is>
      </c>
      <c r="C15" s="27" t="n">
        <v>614511</v>
      </c>
      <c r="D15" s="27" t="n">
        <v>9414400</v>
      </c>
      <c r="E15" s="13" t="n">
        <v>3563.6</v>
      </c>
      <c r="F15" s="13" t="inlineStr"/>
      <c r="G15" s="13" t="inlineStr">
        <is>
          <t>Quebrada s/n - drenaje</t>
        </is>
      </c>
    </row>
    <row r="16">
      <c r="A16" s="7" t="inlineStr">
        <is>
          <t>H-02</t>
        </is>
      </c>
      <c r="B16" s="11" t="inlineStr">
        <is>
          <t>Fuente de agua — Reservorio / Represa</t>
        </is>
      </c>
      <c r="C16" s="26" t="n">
        <v>613891</v>
      </c>
      <c r="D16" s="26" t="n">
        <v>9415280</v>
      </c>
      <c r="E16" s="11" t="n">
        <v>4489.4</v>
      </c>
      <c r="F16" s="11" t="inlineStr">
        <is>
          <t>Permanente</t>
        </is>
      </c>
      <c r="G16" s="11" t="inlineStr">
        <is>
          <t>Tanque / mini-reservorio</t>
        </is>
      </c>
    </row>
    <row r="17">
      <c r="A17" s="12" t="inlineStr">
        <is>
          <t>H-03</t>
        </is>
      </c>
      <c r="B17" s="13" t="inlineStr">
        <is>
          <t>Fuente de agua — Río</t>
        </is>
      </c>
      <c r="C17" s="27" t="n">
        <v>615000</v>
      </c>
      <c r="D17" s="27" t="n">
        <v>9414500</v>
      </c>
      <c r="E17" s="13" t="n">
        <v>3149.1</v>
      </c>
      <c r="F17" s="13" t="inlineStr">
        <is>
          <t>Permanente</t>
        </is>
      </c>
      <c r="G17" s="13" t="inlineStr">
        <is>
          <t>Río Piura - uso doméstico</t>
        </is>
      </c>
    </row>
    <row r="18">
      <c r="A18" s="7" t="inlineStr">
        <is>
          <t>H-04</t>
        </is>
      </c>
      <c r="B18" s="11" t="inlineStr">
        <is>
          <t>Fuente de agua — Otro</t>
        </is>
      </c>
      <c r="C18" s="26" t="n">
        <v>617500</v>
      </c>
      <c r="D18" s="26" t="n">
        <v>9413600</v>
      </c>
      <c r="E18" s="11" t="n">
        <v>551.7</v>
      </c>
      <c r="F18" s="11" t="inlineStr"/>
      <c r="G18" s="11" t="inlineStr">
        <is>
          <t>Punto interno CT1</t>
        </is>
      </c>
    </row>
    <row r="19">
      <c r="A19" s="16" t="inlineStr">
        <is>
          <t>TOTAL: 9 puntos</t>
        </is>
      </c>
      <c r="B19" s="17" t="inlineStr"/>
      <c r="C19" s="17" t="inlineStr"/>
      <c r="D19" s="17" t="inlineStr"/>
      <c r="E19" s="17" t="inlineStr"/>
      <c r="F19" s="17" t="inlineStr"/>
      <c r="G19" s="17" t="inlineStr"/>
    </row>
    <row r="20"/>
    <row r="21">
      <c r="A21" s="6" t="inlineStr">
        <is>
          <t>Centroide del bloque — UTM ESTE (m)</t>
        </is>
      </c>
      <c r="B21" s="7" t="n">
        <v>617860</v>
      </c>
      <c r="C21" s="6" t="inlineStr">
        <is>
          <t>Centroide del bloque — UTM NORTE (m)</t>
        </is>
      </c>
      <c r="D21" s="7" t="n">
        <v>9413182</v>
      </c>
      <c r="E21" s="8" t="n"/>
      <c r="F21" s="8" t="n"/>
      <c r="G21" s="8" t="n"/>
      <c r="H21" s="8" t="n"/>
    </row>
    <row r="22">
      <c r="A22" s="6" t="inlineStr">
        <is>
          <t>N.° de estaciones fotográficas declaradas</t>
        </is>
      </c>
      <c r="B22" s="7" t="inlineStr">
        <is>
          <t>Sin registro en la ficha DT</t>
        </is>
      </c>
      <c r="C22" s="6" t="inlineStr">
        <is>
          <t>Estaciones dentro del polígono</t>
        </is>
      </c>
      <c r="D22" s="7" t="inlineStr">
        <is>
          <t>Por determinar</t>
        </is>
      </c>
      <c r="E22" s="8" t="n"/>
      <c r="F22" s="8" t="n"/>
      <c r="G22" s="8" t="n"/>
      <c r="H22" s="8" t="n"/>
    </row>
    <row r="23"/>
    <row r="24" ht="120"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Aunque no se evidencian movimientos en masa activos a escala de polígono, la combinación de pendientes 25-50% con cobertura discontinua, suelos delgados sobre material parental rocoso y precipitaciones erráticas de alta intensidad (ENSO costero) configura susceptibilidad media-alta a generación de escorrentía y arrastre de sedimentos. El bloque actúa como zona de ORIGEN del peligro de inundación que afecta aguas abajo a Buenos Aires, Bigote y Salitral.</t>
        </is>
      </c>
      <c r="B24" s="41" t="n"/>
      <c r="C24" s="41" t="n"/>
      <c r="D24" s="41" t="n"/>
      <c r="E24" s="41" t="n"/>
      <c r="F24" s="41" t="n"/>
      <c r="G24" s="42" t="n"/>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5</t>
        </is>
      </c>
    </row>
    <row r="6" ht="24" customHeight="1">
      <c r="A6" s="4" t="inlineStr">
        <is>
          <t>Distrito de Buenos Aires · Provincia de Morropon · Comparación de los bloques preliminares de intervención de la misma microcuenca</t>
        </is>
      </c>
    </row>
    <row r="7"/>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M6B2-1</t>
        </is>
      </c>
      <c r="B10" s="28" t="n">
        <v>514.36</v>
      </c>
      <c r="C10" s="19" t="n">
        <v>33.1</v>
      </c>
      <c r="D10" s="11" t="inlineStr">
        <is>
          <t>181 – 504</t>
        </is>
      </c>
      <c r="E10" s="11" t="n">
        <v>323</v>
      </c>
      <c r="F10" s="11" t="n">
        <v>16.84</v>
      </c>
      <c r="G10" s="18" t="n">
        <v>0.3381</v>
      </c>
      <c r="H10" s="19" t="n">
        <v>0.98</v>
      </c>
      <c r="I10" s="19" t="n">
        <v>98.98999999999999</v>
      </c>
    </row>
    <row r="11">
      <c r="A11" s="12" t="inlineStr">
        <is>
          <t>M6B2-2</t>
        </is>
      </c>
      <c r="B11" s="29" t="n">
        <v>333.01</v>
      </c>
      <c r="C11" s="21" t="n">
        <v>21.43</v>
      </c>
      <c r="D11" s="13" t="inlineStr">
        <is>
          <t>195 – 440</t>
        </is>
      </c>
      <c r="E11" s="13" t="n">
        <v>245</v>
      </c>
      <c r="F11" s="13" t="n">
        <v>14.33</v>
      </c>
      <c r="G11" s="20" t="n">
        <v>0.3026</v>
      </c>
      <c r="H11" s="21" t="n">
        <v>0.68</v>
      </c>
      <c r="I11" s="21" t="n">
        <v>99</v>
      </c>
    </row>
    <row r="12">
      <c r="A12" s="14" t="inlineStr">
        <is>
          <t>► 5</t>
        </is>
      </c>
      <c r="B12" s="30" t="n">
        <v>295.73</v>
      </c>
      <c r="C12" s="31" t="n">
        <v>19.03</v>
      </c>
      <c r="D12" s="15" t="inlineStr">
        <is>
          <t>150 – 377</t>
        </is>
      </c>
      <c r="E12" s="15" t="n">
        <v>227</v>
      </c>
      <c r="F12" s="15" t="n">
        <v>18.57</v>
      </c>
      <c r="G12" s="32" t="n">
        <v>0.3394</v>
      </c>
      <c r="H12" s="31" t="n">
        <v>5.59</v>
      </c>
      <c r="I12" s="31" t="n">
        <v>99.84999999999999</v>
      </c>
    </row>
    <row r="13">
      <c r="A13" s="12" t="inlineStr">
        <is>
          <t>M6B10</t>
        </is>
      </c>
      <c r="B13" s="29" t="n">
        <v>249.89</v>
      </c>
      <c r="C13" s="21" t="n">
        <v>16.08</v>
      </c>
      <c r="D13" s="13" t="inlineStr">
        <is>
          <t>158 – 537</t>
        </is>
      </c>
      <c r="E13" s="13" t="n">
        <v>379</v>
      </c>
      <c r="F13" s="13" t="n">
        <v>20.6</v>
      </c>
      <c r="G13" s="20" t="n">
        <v>0.3099</v>
      </c>
      <c r="H13" s="21" t="n">
        <v>0.08</v>
      </c>
      <c r="I13" s="21" t="n">
        <v>99.83</v>
      </c>
    </row>
    <row r="14">
      <c r="A14" s="7" t="inlineStr">
        <is>
          <t>M6B2-3</t>
        </is>
      </c>
      <c r="B14" s="28" t="n">
        <v>160.98</v>
      </c>
      <c r="C14" s="19" t="n">
        <v>10.36</v>
      </c>
      <c r="D14" s="11" t="inlineStr">
        <is>
          <t>166 – 557</t>
        </is>
      </c>
      <c r="E14" s="11" t="n">
        <v>391</v>
      </c>
      <c r="F14" s="11" t="n">
        <v>19.78</v>
      </c>
      <c r="G14" s="18" t="n">
        <v>0.4063</v>
      </c>
      <c r="H14" s="19" t="n">
        <v>4.92</v>
      </c>
      <c r="I14" s="19" t="n">
        <v>90.48999999999999</v>
      </c>
    </row>
    <row r="15">
      <c r="A15" s="16" t="inlineStr">
        <is>
          <t>TOTAL / PROMEDIO</t>
        </is>
      </c>
      <c r="B15" s="33">
        <f>SUM(B10:B14)</f>
        <v>1553.97</v>
      </c>
      <c r="C15" s="23">
        <f>SUM(C10:C14)</f>
        <v>100.0</v>
      </c>
      <c r="D15" s="17" t="inlineStr">
        <is>
          <t>150 – 557</t>
        </is>
      </c>
      <c r="E15" s="17" t="inlineStr"/>
      <c r="F15" s="17">
        <f>ROUND(AVERAGE(F10:F14),2)</f>
        <v>18.02</v>
      </c>
      <c r="G15" s="22">
        <f>ROUND(AVERAGE(G10:G14),4)</f>
        <v>0.3393</v>
      </c>
      <c r="H15" s="23">
        <f>ROUND(AVERAGE(H10:H14),2)</f>
        <v>2.45</v>
      </c>
      <c r="I15" s="23">
        <f>ROUND(AVERAGE(I10:I14),2)</f>
        <v>97.63</v>
      </c>
    </row>
    <row r="16"/>
    <row r="17" ht="84" customHeight="1">
      <c r="A17" s="9" t="inlineStr">
        <is>
          <t>LECTURA INTRAMICROCUENCA. El bloque 5 ocupa el puesto 3 de 5 por superficie dentro de la microcuenca C1077-Q9566 (19.03 % de las 1553.97 ha preliminares de la microcuenca). Su pendiente promedio (18.57 %, clase «15-25% (Fuert. inclinado)») es la 3.ª más baja de 5 y se sitúa por encima del promedio de la microcuenca (18.02 %). Su MSAVI 2024 (0.3394) es el 2.º de 5 y queda por encima del promedio local (0.3393). Amplitud altitudinal del bloque: 227 m (150–377 msnm). El cuadro conserva todos los bloques catalogados en la microcuenca, incluidos los descartados en el tamizaje, para referencia del conjunto. Los bloques sin ficha DT figuran con sus parámetros de gabinete. BRECHA ESPECTRAL. El 99.85 % de la superficie del bloque (295.281 ha de 295.726 ha) se sitúa bajo el umbral MSAVI 0.4976, por encima del promedio local de la microcuenca (97.63 %) calculado sobre los bloques con dato MSAVI disponible.</t>
        </is>
      </c>
      <c r="B17" s="41" t="n"/>
      <c r="C17" s="41" t="n"/>
      <c r="D17" s="41" t="n"/>
      <c r="E17" s="41" t="n"/>
      <c r="F17" s="41" t="n"/>
      <c r="G17" s="41" t="n"/>
      <c r="H17" s="42" t="n"/>
    </row>
    <row r="18"/>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1" t="n"/>
      <c r="C19" s="41" t="n"/>
      <c r="D19" s="41" t="n"/>
      <c r="E19" s="41" t="n"/>
      <c r="F19" s="41" t="n"/>
      <c r="G19" s="41" t="n"/>
      <c r="H19" s="42" t="n"/>
    </row>
  </sheetData>
  <mergeCells count="9">
    <mergeCell ref="A1:I1"/>
    <mergeCell ref="A4:I4"/>
    <mergeCell ref="A3:I3"/>
    <mergeCell ref="A2:I2"/>
    <mergeCell ref="A19:I19"/>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«C1077-Q9566»</t>
        </is>
      </c>
      <c r="D10" s="35" t="inlineStr">
        <is>
          <t>CONFORME</t>
        </is>
      </c>
      <c r="E10" s="34" t="inlineStr">
        <is>
          <t>Sin acción.</t>
        </is>
      </c>
    </row>
    <row r="11" ht="48" customHeight="1">
      <c r="A11" s="36" t="inlineStr">
        <is>
          <t>D-02</t>
        </is>
      </c>
      <c r="B11" s="36" t="inlineStr">
        <is>
          <t>UTM del punto de muestreo</t>
        </is>
      </c>
      <c r="C11" s="36" t="inlineStr">
        <is>
          <t>El punto de muestreo declarado (618722 E / 9413102 N) dista 866 m del centroide de catálogo (617860 E / 9413182 N), distancia incompatible con la superficie del bloque (295.73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(295.861 ha) coincide con la de catálogo (295.73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18.57 %,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70 % de cobertura vegetal en campo; el NDVI mediana 2025 clasifica 98.22 %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14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Centro poblado asociado</t>
        </is>
      </c>
      <c r="C16" s="34" t="inlineStr">
        <is>
          <t>La ficha DT declara «Caserío El Ala (~250 m al norte del límite)»; el cruce INEI-Bloques V5 identifica 3 centro(s) poblado(s) en el bloque: EL ALA, JUAN VELASCO, LINDEROS DEL ALA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6" t="inlineStr">
        <is>
          <t>D-09</t>
        </is>
      </c>
      <c r="B18" s="36" t="inlineStr">
        <is>
          <t>Distribución areal MSAVI 2024</t>
        </is>
      </c>
      <c r="C18" s="36" t="inlineStr">
        <is>
          <t>La distribución por clase de MSAVI no figuraba en los insumos del entregable y se consignaba «Por determinar»; se incorpora la estadística zonal del ráster MSAVI clasificado (901 polígonos, 295.726 ha)</t>
        </is>
      </c>
      <c r="D18" s="37" t="inlineStr">
        <is>
          <t>CORREGIDO</t>
        </is>
      </c>
      <c r="E1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6" t="inlineStr">
        <is>
          <t>D-10</t>
        </is>
      </c>
      <c r="B19" s="36" t="inlineStr">
        <is>
          <t>Superficie MSAVI vs. catálogo</t>
        </is>
      </c>
      <c r="C19" s="36" t="inlineStr">
        <is>
          <t>La superficie total clasificada por el MSAVI 2024 (295.726 ha) frente a la de catálogo V5/V6 (295.730 ha): desviación de +0.00 %</t>
        </is>
      </c>
      <c r="D19" s="37" t="inlineStr">
        <is>
          <t>CONFORME</t>
        </is>
      </c>
      <c r="E19" s="36" t="inlineStr">
        <is>
          <t>Sin acción: la segmentación del ráster valida la geometría del bloque dentro del ±2 %.</t>
        </is>
      </c>
    </row>
    <row r="20" ht="48" customHeight="1">
      <c r="A20" s="36" t="inlineStr">
        <is>
          <t>D-11</t>
        </is>
      </c>
      <c r="B20" s="36" t="inlineStr">
        <is>
          <t>Media MSAVI vs. clase DN dominante</t>
        </is>
      </c>
      <c r="C20" s="36" t="inlineStr">
        <is>
          <t>La media del bloque (0.3394) cae en la clase «DN 2 · 0.2650 - 0.3813 (Vigor muy bajo)»; la clase de mayor superficie es «DN 2 · 0.2650 - 0.3813 (Vigor muy bajo)», con 63.22 % del bloque. Superficie bajo el umbral 0.4976: 295.281 ha (99.85 %)</t>
        </is>
      </c>
      <c r="D20" s="37" t="inlineStr">
        <is>
          <t>CONFORME</t>
        </is>
      </c>
      <c r="E20" s="36" t="inlineStr">
        <is>
          <t>Sin acción: la media del bloque y la clase de mayor superficie coinciden.</t>
        </is>
      </c>
    </row>
    <row r="21"/>
    <row r="22">
      <c r="A22" s="16" t="inlineStr">
        <is>
          <t>RESUMEN</t>
        </is>
      </c>
      <c r="B22" s="17" t="inlineStr">
        <is>
          <t>11 verificaciones</t>
        </is>
      </c>
      <c r="C22" s="17" t="inlineStr">
        <is>
          <t>CONFORME: 5 · CORREGIDO: 1 · NO SUSTANTIVA: 2 · SUSTANTIVA: 3</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1" t="n"/>
      <c r="C24" s="41" t="n"/>
      <c r="D24" s="41" t="n"/>
      <c r="E24" s="42"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 — IN Piura</dc:title>
  <dc:subject>Diagnóstico Territorial por bloque de intervención</dc:subject>
  <dcterms:created xsi:type="dcterms:W3CDTF">2026-09-08T03:39:55Z</dcterms:created>
  <dcterms:modified xsi:type="dcterms:W3CDTF">2026-09-10T00:28:28Z</dcterms:modified>
</cp:coreProperties>
</file>