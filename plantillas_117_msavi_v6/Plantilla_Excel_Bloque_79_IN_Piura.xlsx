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79</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79</t>
        </is>
      </c>
      <c r="C9" s="6" t="inlineStr">
        <is>
          <t>Microcuenca (catálogo)</t>
        </is>
      </c>
      <c r="D9" s="7" t="inlineStr">
        <is>
          <t>C1076-Q9587</t>
        </is>
      </c>
      <c r="E9" s="8" t="n"/>
      <c r="F9" s="8" t="n"/>
    </row>
    <row r="10">
      <c r="A10" s="6" t="inlineStr">
        <is>
          <t>Zona de planificación</t>
        </is>
      </c>
      <c r="B10" s="7" t="inlineStr">
        <is>
          <t>Z11</t>
        </is>
      </c>
      <c r="C10" s="6" t="inlineStr">
        <is>
          <t>Microcuenca declarada en ficha DT</t>
        </is>
      </c>
      <c r="D10" s="7" t="inlineStr">
        <is>
          <t>C1076-Q9587</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Almirante Miguel Grau (también Huabal)</t>
        </is>
      </c>
      <c r="C13" s="6" t="inlineStr">
        <is>
          <t>Comunidad campesina</t>
        </is>
      </c>
      <c r="D13" s="7" t="inlineStr">
        <is>
          <t>Por verificar</t>
        </is>
      </c>
      <c r="E13" s="8" t="n"/>
      <c r="F13" s="8" t="n"/>
    </row>
    <row r="14">
      <c r="A14" s="6" t="inlineStr">
        <is>
          <t>Superficie de catálogo (V5/V6), ha</t>
        </is>
      </c>
      <c r="B14" s="7" t="n">
        <v>94.81</v>
      </c>
      <c r="C14" s="6" t="inlineStr">
        <is>
          <t>Fuente de superficie</t>
        </is>
      </c>
      <c r="D14" s="7" t="inlineStr">
        <is>
          <t>Catálogo maestro Bloques V5/V6</t>
        </is>
      </c>
      <c r="E14" s="8" t="n"/>
      <c r="F14" s="8" t="n"/>
    </row>
    <row r="15">
      <c r="A15" s="6" t="inlineStr">
        <is>
          <t>Centroide UTM ESTE (m)</t>
        </is>
      </c>
      <c r="B15" s="7" t="n">
        <v>650305</v>
      </c>
      <c r="C15" s="6" t="inlineStr">
        <is>
          <t>Centroide UTM NORTE (m)</t>
        </is>
      </c>
      <c r="D15" s="7" t="n">
        <v>9402785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681</v>
      </c>
      <c r="C19" s="6" t="inlineStr">
        <is>
          <t>Altitud máxima (msnm)</t>
        </is>
      </c>
      <c r="D19" s="7" t="n">
        <v>1114</v>
      </c>
      <c r="E19" s="8" t="n"/>
      <c r="F19" s="8" t="n"/>
    </row>
    <row r="20">
      <c r="A20" s="6" t="inlineStr">
        <is>
          <t>Amplitud altitudinal (m)</t>
        </is>
      </c>
      <c r="B20" s="7" t="n">
        <v>433</v>
      </c>
      <c r="C20" s="6" t="inlineStr">
        <is>
          <t>Piso altitudinal dominante</t>
        </is>
      </c>
      <c r="D20" s="7" t="inlineStr">
        <is>
          <t>&lt;1000 m (Yunga)</t>
        </is>
      </c>
      <c r="E20" s="8" t="n"/>
      <c r="F20" s="8" t="n"/>
    </row>
    <row r="21">
      <c r="A21" s="6" t="inlineStr">
        <is>
          <t>Pendiente promedio (%)</t>
        </is>
      </c>
      <c r="B21" s="7" t="n">
        <v>17.59</v>
      </c>
      <c r="C21" s="6" t="inlineStr">
        <is>
          <t>Pendiente promedio (grados)</t>
        </is>
      </c>
      <c r="D21" s="7" t="n">
        <v>10</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Sin registro en ficha</t>
        </is>
      </c>
      <c r="E24" s="8" t="n"/>
      <c r="F24" s="8" t="n"/>
    </row>
    <row r="25">
      <c r="A25" s="6" t="inlineStr">
        <is>
          <t>Escarpes activos</t>
        </is>
      </c>
      <c r="B25" s="7" t="inlineStr">
        <is>
          <t>Sin registro en ficha</t>
        </is>
      </c>
      <c r="C25" s="6" t="inlineStr">
        <is>
          <t>Remociones en masa activas</t>
        </is>
      </c>
      <c r="D25" s="7" t="inlineStr">
        <is>
          <t>Sin registro en ficha</t>
        </is>
      </c>
      <c r="E25" s="8" t="n"/>
      <c r="F25" s="8" t="n"/>
    </row>
    <row r="26"/>
    <row r="27" ht="18" customHeight="1">
      <c r="A27" s="5" t="inlineStr">
        <is>
          <t>3. ÍNDICES DE VEGETACIÓN (SENTINEL-2)</t>
        </is>
      </c>
    </row>
    <row r="28">
      <c r="A28" s="6" t="inlineStr">
        <is>
          <t>MSAVI 2024 — media del bloque</t>
        </is>
      </c>
      <c r="B28" s="7" t="n">
        <v>0.5479000000000001</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(82.36 %)</t>
        </is>
      </c>
      <c r="E29" s="8" t="n"/>
      <c r="F29" s="8" t="n"/>
    </row>
    <row r="30">
      <c r="A30" s="6" t="inlineStr">
        <is>
          <t>Superficie clasificada NDVI 2025 (ha)</t>
        </is>
      </c>
      <c r="B30" s="7" t="n">
        <v>94.83499999999999</v>
      </c>
      <c r="C30" s="6" t="inlineStr">
        <is>
          <t>Desviación frente al catálogo (%)</t>
        </is>
      </c>
      <c r="D30" s="7" t="n">
        <v>0.03</v>
      </c>
      <c r="E30" s="8" t="n"/>
      <c r="F30" s="8" t="n"/>
    </row>
    <row r="31">
      <c r="A31" s="6" t="inlineStr">
        <is>
          <t>Superficie clasificada MSAVI 2024 (ha)</t>
        </is>
      </c>
      <c r="B31" s="37" t="n">
        <v>94.812</v>
      </c>
      <c r="C31" s="6" t="inlineStr">
        <is>
          <t>Desviación MSAVI frente al catálogo (%)</t>
        </is>
      </c>
      <c r="D31" s="38" t="n">
        <v>0</v>
      </c>
      <c r="E31" s="8" t="n"/>
      <c r="F31" s="8" t="n"/>
    </row>
    <row r="32">
      <c r="A32" s="6" t="inlineStr">
        <is>
          <t>Superficie bajo umbral MSAVI 0.4976 (ha)</t>
        </is>
      </c>
      <c r="B32" s="37" t="n">
        <v>28.152</v>
      </c>
      <c r="C32" s="6" t="inlineStr">
        <is>
          <t>% del bloque bajo umbral (brecha espectral)</t>
        </is>
      </c>
      <c r="D32" s="38" t="n">
        <v>29.69</v>
      </c>
      <c r="E32" s="8" t="n"/>
      <c r="F32" s="8" t="n"/>
    </row>
    <row r="33">
      <c r="A33" s="6" t="inlineStr">
        <is>
          <t>Clase DN dominante (MSAVI 2024)</t>
        </is>
      </c>
      <c r="B33" s="7" t="inlineStr">
        <is>
          <t>DN 4 · 0.4976 - 0.6139 (Vigor moderado)</t>
        </is>
      </c>
      <c r="C33" s="6" t="inlineStr">
        <is>
          <t>N.° de polígonos MSAVI del bloque</t>
        </is>
      </c>
      <c r="D33" s="39" t="n">
        <v>264</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Por determinar</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Por determinar</t>
        </is>
      </c>
      <c r="E39" s="8" t="n"/>
      <c r="F39" s="8" t="n"/>
    </row>
    <row r="40">
      <c r="A40" s="6" t="inlineStr">
        <is>
          <t>Nivel general de erosión</t>
        </is>
      </c>
      <c r="B40" s="7" t="inlineStr">
        <is>
          <t>Sin registro en ficha</t>
        </is>
      </c>
      <c r="C40" s="6" t="inlineStr">
        <is>
          <t>N.° de cárcavas registradas</t>
        </is>
      </c>
      <c r="D40" s="7" t="inlineStr">
        <is>
          <t>0 = no inventariadas</t>
        </is>
      </c>
      <c r="E40" s="8" t="n"/>
      <c r="F40" s="8" t="n"/>
    </row>
    <row r="41">
      <c r="A41" s="6" t="inlineStr">
        <is>
          <t>Elenco florístico (n.° de taxones)</t>
        </is>
      </c>
      <c r="B41" s="7" t="n">
        <v>10</v>
      </c>
      <c r="C41" s="6" t="inlineStr">
        <is>
          <t>Estado sanitario</t>
        </is>
      </c>
      <c r="D41" s="7" t="inlineStr">
        <is>
          <t>Sin registro en ficha</t>
        </is>
      </c>
      <c r="E41" s="8" t="n"/>
      <c r="F41" s="8" t="n"/>
    </row>
    <row r="42"/>
    <row r="43" ht="18" customHeight="1">
      <c r="A43" s="5" t="inlineStr">
        <is>
          <t>5. RESPONSABLE Y MODALIDAD DE LA EVALUACIÓN</t>
        </is>
      </c>
    </row>
    <row r="44">
      <c r="A44" s="6" t="inlineStr">
        <is>
          <t>Responsable de la evaluación</t>
        </is>
      </c>
      <c r="B44" s="7" t="inlineStr">
        <is>
          <t>Ing. Juan Domínguez</t>
        </is>
      </c>
      <c r="C44" s="6" t="inlineStr">
        <is>
          <t>Fecha de evaluación</t>
        </is>
      </c>
      <c r="D44" s="7" t="inlineStr">
        <is>
          <t>2026-07-20</t>
        </is>
      </c>
      <c r="E44" s="8" t="n"/>
      <c r="F44" s="8" t="n"/>
    </row>
    <row r="45">
      <c r="A45" s="6" t="inlineStr">
        <is>
          <t>Hora de registro</t>
        </is>
      </c>
      <c r="B45" s="7" t="inlineStr">
        <is>
          <t>Sin registro en ficha</t>
        </is>
      </c>
      <c r="C45" s="6" t="inlineStr">
        <is>
          <t>Correlativo de ficha</t>
        </is>
      </c>
      <c r="D45" s="7" t="inlineStr">
        <is>
          <t>F-DT-01-79</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consignada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Ocupación productiva de laderas de fuerte pendiente sin prácticas de conservación de suelos, favorecida por la accesibilidad</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79</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21.7397</v>
      </c>
      <c r="C10" s="19">
        <f>ROUND(B10/$B$15*100,2)</f>
        <v/>
      </c>
      <c r="D10" s="11" t="inlineStr">
        <is>
          <t>Vigor alto</t>
        </is>
      </c>
      <c r="E10" s="11" t="inlineStr">
        <is>
          <t>Sobre umbral</t>
        </is>
      </c>
    </row>
    <row r="11">
      <c r="A11" s="12" t="inlineStr">
        <is>
          <t>0.4976 - 0.6139 · DN 4</t>
        </is>
      </c>
      <c r="B11" s="30" t="n">
        <v>44.9202</v>
      </c>
      <c r="C11" s="29">
        <f>ROUND(B11/$B$15*100,2)</f>
        <v/>
      </c>
      <c r="D11" s="13" t="inlineStr">
        <is>
          <t>Vigor moderado</t>
        </is>
      </c>
      <c r="E11" s="13" t="inlineStr">
        <is>
          <t>Sobre umbral</t>
        </is>
      </c>
    </row>
    <row r="12">
      <c r="A12" s="7" t="inlineStr">
        <is>
          <t>0.3813 - 0.4976 · DN 3</t>
        </is>
      </c>
      <c r="B12" s="18" t="n">
        <v>27.8275</v>
      </c>
      <c r="C12" s="19">
        <f>ROUND(B12/$B$15*100,2)</f>
        <v/>
      </c>
      <c r="D12" s="11" t="inlineStr">
        <is>
          <t>Vigor bajo</t>
        </is>
      </c>
      <c r="E12" s="11" t="inlineStr">
        <is>
          <t>BAJO umbral 0.4976</t>
        </is>
      </c>
    </row>
    <row r="13">
      <c r="A13" s="14" t="inlineStr">
        <is>
          <t>0.2650 - 0.3813 · DN 2</t>
        </is>
      </c>
      <c r="B13" s="20" t="n">
        <v>0.3243</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264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94.81</v>
      </c>
      <c r="C18" s="48" t="inlineStr">
        <is>
          <t>—</t>
        </is>
      </c>
      <c r="D18" s="45" t="inlineStr">
        <is>
          <t>Desviación planimétrica frente al catálogo</t>
        </is>
      </c>
      <c r="E18" s="45" t="inlineStr">
        <is>
          <t>+0.00 %</t>
        </is>
      </c>
    </row>
    <row r="19">
      <c r="A19" s="16" t="inlineStr">
        <is>
          <t>MSAVI 2024 — MEDIA DEL BLOQUE</t>
        </is>
      </c>
      <c r="B19" s="17" t="n">
        <v>0.547879</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264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(0.5479) se conserva del catálogo maestro y es dato oficial; la fila resaltada indica la clase en la que cae dicha media. Los totales y porcentajes se calculan con fórmulas sobre las filas del cuadro.</t>
        </is>
      </c>
      <c r="B21" s="40" t="n"/>
      <c r="C21" s="40" t="n"/>
      <c r="D21" s="40" t="n"/>
      <c r="E21" s="41"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78.1103</v>
      </c>
      <c r="C25" s="19" t="n">
        <v>82.36</v>
      </c>
      <c r="D25" s="11" t="inlineStr">
        <is>
          <t>Dosel continuo, matorral denso o mosaico agroforestal</t>
        </is>
      </c>
      <c r="E25" s="11" t="inlineStr"/>
    </row>
    <row r="26">
      <c r="A26" s="14" t="inlineStr">
        <is>
          <t>Vegetación mediana</t>
        </is>
      </c>
      <c r="B26" s="20" t="n">
        <v>16.7133</v>
      </c>
      <c r="C26" s="21" t="n">
        <v>17.62</v>
      </c>
      <c r="D26" s="15" t="inlineStr">
        <is>
          <t>Pastizal cultivado, matorral ralo, parcelas agrícolas</t>
        </is>
      </c>
      <c r="E26" s="15" t="inlineStr"/>
    </row>
    <row r="27">
      <c r="A27" s="7" t="inlineStr">
        <is>
          <t>Vegetación ligera</t>
        </is>
      </c>
      <c r="B27" s="18" t="n">
        <v>0.0109</v>
      </c>
      <c r="C27" s="19" t="n">
        <v>0.01</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94.81</v>
      </c>
      <c r="C29" s="25" t="inlineStr">
        <is>
          <t>—</t>
        </is>
      </c>
      <c r="D29" s="25" t="inlineStr">
        <is>
          <t>Desviación planimétrica frente al catálogo</t>
        </is>
      </c>
      <c r="E29" s="25" t="inlineStr">
        <is>
          <t>+0.03 %</t>
        </is>
      </c>
    </row>
    <row r="30"/>
    <row r="31" ht="72"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1" s="40" t="n"/>
      <c r="C31" s="40" t="n"/>
      <c r="D31" s="40" t="n"/>
      <c r="E31" s="41"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79</t>
        </is>
      </c>
    </row>
    <row r="6" ht="24" customHeight="1">
      <c r="A6" s="4" t="inlineStr">
        <is>
          <t>Levantamiento del 2026-07-20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650305</v>
      </c>
      <c r="D10" s="26" t="n">
        <v>9402785</v>
      </c>
      <c r="E10" s="11" t="n">
        <v>0</v>
      </c>
      <c r="F10" s="11" t="inlineStr"/>
      <c r="G10" s="11" t="inlineStr">
        <is>
          <t>Coordenada consignada en F-DT-01</t>
        </is>
      </c>
    </row>
    <row r="11">
      <c r="A11" s="14" t="inlineStr">
        <is>
          <t>H-01</t>
        </is>
      </c>
      <c r="B11" s="15" t="inlineStr">
        <is>
          <t>Fuente de agua — Río</t>
        </is>
      </c>
      <c r="C11" s="27" t="inlineStr">
        <is>
          <t>Por determinar</t>
        </is>
      </c>
      <c r="D11" s="27" t="inlineStr">
        <is>
          <t>Por determinar</t>
        </is>
      </c>
      <c r="E11" s="15" t="inlineStr"/>
      <c r="F11" s="15" t="inlineStr">
        <is>
          <t>Permanente</t>
        </is>
      </c>
      <c r="G11" s="15" t="inlineStr">
        <is>
          <t>Río Pusmalca</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650305</v>
      </c>
      <c r="C14" s="6" t="inlineStr">
        <is>
          <t>Centroide del bloque — UTM NORTE (m)</t>
        </is>
      </c>
      <c r="D14" s="7" t="n">
        <v>9402785</v>
      </c>
      <c r="E14" s="8" t="n"/>
      <c r="F14" s="8" t="n"/>
      <c r="G14" s="8" t="n"/>
      <c r="H14" s="8" t="n"/>
    </row>
    <row r="15">
      <c r="A15" s="6" t="inlineStr">
        <is>
          <t>N.° de estaciones fotográficas declaradas</t>
        </is>
      </c>
      <c r="B15" s="7" t="n">
        <v>0</v>
      </c>
      <c r="C15" s="6" t="inlineStr">
        <is>
          <t>Estaciones dentro del polígono</t>
        </is>
      </c>
      <c r="D15" s="7" t="n">
        <v>0</v>
      </c>
      <c r="E15" s="8" t="n"/>
      <c r="F15" s="8" t="n"/>
      <c r="G15" s="8" t="n"/>
      <c r="H15" s="8" t="n"/>
    </row>
    <row r="17" ht="120"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Coordenadas correspondientes al CENTROIDE del polígono (Bloques V4/V5); no a un punto de muestreo GPS de campo. Altitud consignada: COTA MEDIA DE GABINETE 898 msnm (sin registro GPS de campo). Rango altitudinal según MDE: 681-1 114 msnm (amplitud 433 m); pendiente promedio 17.59%. Centros poblados asociados: Almirante Miguel Grau y Huabal. Acceso: vía nacional asfaltada Piura – Canchaque, margen izquierda del río Pusmalca.</t>
        </is>
      </c>
      <c r="B17" s="40" t="n"/>
      <c r="C17" s="40" t="n"/>
      <c r="D17" s="40" t="n"/>
      <c r="E17" s="40" t="n"/>
      <c r="F17" s="40" t="n"/>
      <c r="G17" s="41"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C1076-Q9587 — BLOQUE 79</t>
        </is>
      </c>
    </row>
    <row r="6" ht="24" customHeight="1">
      <c r="A6" s="4" t="inlineStr">
        <is>
          <t>Distrito de Canchaque · Provincia de Huancabamba · Comparación de los bloques preliminares de intervención de la misma microcuenca</t>
        </is>
      </c>
    </row>
    <row r="7"/>
    <row r="8" ht="18" customHeight="1">
      <c r="A8" s="5" t="inlineStr">
        <is>
          <t>BLOQUES DE LA MICROCUENCA C1076-Q9587</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2" t="inlineStr">
        <is>
          <t>► 79</t>
        </is>
      </c>
      <c r="B10" s="28" t="n">
        <v>94.81</v>
      </c>
      <c r="C10" s="29" t="n">
        <v>86.2</v>
      </c>
      <c r="D10" s="13" t="inlineStr">
        <is>
          <t>681 – 1114</t>
        </is>
      </c>
      <c r="E10" s="13" t="n">
        <v>433</v>
      </c>
      <c r="F10" s="13" t="n">
        <v>17.59</v>
      </c>
      <c r="G10" s="30" t="n">
        <v>0.5479000000000001</v>
      </c>
      <c r="H10" s="29" t="n">
        <v>82.36</v>
      </c>
      <c r="I10" s="29" t="n">
        <v>29.69</v>
      </c>
    </row>
    <row r="11">
      <c r="A11" s="14" t="inlineStr">
        <is>
          <t>75</t>
        </is>
      </c>
      <c r="B11" s="31" t="n">
        <v>15.18</v>
      </c>
      <c r="C11" s="21" t="n">
        <v>13.8</v>
      </c>
      <c r="D11" s="15" t="inlineStr">
        <is>
          <t>1912 – 2237</t>
        </is>
      </c>
      <c r="E11" s="15" t="n">
        <v>325</v>
      </c>
      <c r="F11" s="15" t="n">
        <v>39.19</v>
      </c>
      <c r="G11" s="20" t="n">
        <v>0.6309</v>
      </c>
      <c r="H11" s="21" t="n">
        <v>88.88</v>
      </c>
      <c r="I11" s="21" t="n">
        <v>3.53</v>
      </c>
    </row>
    <row r="12">
      <c r="A12" s="16" t="inlineStr">
        <is>
          <t>TOTAL / PROMEDIO</t>
        </is>
      </c>
      <c r="B12" s="32">
        <f>SUM(B10:B11)</f>
        <v/>
      </c>
      <c r="C12" s="23">
        <f>SUM(C10:C11)</f>
        <v/>
      </c>
      <c r="D12" s="17" t="inlineStr">
        <is>
          <t>681 – 2237</t>
        </is>
      </c>
      <c r="E12" s="17" t="inlineStr"/>
      <c r="F12" s="17">
        <f>ROUND(AVERAGE(F10:F11),2)</f>
        <v/>
      </c>
      <c r="G12" s="22">
        <f>ROUND(AVERAGE(G10:G11),4)</f>
        <v/>
      </c>
      <c r="H12" s="23">
        <f>ROUND(AVERAGE(H10:H11),2)</f>
        <v/>
      </c>
      <c r="I12" s="23">
        <f>ROUND(AVERAGE(I10:I11),2)</f>
        <v/>
      </c>
    </row>
    <row r="13"/>
    <row r="14" ht="84" customHeight="1">
      <c r="A14" s="9" t="inlineStr">
        <is>
          <t>LECTURA INTRAMICROCUENCA. El bloque 79 ocupa el puesto 1 de 2 por superficie dentro de la microcuenca C1076-Q9587 (86.20 % de las 109.99 ha preliminares de la microcuenca). Su pendiente promedio (17.59 %, clase «15-25% (Fuert. inclinado)») es la 1.ª más baja de 2 y se sitúa por debajo del promedio de la microcuenca (28.39 %). Su MSAVI 2024 (0.5479) es el 2.º de 2 y queda por debajo del promedio local (0.5894). Amplitud altitudinal del bloque: 433 m (681–1114 msnm). El cuadro conserva todos los bloques catalogados en la microcuenca, incluidos los descartados en el tamizaje, para referencia del conjunto. Los bloques sin ficha DT figuran con sus parámetros de gabinete. BRECHA ESPECTRAL. El 29.69 % de la superficie del bloque (28.152 ha de 94.812 ha) se sitúa bajo el umbral MSAVI 0.4976, por encima del promedio local de la microcuenca (16.61 %) calculado sobre los bloques con dato MSAVI disponible.</t>
        </is>
      </c>
      <c r="B14" s="40" t="n"/>
      <c r="C14" s="40" t="n"/>
      <c r="D14" s="40" t="n"/>
      <c r="E14" s="40" t="n"/>
      <c r="F14" s="40" t="n"/>
      <c r="G14" s="40" t="n"/>
      <c r="H14" s="41" t="n"/>
    </row>
    <row r="15"/>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40" t="n"/>
      <c r="C16" s="40" t="n"/>
      <c r="D16" s="40" t="n"/>
      <c r="E16" s="40" t="n"/>
      <c r="F16" s="40" t="n"/>
      <c r="G16" s="40" t="n"/>
      <c r="H16" s="41" t="n"/>
    </row>
  </sheetData>
  <mergeCells count="9">
    <mergeCell ref="A1:I1"/>
    <mergeCell ref="A4:I4"/>
    <mergeCell ref="A3:I3"/>
    <mergeCell ref="A2:I2"/>
    <mergeCell ref="A16:I16"/>
    <mergeCell ref="A14:I14"/>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79</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«C1076-Q9587»</t>
        </is>
      </c>
      <c r="D10" s="34" t="inlineStr">
        <is>
          <t>CONFORME</t>
        </is>
      </c>
      <c r="E10" s="33" t="inlineStr">
        <is>
          <t>Sin acción.</t>
        </is>
      </c>
    </row>
    <row r="11" ht="48" customHeight="1">
      <c r="A11" s="35" t="inlineStr">
        <is>
          <t>D-02</t>
        </is>
      </c>
      <c r="B11" s="35" t="inlineStr">
        <is>
          <t>UTM del punto de muestreo</t>
        </is>
      </c>
      <c r="C11" s="35" t="inlineStr">
        <is>
          <t>El punto de muestreo declarado dista 0 m del centroide de catálogo, compatible con la extensión del bloque</t>
        </is>
      </c>
      <c r="D11" s="34" t="inlineStr">
        <is>
          <t>CONFORME</t>
        </is>
      </c>
      <c r="E11" s="35" t="inlineStr">
        <is>
          <t>Sin acción.</t>
        </is>
      </c>
    </row>
    <row r="12" ht="48" customHeight="1">
      <c r="A12" s="33" t="inlineStr">
        <is>
          <t>D-03</t>
        </is>
      </c>
      <c r="B12" s="33" t="inlineStr">
        <is>
          <t>Superficie del polígono</t>
        </is>
      </c>
      <c r="C12" s="33" t="inlineStr">
        <is>
          <t>La superficie clasificada por el NDVI 2025 (94.835 ha) coincide con la de catálogo (94.81 ha) dentro del ±2 % (+0.03 %)</t>
        </is>
      </c>
      <c r="D12" s="34" t="inlineStr">
        <is>
          <t>CONFORME</t>
        </is>
      </c>
      <c r="E12" s="33" t="inlineStr">
        <is>
          <t>Sin acción: la segmentación valida la geometría del bloque.</t>
        </is>
      </c>
    </row>
    <row r="13" ht="48" customHeight="1">
      <c r="A13" s="35" t="inlineStr">
        <is>
          <t>D-04</t>
        </is>
      </c>
      <c r="B13" s="35" t="inlineStr">
        <is>
          <t>Elenco florístico</t>
        </is>
      </c>
      <c r="C13" s="35" t="inlineStr">
        <is>
          <t>La ficha registra 10 taxones, por debajo del mínimo de 15 que exige el formato V5</t>
        </is>
      </c>
      <c r="D13" s="36" t="inlineStr">
        <is>
          <t>SUSTANTIVA</t>
        </is>
      </c>
      <c r="E13" s="35" t="inlineStr">
        <is>
          <t>Registro florístico preliminar, sin colecta ni determinación botánica formal. Debe cerrarse con colecta botánica en la siguiente campaña.</t>
        </is>
      </c>
    </row>
    <row r="14" ht="48" customHeight="1">
      <c r="A14" s="33" t="inlineStr">
        <is>
          <t>D-05</t>
        </is>
      </c>
      <c r="B14" s="33" t="inlineStr">
        <is>
          <t>Representatividad del levantamiento</t>
        </is>
      </c>
      <c r="C14" s="33" t="inlineStr">
        <is>
          <t>Ninguna de las estaciones fotográficas georreferenciadas se localiza dentro del polígono del bloque</t>
        </is>
      </c>
      <c r="D14" s="36" t="inlineStr">
        <is>
          <t>SUSTANTIVA</t>
        </is>
      </c>
      <c r="E14" s="33" t="inlineStr">
        <is>
          <t>La verificación documenta el perímetro y la vista panorámica del bloque, no su interior. Los parámetros que exigen recorrido interno se consignan «Por determinar».</t>
        </is>
      </c>
    </row>
    <row r="15" ht="48" customHeight="1">
      <c r="A15" s="35" t="inlineStr">
        <is>
          <t>D-06</t>
        </is>
      </c>
      <c r="B15" s="35" t="inlineStr">
        <is>
          <t>Centro poblado asociado</t>
        </is>
      </c>
      <c r="C15" s="35" t="inlineStr">
        <is>
          <t>La ficha DT declara «Almirante Miguel Grau (también Huabal)»; el cruce INEI-Bloques V5 identifica 2 centro(s) poblado(s) en el bloque: ALMIRANTE MIGUEL GRAU, HUABAL</t>
        </is>
      </c>
      <c r="D15" s="34" t="inlineStr">
        <is>
          <t>CONFORME</t>
        </is>
      </c>
      <c r="E15" s="35" t="inlineStr">
        <is>
          <t>Se conserva el registro de campo como referencia y se adopta el listado INEI para el diagnóstico social y el cálculo de población beneficiaria.</t>
        </is>
      </c>
    </row>
    <row r="16" ht="48" customHeight="1">
      <c r="A16" s="33" t="inlineStr">
        <is>
          <t>D-07</t>
        </is>
      </c>
      <c r="B16" s="33" t="inlineStr">
        <is>
          <t>Peligro integrado (MCA-AHP)</t>
        </is>
      </c>
      <c r="C16" s="33" t="inlineStr">
        <is>
          <t>El nivel de peligro integrado no está disponible en los insumos de este entregable</t>
        </is>
      </c>
      <c r="D16" s="36" t="inlineStr">
        <is>
          <t>SUSTANTIVA</t>
        </is>
      </c>
      <c r="E16" s="33" t="inlineStr">
        <is>
          <t>Debe tomarse del modelamiento de mesolocalización (PMM + EPH + PGI ponderados por AHP) antes de fijar la prioridad definitiva de intervención del bloque.</t>
        </is>
      </c>
    </row>
    <row r="17" ht="48" customHeight="1">
      <c r="A17" s="35" t="inlineStr">
        <is>
          <t>D-08</t>
        </is>
      </c>
      <c r="B17" s="35" t="inlineStr">
        <is>
          <t>F-DT-02</t>
        </is>
      </c>
      <c r="C17" s="35" t="inlineStr">
        <is>
          <t>La descripción física y de procesos erosivos NO fue transcrita en el Segundo Entregable (acápite 4.1.3.1.1 incompleto)</t>
        </is>
      </c>
      <c r="D17" s="36" t="inlineStr">
        <is>
          <t>SUSTANTIVA</t>
        </is>
      </c>
      <c r="E17" s="35" t="inlineStr">
        <is>
          <t>Completar con el formato de campo original del ANEXO 01</t>
        </is>
      </c>
    </row>
    <row r="18" ht="48" customHeight="1">
      <c r="A18" s="33" t="inlineStr">
        <is>
          <t>D-09</t>
        </is>
      </c>
      <c r="B18" s="33" t="inlineStr">
        <is>
          <t>F-DT-01</t>
        </is>
      </c>
      <c r="C18" s="33" t="inlineStr">
        <is>
          <t>Coordenadas = centroide del polígono; altitud = cota media de gabinete, sin registro GPS de campo</t>
        </is>
      </c>
      <c r="D18" s="13" t="inlineStr">
        <is>
          <t>NO SUSTANTIVA</t>
        </is>
      </c>
      <c r="E18" s="33" t="inlineStr">
        <is>
          <t>Declarado en la propia ficha</t>
        </is>
      </c>
    </row>
    <row r="19" ht="48" customHeight="1">
      <c r="A19" s="35" t="inlineStr">
        <is>
          <t>D-10</t>
        </is>
      </c>
      <c r="B19" s="35" t="inlineStr">
        <is>
          <t>F-DT-02</t>
        </is>
      </c>
      <c r="C19" s="35" t="inlineStr">
        <is>
          <t>0 cárcavas registradas sin inventario georreferenciado</t>
        </is>
      </c>
      <c r="D19" s="36" t="inlineStr">
        <is>
          <t>SUSTANTIVA</t>
        </is>
      </c>
      <c r="E19" s="35" t="inlineStr">
        <is>
          <t>No equivale a ausencia verificada</t>
        </is>
      </c>
    </row>
    <row r="20" ht="48" customHeight="1">
      <c r="A20" s="33" t="inlineStr">
        <is>
          <t>D-11</t>
        </is>
      </c>
      <c r="B20" s="33" t="inlineStr">
        <is>
          <t>F-DT-03</t>
        </is>
      </c>
      <c r="C20" s="33" t="inlineStr">
        <is>
          <t>Sin registro florístico transcrito; 10 entradas, varias sin nombre científico ni familia</t>
        </is>
      </c>
      <c r="D20" s="36" t="inlineStr">
        <is>
          <t>SUSTANTIVA</t>
        </is>
      </c>
      <c r="E20" s="33" t="inlineStr">
        <is>
          <t>Colecta botánica pendiente</t>
        </is>
      </c>
    </row>
    <row r="21" ht="48" customHeight="1">
      <c r="A21" s="35" t="inlineStr">
        <is>
          <t>D-12</t>
        </is>
      </c>
      <c r="B21" s="35" t="inlineStr">
        <is>
          <t>F-DT-03</t>
        </is>
      </c>
      <c r="C21" s="35" t="inlineStr">
        <is>
          <t>Cobertura vegetal total, superficie de ecosistema, coberturas por estrato, alturas y DAP sin medición</t>
        </is>
      </c>
      <c r="D21" s="36" t="inlineStr">
        <is>
          <t>SUSTANTIVA</t>
        </is>
      </c>
      <c r="E21" s="35" t="inlineStr">
        <is>
          <t>Levantamiento pendiente</t>
        </is>
      </c>
    </row>
    <row r="22" ht="48" customHeight="1">
      <c r="A22" s="33" t="inlineStr">
        <is>
          <t>D-13</t>
        </is>
      </c>
      <c r="B22" s="33" t="inlineStr">
        <is>
          <t>F-DT-04</t>
        </is>
      </c>
      <c r="C22" s="33" t="inlineStr">
        <is>
          <t>Indicadores 3 a 7 sin cuantificar</t>
        </is>
      </c>
      <c r="D22" s="13" t="inlineStr">
        <is>
          <t>NO SUSTANTIVA</t>
        </is>
      </c>
      <c r="E22" s="33" t="inlineStr">
        <is>
          <t>No fueron estimados ni inferidos</t>
        </is>
      </c>
    </row>
    <row r="23" ht="48" customHeight="1">
      <c r="A23" s="33" t="inlineStr">
        <is>
          <t>D-14</t>
        </is>
      </c>
      <c r="B23" s="33" t="inlineStr">
        <is>
          <t>Distribución areal MSAVI 2024</t>
        </is>
      </c>
      <c r="C23" s="33" t="inlineStr">
        <is>
          <t>La distribución por clase de MSAVI no figuraba en los insumos del entregable y se consignaba «Por determinar»; se incorpora la estadística zonal del ráster MSAVI clasificado (264 polígonos, 94.812 ha)</t>
        </is>
      </c>
      <c r="D23" s="13" t="inlineStr">
        <is>
          <t>CORREGIDO</t>
        </is>
      </c>
      <c r="E23" s="33"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4" ht="48" customHeight="1">
      <c r="A24" s="33" t="inlineStr">
        <is>
          <t>D-15</t>
        </is>
      </c>
      <c r="B24" s="33" t="inlineStr">
        <is>
          <t>Superficie MSAVI vs. catálogo</t>
        </is>
      </c>
      <c r="C24" s="33" t="inlineStr">
        <is>
          <t>La superficie total clasificada por el MSAVI 2024 (94.812 ha) frente a la de catálogo V5/V6 (94.810 ha): desviación de +0.00 %</t>
        </is>
      </c>
      <c r="D24" s="13" t="inlineStr">
        <is>
          <t>CONFORME</t>
        </is>
      </c>
      <c r="E24" s="33" t="inlineStr">
        <is>
          <t>Sin acción: la segmentación del ráster valida la geometría del bloque dentro del ±2 %.</t>
        </is>
      </c>
    </row>
    <row r="25" ht="48" customHeight="1">
      <c r="A25" s="33" t="inlineStr">
        <is>
          <t>D-16</t>
        </is>
      </c>
      <c r="B25" s="33" t="inlineStr">
        <is>
          <t>Media MSAVI vs. clase DN dominante</t>
        </is>
      </c>
      <c r="C25" s="33" t="inlineStr">
        <is>
          <t>La media del bloque (0.5479) cae en la clase «DN 4 · 0.4976 - 0.6139 (Vigor moderado)»; la clase de mayor superficie es «DN 4 · 0.4976 - 0.6139 (Vigor moderado)», con 47.38 % del bloque. Superficie bajo el umbral 0.4976: 28.152 ha (29.69 %)</t>
        </is>
      </c>
      <c r="D25" s="13" t="inlineStr">
        <is>
          <t>CONFORME</t>
        </is>
      </c>
      <c r="E25" s="33" t="inlineStr">
        <is>
          <t>Sin acción: la media del bloque y la clase de mayor superficie coinciden.</t>
        </is>
      </c>
    </row>
    <row r="26"/>
    <row r="27">
      <c r="A27" s="16" t="inlineStr">
        <is>
          <t>RESUMEN</t>
        </is>
      </c>
      <c r="B27" s="17" t="inlineStr">
        <is>
          <t>16 verificaciones</t>
        </is>
      </c>
      <c r="C27" s="17" t="inlineStr">
        <is>
          <t>CONFORME: 6 · CORREGIDO: 1 · NO SUSTANTIVA: 2 · SUSTANTIVA: 7</t>
        </is>
      </c>
      <c r="D27" s="17" t="inlineStr"/>
      <c r="E27" s="17" t="inlineStr"/>
    </row>
    <row r="28"/>
    <row r="29" ht="60" customHeight="1">
      <c r="A29"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9" s="40" t="n"/>
      <c r="C29" s="40" t="n"/>
      <c r="D29" s="40" t="n"/>
      <c r="E29" s="41" t="n"/>
    </row>
  </sheetData>
  <mergeCells count="8">
    <mergeCell ref="A29:E29"/>
    <mergeCell ref="A4:E4"/>
    <mergeCell ref="A2:E2"/>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79 — IN Piura</dc:title>
  <dc:subject>Diagnóstico Territorial por bloque de intervención</dc:subject>
  <dcterms:created xsi:type="dcterms:W3CDTF">2026-09-08T03:39:54Z</dcterms:created>
  <dcterms:modified xsi:type="dcterms:W3CDTF">2026-09-09T23:30:53Z</dcterms:modified>
</cp:coreProperties>
</file>