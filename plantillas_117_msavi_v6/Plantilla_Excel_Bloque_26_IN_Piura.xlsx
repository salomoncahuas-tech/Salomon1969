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26</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26</t>
        </is>
      </c>
      <c r="C9" s="6" t="inlineStr">
        <is>
          <t>Microcuenca (catálogo)</t>
        </is>
      </c>
      <c r="D9" s="7" t="inlineStr">
        <is>
          <t>C1081-Q9591</t>
        </is>
      </c>
      <c r="E9" s="8" t="n"/>
      <c r="F9" s="8" t="n"/>
    </row>
    <row r="10">
      <c r="A10" s="6" t="inlineStr">
        <is>
          <t>Zona de planificación</t>
        </is>
      </c>
      <c r="B10" s="7" t="inlineStr">
        <is>
          <t>Z10</t>
        </is>
      </c>
      <c r="C10" s="6" t="inlineStr">
        <is>
          <t>Microcuenca declarada en ficha DT</t>
        </is>
      </c>
      <c r="D10" s="7" t="inlineStr">
        <is>
          <t>C1081-Q9591</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Lalaquiz</t>
        </is>
      </c>
      <c r="C12" s="6" t="inlineStr">
        <is>
          <t>Capital distrital</t>
        </is>
      </c>
      <c r="D12" s="7" t="inlineStr">
        <is>
          <t>Lalaquiz</t>
        </is>
      </c>
      <c r="E12" s="8" t="n"/>
      <c r="F12" s="8" t="n"/>
    </row>
    <row r="13">
      <c r="A13" s="6" t="inlineStr">
        <is>
          <t>Centro poblado asociado</t>
        </is>
      </c>
      <c r="B13" s="7" t="inlineStr">
        <is>
          <t>La Laguna</t>
        </is>
      </c>
      <c r="C13" s="6" t="inlineStr">
        <is>
          <t>Comunidad campesina</t>
        </is>
      </c>
      <c r="D13" s="7" t="inlineStr">
        <is>
          <t>Por verificar</t>
        </is>
      </c>
      <c r="E13" s="8" t="n"/>
      <c r="F13" s="8" t="n"/>
    </row>
    <row r="14">
      <c r="A14" s="6" t="inlineStr">
        <is>
          <t>Superficie de catálogo (V5/V6), ha</t>
        </is>
      </c>
      <c r="B14" s="7" t="n">
        <v>46.96</v>
      </c>
      <c r="C14" s="6" t="inlineStr">
        <is>
          <t>Fuente de superficie</t>
        </is>
      </c>
      <c r="D14" s="7" t="inlineStr">
        <is>
          <t>Catálogo maestro Bloques V5/V6</t>
        </is>
      </c>
      <c r="E14" s="8" t="n"/>
      <c r="F14" s="8" t="n"/>
    </row>
    <row r="15">
      <c r="A15" s="6" t="inlineStr">
        <is>
          <t>Centroide UTM ESTE (m)</t>
        </is>
      </c>
      <c r="B15" s="7" t="n">
        <v>649472</v>
      </c>
      <c r="C15" s="6" t="inlineStr">
        <is>
          <t>Centroide UTM NORTE (m)</t>
        </is>
      </c>
      <c r="D15" s="7" t="n">
        <v>9425705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1260</v>
      </c>
      <c r="C19" s="6" t="inlineStr">
        <is>
          <t>Altitud máxima (msnm)</t>
        </is>
      </c>
      <c r="D19" s="7" t="n">
        <v>1855</v>
      </c>
      <c r="E19" s="8" t="n"/>
      <c r="F19" s="8" t="n"/>
    </row>
    <row r="20">
      <c r="A20" s="6" t="inlineStr">
        <is>
          <t>Amplitud altitudinal (m)</t>
        </is>
      </c>
      <c r="B20" s="7" t="n">
        <v>595</v>
      </c>
      <c r="C20" s="6" t="inlineStr">
        <is>
          <t>Piso altitudinal dominante</t>
        </is>
      </c>
      <c r="D20" s="7" t="inlineStr">
        <is>
          <t>1500-2000 m (Quechua media)</t>
        </is>
      </c>
      <c r="E20" s="8" t="n"/>
      <c r="F20" s="8" t="n"/>
    </row>
    <row r="21">
      <c r="A21" s="6" t="inlineStr">
        <is>
          <t>Pendiente promedio (%)</t>
        </is>
      </c>
      <c r="B21" s="7" t="n">
        <v>32.26</v>
      </c>
      <c r="C21" s="6" t="inlineStr">
        <is>
          <t>Pendiente promedio (grados)</t>
        </is>
      </c>
      <c r="D21" s="7" t="n">
        <v>17.9</v>
      </c>
      <c r="E21" s="8" t="n"/>
      <c r="F21" s="8" t="n"/>
    </row>
    <row r="22">
      <c r="A22" s="6" t="inlineStr">
        <is>
          <t>Clase de pendiente equivalente</t>
        </is>
      </c>
      <c r="B22" s="7" t="inlineStr">
        <is>
          <t>25-50% (Mod. escarpado)</t>
        </is>
      </c>
      <c r="C22" s="6" t="inlineStr">
        <is>
          <t>Rango de pendiente declarado en campo</t>
        </is>
      </c>
      <c r="D22" s="7" t="inlineStr">
        <is>
          <t>50-75%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0.6733</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(97.29 %)</t>
        </is>
      </c>
      <c r="E29" s="8" t="n"/>
      <c r="F29" s="8" t="n"/>
    </row>
    <row r="30">
      <c r="A30" s="6" t="inlineStr">
        <is>
          <t>Superficie clasificada NDVI 2025 (ha)</t>
        </is>
      </c>
      <c r="B30" s="7" t="n">
        <v>46.973</v>
      </c>
      <c r="C30" s="6" t="inlineStr">
        <is>
          <t>Desviación frente al catálogo (%)</t>
        </is>
      </c>
      <c r="D30" s="7" t="n">
        <v>0.03</v>
      </c>
      <c r="E30" s="8" t="n"/>
      <c r="F30" s="8" t="n"/>
    </row>
    <row r="31">
      <c r="A31" s="6" t="inlineStr">
        <is>
          <t>Superficie clasificada MSAVI 2024 (ha)</t>
        </is>
      </c>
      <c r="B31" s="38" t="n">
        <v>46.962</v>
      </c>
      <c r="C31" s="6" t="inlineStr">
        <is>
          <t>Desviación MSAVI frente al catálogo (%)</t>
        </is>
      </c>
      <c r="D31" s="39" t="n">
        <v>0</v>
      </c>
      <c r="E31" s="8" t="n"/>
      <c r="F31" s="8" t="n"/>
    </row>
    <row r="32">
      <c r="A32" s="6" t="inlineStr">
        <is>
          <t>Superficie bajo umbral MSAVI 0.4976 (ha)</t>
        </is>
      </c>
      <c r="B32" s="38" t="n">
        <v>1.102</v>
      </c>
      <c r="C32" s="6" t="inlineStr">
        <is>
          <t>% del bloque bajo umbral (brecha espectral)</t>
        </is>
      </c>
      <c r="D32" s="39" t="n">
        <v>2.35</v>
      </c>
      <c r="E32" s="8" t="n"/>
      <c r="F32" s="8" t="n"/>
    </row>
    <row r="33">
      <c r="A33" s="6" t="inlineStr">
        <is>
          <t>Clase DN dominante (MSAVI 2024)</t>
        </is>
      </c>
      <c r="B33" s="7" t="inlineStr">
        <is>
          <t>DN 5 · &gt; 0.6139 (Vigor alto)</t>
        </is>
      </c>
      <c r="C33" s="6" t="inlineStr">
        <is>
          <t>N.° de polígonos MSAVI del bloque</t>
        </is>
      </c>
      <c r="D33" s="40" t="n">
        <v>101</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46.96 ha (MINAM: Zona agrícola 100%)</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85</v>
      </c>
      <c r="E38" s="8" t="n"/>
      <c r="F38" s="8" t="n"/>
    </row>
    <row r="39">
      <c r="A39" s="6" t="inlineStr">
        <is>
          <t>Suelo desnudo — campo (%)</t>
        </is>
      </c>
      <c r="B39" s="7" t="inlineStr">
        <is>
          <t>&lt;10</t>
        </is>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2</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 ANIN/DIME/SESDI</t>
        </is>
      </c>
      <c r="C44" s="6" t="inlineStr">
        <is>
          <t>Fecha de evaluación</t>
        </is>
      </c>
      <c r="D44" s="7" t="inlineStr">
        <is>
          <t>2026-07-16</t>
        </is>
      </c>
      <c r="E44" s="8" t="n"/>
      <c r="F44" s="8" t="n"/>
    </row>
    <row r="45">
      <c r="A45" s="6" t="inlineStr">
        <is>
          <t>Hora de registro</t>
        </is>
      </c>
      <c r="B45" s="7" t="inlineStr">
        <is>
          <t>00:55</t>
        </is>
      </c>
      <c r="C45" s="6" t="inlineStr">
        <is>
          <t>Correlativo de ficha</t>
        </is>
      </c>
      <c r="D45" s="7" t="inlineStr">
        <is>
          <t>Por registrar</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agropecuaria en propiedad privada sobre laderas de fuerte pendiente, sin prácticas de conservación de suelos</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26</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36.1159</v>
      </c>
      <c r="C10" s="31">
        <f>ROUND(B10/$B$15*100,2)</f>
        <v>76.91</v>
      </c>
      <c r="D10" s="12" t="inlineStr">
        <is>
          <t>Vigor alto</t>
        </is>
      </c>
      <c r="E10" s="12" t="inlineStr">
        <is>
          <t>Sobre umbral</t>
        </is>
      </c>
    </row>
    <row r="11">
      <c r="A11" s="13" t="inlineStr">
        <is>
          <t>0.4976 - 0.6139 · DN 4</t>
        </is>
      </c>
      <c r="B11" s="20" t="n">
        <v>9.743600000000001</v>
      </c>
      <c r="C11" s="21">
        <f>ROUND(B11/$B$15*100,2)</f>
        <v>20.75</v>
      </c>
      <c r="D11" s="14" t="inlineStr">
        <is>
          <t>Vigor moderado</t>
        </is>
      </c>
      <c r="E11" s="14" t="inlineStr">
        <is>
          <t>Sobre umbral</t>
        </is>
      </c>
    </row>
    <row r="12">
      <c r="A12" s="7" t="inlineStr">
        <is>
          <t>0.3813 - 0.4976 · DN 3</t>
        </is>
      </c>
      <c r="B12" s="18" t="n">
        <v>1.1022</v>
      </c>
      <c r="C12" s="19">
        <f>ROUND(B12/$B$15*100,2)</f>
        <v>2.35</v>
      </c>
      <c r="D12" s="15" t="inlineStr">
        <is>
          <t>Vigor bajo</t>
        </is>
      </c>
      <c r="E12" s="15" t="inlineStr">
        <is>
          <t>BAJO umbral 0.4976</t>
        </is>
      </c>
    </row>
    <row r="13">
      <c r="A13" s="13" t="inlineStr">
        <is>
          <t>0.2650 - 0.3813 · DN 2</t>
        </is>
      </c>
      <c r="B13" s="20" t="n">
        <v>0</v>
      </c>
      <c r="C13" s="21">
        <f>ROUND(B13/$B$15*100,2)</f>
        <v>0.0</v>
      </c>
      <c r="D13" s="14" t="inlineStr">
        <is>
          <t>Vigor muy bajo</t>
        </is>
      </c>
      <c r="E13" s="14" t="inlineStr">
        <is>
          <t>BAJO umbral 0.4976</t>
        </is>
      </c>
    </row>
    <row r="14">
      <c r="A14" s="7" t="inlineStr">
        <is>
          <t>&lt;= 0.2650 · DN 1</t>
        </is>
      </c>
      <c r="B14" s="18" t="n">
        <v>0</v>
      </c>
      <c r="C14" s="19">
        <f>ROUND(B14/$B$15*100,2)</f>
        <v>0.0</v>
      </c>
      <c r="D14" s="15" t="inlineStr">
        <is>
          <t>Suelo desnudo / no vegetal</t>
        </is>
      </c>
      <c r="E14" s="15" t="inlineStr">
        <is>
          <t>BAJO umbral 0.4976</t>
        </is>
      </c>
    </row>
    <row r="15" ht="30" customHeight="1">
      <c r="A15" s="43" t="inlineStr">
        <is>
          <t>TOTAL CLASIFICADO MSAVI 2024</t>
        </is>
      </c>
      <c r="B15" s="44">
        <f>SUM(B10:B14)</f>
        <v>46.9617</v>
      </c>
      <c r="C15" s="45">
        <f>SUM(C10:C14)</f>
        <v>100.01</v>
      </c>
      <c r="D15" s="43" t="inlineStr">
        <is>
          <t>Suma de la distribución areal · 101 polígonos</t>
        </is>
      </c>
      <c r="E15" s="43" t="inlineStr">
        <is>
          <t>—</t>
        </is>
      </c>
    </row>
    <row r="16" ht="30" customHeight="1">
      <c r="A16" s="46" t="inlineStr">
        <is>
          <t>Superficie SOBRE umbral 0.4976 (ha)</t>
        </is>
      </c>
      <c r="B16" s="47">
        <f>SUM(B10:B11)</f>
        <v>45.8595</v>
      </c>
      <c r="C16" s="48">
        <f>ROUND(B16/B15*100,2)</f>
        <v>97.65</v>
      </c>
      <c r="D16" s="46" t="inlineStr">
        <is>
          <t>Vigor alto y moderado (DN 4 y DN 5)</t>
        </is>
      </c>
      <c r="E16" s="46" t="inlineStr">
        <is>
          <t>Sobre umbral 0.4976</t>
        </is>
      </c>
    </row>
    <row r="17" ht="30" customHeight="1">
      <c r="A17" s="46" t="inlineStr">
        <is>
          <t>Superficie BAJO umbral 0.4976 (ha) — brecha</t>
        </is>
      </c>
      <c r="B17" s="47">
        <f>SUM(B12:B14)</f>
        <v>1.1022</v>
      </c>
      <c r="C17" s="48">
        <f>ROUND(B17/B15*100,2)</f>
        <v>2.35</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46.96</v>
      </c>
      <c r="C18" s="49" t="inlineStr">
        <is>
          <t>—</t>
        </is>
      </c>
      <c r="D18" s="46" t="inlineStr">
        <is>
          <t>Desviación planimétrica frente al catálogo</t>
        </is>
      </c>
      <c r="E18" s="46" t="inlineStr">
        <is>
          <t>+0.00 %</t>
        </is>
      </c>
    </row>
    <row r="19">
      <c r="A19" s="16" t="inlineStr">
        <is>
          <t>MSAVI 2024 — MEDIA DEL BLOQUE</t>
        </is>
      </c>
      <c r="B19" s="17" t="n">
        <v>0.673303</v>
      </c>
      <c r="C19" s="17" t="inlineStr">
        <is>
          <t>—</t>
        </is>
      </c>
      <c r="D19" s="17" t="inlineStr">
        <is>
          <t>Vigor alto · clase &gt;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101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(0.6733)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45.7024</v>
      </c>
      <c r="C25" s="19" t="n">
        <v>97.29000000000001</v>
      </c>
      <c r="D25" s="15" t="inlineStr">
        <is>
          <t>Dosel continuo, matorral denso o mosaico agroforestal</t>
        </is>
      </c>
      <c r="E25" s="15" t="inlineStr"/>
    </row>
    <row r="26">
      <c r="A26" s="13" t="inlineStr">
        <is>
          <t>Vegetación mediana</t>
        </is>
      </c>
      <c r="B26" s="20" t="n">
        <v>1.2709</v>
      </c>
      <c r="C26" s="21" t="n">
        <v>2.71</v>
      </c>
      <c r="D26" s="14" t="inlineStr">
        <is>
          <t>Pastizal cultivado, matorral ralo, parcelas agrícolas</t>
        </is>
      </c>
      <c r="E26" s="14" t="inlineStr"/>
    </row>
    <row r="27">
      <c r="A27" s="16" t="inlineStr">
        <is>
          <t>TOTAL CLASIFICADO</t>
        </is>
      </c>
      <c r="B27" s="22">
        <f>SUM(B25:B26)</f>
        <v>46.9733</v>
      </c>
      <c r="C27" s="23">
        <f>SUM(C25:C26)</f>
        <v>100.0</v>
      </c>
      <c r="D27" s="17" t="inlineStr"/>
      <c r="E27" s="17" t="inlineStr"/>
    </row>
    <row r="28">
      <c r="A28" s="24" t="inlineStr">
        <is>
          <t>Superficie de catálogo (V5/V6)</t>
        </is>
      </c>
      <c r="B28" s="25" t="n">
        <v>46.96</v>
      </c>
      <c r="C28" s="25" t="inlineStr">
        <is>
          <t>—</t>
        </is>
      </c>
      <c r="D28" s="25" t="inlineStr">
        <is>
          <t>Desviación planimétrica frente al catálogo</t>
        </is>
      </c>
      <c r="E28" s="25" t="inlineStr">
        <is>
          <t>+0.03 %</t>
        </is>
      </c>
    </row>
    <row r="29"/>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97.29 % del polígono clasificado como «Vegetación alta» por el NDVI 2025; la observación de campo corresponde a una parcela o recorrido puntual y no es estadísticamente representativa de las 46.960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26</t>
        </is>
      </c>
    </row>
    <row r="6" ht="24" customHeight="1">
      <c r="A6" s="4" t="inlineStr">
        <is>
          <t>Levantamiento del 2026-07-16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649472</v>
      </c>
      <c r="D10" s="26" t="n">
        <v>9425705</v>
      </c>
      <c r="E10" s="15" t="n">
        <v>0</v>
      </c>
      <c r="F10" s="15" t="inlineStr"/>
      <c r="G10" s="15" t="inlineStr">
        <is>
          <t>Coordenada consignada en F-DT-01</t>
        </is>
      </c>
    </row>
    <row r="11">
      <c r="A11" s="13" t="inlineStr">
        <is>
          <t>E-01</t>
        </is>
      </c>
      <c r="B11" s="14" t="inlineStr">
        <is>
          <t>Rasgo erosivo — Por determinar</t>
        </is>
      </c>
      <c r="C11" s="27" t="n">
        <v>650018</v>
      </c>
      <c r="D11" s="27" t="n">
        <v>9425968</v>
      </c>
      <c r="E11" s="14" t="n">
        <v>606</v>
      </c>
      <c r="F11" s="14" t="inlineStr">
        <is>
          <t>Activa</t>
        </is>
      </c>
      <c r="G11" s="14" t="inlineStr">
        <is>
          <t>Otro</t>
        </is>
      </c>
    </row>
    <row r="12">
      <c r="A12" s="7" t="inlineStr">
        <is>
          <t>E-02</t>
        </is>
      </c>
      <c r="B12" s="15" t="inlineStr">
        <is>
          <t>Rasgo erosivo — Por determinar</t>
        </is>
      </c>
      <c r="C12" s="26" t="n">
        <v>650032</v>
      </c>
      <c r="D12" s="26" t="n">
        <v>9425645</v>
      </c>
      <c r="E12" s="15" t="n">
        <v>563.2</v>
      </c>
      <c r="F12" s="15" t="inlineStr">
        <is>
          <t>Semi-activa</t>
        </is>
      </c>
      <c r="G12" s="15" t="inlineStr">
        <is>
          <t>Otro</t>
        </is>
      </c>
    </row>
    <row r="13">
      <c r="A13" s="13" t="inlineStr">
        <is>
          <t>H-01</t>
        </is>
      </c>
      <c r="B13" s="14" t="inlineStr">
        <is>
          <t>Fuente de agua — Quebrada estacional</t>
        </is>
      </c>
      <c r="C13" s="27" t="n">
        <v>649669</v>
      </c>
      <c r="D13" s="27" t="n">
        <v>9425248</v>
      </c>
      <c r="E13" s="14" t="n">
        <v>497.7</v>
      </c>
      <c r="F13" s="14" t="inlineStr"/>
      <c r="G13" s="14" t="inlineStr">
        <is>
          <t>Sector húmedo con platanales</t>
        </is>
      </c>
    </row>
    <row r="14">
      <c r="A14" s="7" t="inlineStr">
        <is>
          <t>B-03</t>
        </is>
      </c>
      <c r="B14" s="15" t="inlineStr">
        <is>
          <t>Especie clave — Higuerón (Ficus sp.)</t>
        </is>
      </c>
      <c r="C14" s="26" t="n">
        <v>649636</v>
      </c>
      <c r="D14" s="26" t="n">
        <v>9425233</v>
      </c>
      <c r="E14" s="15" t="n">
        <v>499.7</v>
      </c>
      <c r="F14" s="15" t="inlineStr">
        <is>
          <t>Indicadora de buen estado</t>
        </is>
      </c>
      <c r="G14" s="15" t="inlineStr">
        <is>
          <t>No aplica</t>
        </is>
      </c>
    </row>
    <row r="15">
      <c r="A15" s="13" t="inlineStr">
        <is>
          <t>B-05</t>
        </is>
      </c>
      <c r="B15" s="14" t="inlineStr">
        <is>
          <t>Especie clave — Molle (Schinus molle)</t>
        </is>
      </c>
      <c r="C15" s="27" t="n">
        <v>650032</v>
      </c>
      <c r="D15" s="27" t="n">
        <v>9425645</v>
      </c>
      <c r="E15" s="14" t="n">
        <v>563.2</v>
      </c>
      <c r="F15" s="14" t="inlineStr">
        <is>
          <t>Clave cultural</t>
        </is>
      </c>
      <c r="G15" s="14" t="inlineStr">
        <is>
          <t>NE</t>
        </is>
      </c>
    </row>
    <row r="16">
      <c r="A16" s="16" t="inlineStr">
        <is>
          <t>TOTAL: 6 puntos</t>
        </is>
      </c>
      <c r="B16" s="17" t="inlineStr"/>
      <c r="C16" s="17" t="inlineStr"/>
      <c r="D16" s="17" t="inlineStr"/>
      <c r="E16" s="17" t="inlineStr"/>
      <c r="F16" s="17" t="inlineStr"/>
      <c r="G16" s="17" t="inlineStr"/>
    </row>
    <row r="17"/>
    <row r="18">
      <c r="A18" s="6" t="inlineStr">
        <is>
          <t>Centroide del bloque — UTM ESTE (m)</t>
        </is>
      </c>
      <c r="B18" s="7" t="n">
        <v>649472</v>
      </c>
      <c r="C18" s="6" t="inlineStr">
        <is>
          <t>Centroide del bloque — UTM NORTE (m)</t>
        </is>
      </c>
      <c r="D18" s="7" t="n">
        <v>9425705</v>
      </c>
      <c r="E18" s="8" t="n"/>
      <c r="F18" s="8" t="n"/>
      <c r="G18" s="8" t="n"/>
      <c r="H18" s="8" t="n"/>
    </row>
    <row r="19">
      <c r="A19" s="6" t="inlineStr">
        <is>
          <t>N.° de estaciones fotográficas declaradas</t>
        </is>
      </c>
      <c r="B19" s="7" t="inlineStr">
        <is>
          <t>Sin registro en la ficha DT</t>
        </is>
      </c>
      <c r="C19" s="6" t="inlineStr">
        <is>
          <t>Estaciones dentro del polígono</t>
        </is>
      </c>
      <c r="D19" s="7" t="inlineStr">
        <is>
          <t>Por determinar</t>
        </is>
      </c>
      <c r="E19" s="8" t="n"/>
      <c r="F19" s="8" t="n"/>
      <c r="G19" s="8" t="n"/>
      <c r="H19" s="8" t="n"/>
    </row>
    <row r="20"/>
    <row r="21" ht="96" customHeight="1">
      <c r="A21"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clasificado por MINAM como Zona agrícola (100%); en campo es un mosaico agroforestal húmedo con relictos de bosque montano. Sector rotulado con ≈80% de pendiente. Coordenadas de referencia = CENTROIDE del bloque. Altitud GPS, hora de registro y comunidad campesina: por verificar.</t>
        </is>
      </c>
      <c r="B21" s="41" t="n"/>
      <c r="C21" s="41" t="n"/>
      <c r="D21" s="41" t="n"/>
      <c r="E21" s="41" t="n"/>
      <c r="F21" s="41" t="n"/>
      <c r="G21" s="42" t="n"/>
    </row>
  </sheetData>
  <mergeCells count="8">
    <mergeCell ref="A1:G1"/>
    <mergeCell ref="A8:G8"/>
    <mergeCell ref="A3:G3"/>
    <mergeCell ref="A6:G6"/>
    <mergeCell ref="A21:G21"/>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C1081-Q9591 — BLOQUE 26</t>
        </is>
      </c>
    </row>
    <row r="6" ht="24" customHeight="1">
      <c r="A6" s="4" t="inlineStr">
        <is>
          <t>Distrito de Lalaquiz · Provincia de Huancabamba · Comparación de los bloques preliminares de intervención de la misma microcuenca</t>
        </is>
      </c>
    </row>
    <row r="7"/>
    <row r="8" ht="18" customHeight="1">
      <c r="A8" s="5" t="inlineStr">
        <is>
          <t>BLOQUES DE LA MICROCUENCA C1081-Q9591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66</t>
        </is>
      </c>
      <c r="B10" s="28" t="n">
        <v>102.34</v>
      </c>
      <c r="C10" s="19" t="n">
        <v>18.53</v>
      </c>
      <c r="D10" s="15" t="inlineStr">
        <is>
          <t>1171 – 1769</t>
        </is>
      </c>
      <c r="E10" s="15" t="n">
        <v>598</v>
      </c>
      <c r="F10" s="15" t="n">
        <v>31.55</v>
      </c>
      <c r="G10" s="18" t="n">
        <v>0.6403</v>
      </c>
      <c r="H10" s="19" t="n">
        <v>94.08</v>
      </c>
      <c r="I10" s="19" t="n">
        <v>8.84</v>
      </c>
    </row>
    <row r="11">
      <c r="A11" s="13" t="inlineStr">
        <is>
          <t>M30B5</t>
        </is>
      </c>
      <c r="B11" s="29" t="n">
        <v>90.90000000000001</v>
      </c>
      <c r="C11" s="21" t="n">
        <v>16.46</v>
      </c>
      <c r="D11" s="14" t="inlineStr">
        <is>
          <t>1782 – 2307</t>
        </is>
      </c>
      <c r="E11" s="14" t="n">
        <v>525</v>
      </c>
      <c r="F11" s="14" t="n">
        <v>21.23</v>
      </c>
      <c r="G11" s="20" t="n">
        <v>0.5564</v>
      </c>
      <c r="H11" s="21" t="n">
        <v>79.45999999999999</v>
      </c>
      <c r="I11" s="21" t="n">
        <v>33.03</v>
      </c>
    </row>
    <row r="12">
      <c r="A12" s="7" t="inlineStr">
        <is>
          <t>21</t>
        </is>
      </c>
      <c r="B12" s="28" t="n">
        <v>84.23</v>
      </c>
      <c r="C12" s="19" t="n">
        <v>15.25</v>
      </c>
      <c r="D12" s="15" t="inlineStr">
        <is>
          <t>1353 – 2004</t>
        </is>
      </c>
      <c r="E12" s="15" t="n">
        <v>651</v>
      </c>
      <c r="F12" s="15" t="n">
        <v>31.71</v>
      </c>
      <c r="G12" s="18" t="n">
        <v>0.6201</v>
      </c>
      <c r="H12" s="19" t="n">
        <v>89.39</v>
      </c>
      <c r="I12" s="19" t="n">
        <v>5.17</v>
      </c>
    </row>
    <row r="13">
      <c r="A13" s="13" t="inlineStr">
        <is>
          <t>28</t>
        </is>
      </c>
      <c r="B13" s="29" t="n">
        <v>52.97</v>
      </c>
      <c r="C13" s="21" t="n">
        <v>9.59</v>
      </c>
      <c r="D13" s="14" t="inlineStr">
        <is>
          <t>1462 – 1856</t>
        </is>
      </c>
      <c r="E13" s="14" t="n">
        <v>394</v>
      </c>
      <c r="F13" s="14" t="n">
        <v>30.36</v>
      </c>
      <c r="G13" s="20" t="n">
        <v>0.6394</v>
      </c>
      <c r="H13" s="21" t="n">
        <v>96.64</v>
      </c>
      <c r="I13" s="21" t="n">
        <v>0.93</v>
      </c>
    </row>
    <row r="14">
      <c r="A14" s="11" t="inlineStr">
        <is>
          <t>► 26</t>
        </is>
      </c>
      <c r="B14" s="30" t="n">
        <v>46.96</v>
      </c>
      <c r="C14" s="31" t="n">
        <v>8.5</v>
      </c>
      <c r="D14" s="12" t="inlineStr">
        <is>
          <t>1260 – 1855</t>
        </is>
      </c>
      <c r="E14" s="12" t="n">
        <v>595</v>
      </c>
      <c r="F14" s="12" t="n">
        <v>32.26</v>
      </c>
      <c r="G14" s="32" t="n">
        <v>0.6733</v>
      </c>
      <c r="H14" s="31" t="n">
        <v>97.29000000000001</v>
      </c>
      <c r="I14" s="31" t="n">
        <v>2.35</v>
      </c>
    </row>
    <row r="15">
      <c r="A15" s="13" t="inlineStr">
        <is>
          <t>60</t>
        </is>
      </c>
      <c r="B15" s="29" t="n">
        <v>40.13</v>
      </c>
      <c r="C15" s="21" t="n">
        <v>7.27</v>
      </c>
      <c r="D15" s="14" t="inlineStr">
        <is>
          <t>1638 – 2073</t>
        </is>
      </c>
      <c r="E15" s="14" t="n">
        <v>435</v>
      </c>
      <c r="F15" s="14" t="n">
        <v>32.67</v>
      </c>
      <c r="G15" s="20" t="n">
        <v>0.6745</v>
      </c>
      <c r="H15" s="21" t="n">
        <v>99.90000000000001</v>
      </c>
      <c r="I15" s="21" t="n">
        <v>0.61</v>
      </c>
    </row>
    <row r="16">
      <c r="A16" s="7" t="inlineStr">
        <is>
          <t>64</t>
        </is>
      </c>
      <c r="B16" s="28" t="n">
        <v>35.77</v>
      </c>
      <c r="C16" s="19" t="n">
        <v>6.48</v>
      </c>
      <c r="D16" s="15" t="inlineStr">
        <is>
          <t>2412 – 2651</t>
        </is>
      </c>
      <c r="E16" s="15" t="n">
        <v>239</v>
      </c>
      <c r="F16" s="15" t="n">
        <v>28.18</v>
      </c>
      <c r="G16" s="18" t="n">
        <v>0.5254</v>
      </c>
      <c r="H16" s="19" t="n">
        <v>78.22</v>
      </c>
      <c r="I16" s="19" t="n">
        <v>41.48</v>
      </c>
    </row>
    <row r="17">
      <c r="A17" s="13" t="inlineStr">
        <is>
          <t>37</t>
        </is>
      </c>
      <c r="B17" s="29" t="n">
        <v>35.49</v>
      </c>
      <c r="C17" s="21" t="n">
        <v>6.43</v>
      </c>
      <c r="D17" s="14" t="inlineStr">
        <is>
          <t>1184 – 1455</t>
        </is>
      </c>
      <c r="E17" s="14" t="n">
        <v>271</v>
      </c>
      <c r="F17" s="14" t="n">
        <v>23.59</v>
      </c>
      <c r="G17" s="20" t="n">
        <v>0.6588000000000001</v>
      </c>
      <c r="H17" s="21" t="n">
        <v>98.02</v>
      </c>
      <c r="I17" s="21" t="n">
        <v>1.92</v>
      </c>
    </row>
    <row r="18">
      <c r="A18" s="7" t="inlineStr">
        <is>
          <t>30</t>
        </is>
      </c>
      <c r="B18" s="28" t="n">
        <v>34.87</v>
      </c>
      <c r="C18" s="19" t="n">
        <v>6.31</v>
      </c>
      <c r="D18" s="15" t="inlineStr">
        <is>
          <t>1216 – 1541</t>
        </is>
      </c>
      <c r="E18" s="15" t="n">
        <v>325</v>
      </c>
      <c r="F18" s="15" t="n">
        <v>27.91</v>
      </c>
      <c r="G18" s="18" t="n">
        <v>0.6637999999999999</v>
      </c>
      <c r="H18" s="19" t="n">
        <v>99.38</v>
      </c>
      <c r="I18" s="19" t="n">
        <v>1.31</v>
      </c>
    </row>
    <row r="19">
      <c r="A19" s="13" t="inlineStr">
        <is>
          <t>40</t>
        </is>
      </c>
      <c r="B19" s="29" t="n">
        <v>28.52</v>
      </c>
      <c r="C19" s="21" t="n">
        <v>5.16</v>
      </c>
      <c r="D19" s="14" t="inlineStr">
        <is>
          <t>1407 – 1656</t>
        </is>
      </c>
      <c r="E19" s="14" t="n">
        <v>249</v>
      </c>
      <c r="F19" s="14" t="n">
        <v>31.4</v>
      </c>
      <c r="G19" s="20" t="n">
        <v>0.6401</v>
      </c>
      <c r="H19" s="21" t="n">
        <v>99.55</v>
      </c>
      <c r="I19" s="21" t="n">
        <v>2.9</v>
      </c>
    </row>
    <row r="20">
      <c r="A20" s="16" t="inlineStr">
        <is>
          <t>TOTAL / PROMEDIO</t>
        </is>
      </c>
      <c r="B20" s="33">
        <f>SUM(B10:B19)</f>
        <v>552.18</v>
      </c>
      <c r="C20" s="23">
        <f>SUM(C10:C19)</f>
        <v>99.98</v>
      </c>
      <c r="D20" s="17" t="inlineStr">
        <is>
          <t>1171 – 2651</t>
        </is>
      </c>
      <c r="E20" s="17" t="inlineStr"/>
      <c r="F20" s="17">
        <f>ROUND(AVERAGE(F10:F19),2)</f>
        <v>29.09</v>
      </c>
      <c r="G20" s="22">
        <f>ROUND(AVERAGE(G10:G19),4)</f>
        <v>0.6292</v>
      </c>
      <c r="H20" s="23">
        <f>ROUND(AVERAGE(H10:H19),2)</f>
        <v>93.19</v>
      </c>
      <c r="I20" s="23">
        <f>ROUND(AVERAGE(I10:I19),2)</f>
        <v>9.85</v>
      </c>
    </row>
    <row r="21"/>
    <row r="22" ht="84" customHeight="1">
      <c r="A22" s="9" t="inlineStr">
        <is>
          <t>LECTURA INTRAMICROCUENCA. El bloque 26 ocupa el puesto 5 de 10 por superficie dentro de la microcuenca C1081-Q9591 (8.50 % de las 552.18 ha preliminares de la microcuenca). Su pendiente promedio (32.26 %, clase «25-50% (Mod. escarpado)») es la 9.ª más baja de 10 y se sitúa por encima del promedio de la microcuenca (29.09 %). Su MSAVI 2024 (0.6733) es el 2.º de 10 y queda por encima del promedio local (0.6292). Amplitud altitudinal del bloque: 595 m (1260–1855 msnm). El cuadro conserva todos los bloques catalogados en la microcuenca, incluidos los descartados en el tamizaje, para referencia del conjunto. Los bloques sin ficha DT figuran con sus parámetros de gabinete. BRECHA ESPECTRAL. El 2.35 % de la superficie del bloque (1.102 ha de 46.962 ha) se sitúa bajo el umbral MSAVI 0.4976, por debajo del promedio local de la microcuenca (9.85 %) calculado sobre los bloques con dato MSAVI disponible.</t>
        </is>
      </c>
      <c r="B22" s="41" t="n"/>
      <c r="C22" s="41" t="n"/>
      <c r="D22" s="41" t="n"/>
      <c r="E22" s="41" t="n"/>
      <c r="F22" s="41" t="n"/>
      <c r="G22" s="41" t="n"/>
      <c r="H22" s="42" t="n"/>
    </row>
    <row r="23"/>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2" t="n"/>
    </row>
  </sheetData>
  <mergeCells count="9">
    <mergeCell ref="A1:I1"/>
    <mergeCell ref="A4:I4"/>
    <mergeCell ref="A3:I3"/>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26</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«C1081-Q9591»</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(46.973 ha) coincide con la de catálogo (46.96 ha) dentro del ±2 % (+0.03 %)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«50-75% (Escarpado)»; la estadística zonal sobre el MDE arroja una pendiente promedio de 32.26 %, que corresponde a la clase «25-50% (Mod. escarpado)»</t>
        </is>
      </c>
      <c r="D13" s="12"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Altitud GPS del punto de muestreo</t>
        </is>
      </c>
      <c r="C14" s="34" t="inlineStr">
        <is>
          <t>La aplicación de captura no registró altitud GPS en campo</t>
        </is>
      </c>
      <c r="D14" s="12" t="inlineStr">
        <is>
          <t>NO SUSTANTIVA</t>
        </is>
      </c>
      <c r="E14" s="34" t="inlineStr">
        <is>
          <t>El rango altitudinal del bloque (1260–1855 msnm) y la pendiente promedio (32.26 %) se toman de la estadística zonal sobre el MDE, no de medición de campo. Se declara la fuente.</t>
        </is>
      </c>
    </row>
    <row r="15" ht="48" customHeight="1">
      <c r="A15" s="36" t="inlineStr">
        <is>
          <t>D-06</t>
        </is>
      </c>
      <c r="B15" s="36" t="inlineStr">
        <is>
          <t>Dimensiones del inventario de cárcavas</t>
        </is>
      </c>
      <c r="C15" s="36" t="inlineStr">
        <is>
          <t>Se registran 2 rasgos erosivos, pero longitud, profundidad y ancho no fueron medidos instrumentalmente</t>
        </is>
      </c>
      <c r="D15" s="12" t="inlineStr">
        <is>
          <t>NO SUSTANTIVA</t>
        </is>
      </c>
      <c r="E15" s="36" t="inlineStr">
        <is>
          <t>El conteo registrado no debe usarse para calcular densidad de cárcavas por hectárea. Pendiente de levantamiento con GPS submétrico.</t>
        </is>
      </c>
    </row>
    <row r="16" ht="48" customHeight="1">
      <c r="A16" s="34" t="inlineStr">
        <is>
          <t>D-07</t>
        </is>
      </c>
      <c r="B16" s="34" t="inlineStr">
        <is>
          <t>Centro poblado asociado</t>
        </is>
      </c>
      <c r="C16" s="34" t="inlineStr">
        <is>
          <t>La ficha DT declara «La Laguna»; el cruce INEI-Bloques V5 identifica 1 centro(s) poblado(s) en el bloque: LA LAGUNA</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6" t="inlineStr">
        <is>
          <t>D-09</t>
        </is>
      </c>
      <c r="B18" s="36" t="inlineStr">
        <is>
          <t>Distribución areal MSAVI 2024</t>
        </is>
      </c>
      <c r="C18" s="36" t="inlineStr">
        <is>
          <t>La distribución por clase de MSAVI no figuraba en los insumos del entregable y se consignaba «Por determinar»; se incorpora la estadística zonal del ráster MSAVI clasificado (101 polígonos, 46.962 ha)</t>
        </is>
      </c>
      <c r="D18" s="37" t="inlineStr">
        <is>
          <t>CORREGIDO</t>
        </is>
      </c>
      <c r="E18"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9" ht="48" customHeight="1">
      <c r="A19" s="36" t="inlineStr">
        <is>
          <t>D-10</t>
        </is>
      </c>
      <c r="B19" s="36" t="inlineStr">
        <is>
          <t>Superficie MSAVI vs. catálogo</t>
        </is>
      </c>
      <c r="C19" s="36" t="inlineStr">
        <is>
          <t>La superficie total clasificada por el MSAVI 2024 (46.962 ha) frente a la de catálogo V5/V6 (46.960 ha): desviación de +0.00 %</t>
        </is>
      </c>
      <c r="D19" s="37" t="inlineStr">
        <is>
          <t>CONFORME</t>
        </is>
      </c>
      <c r="E19" s="36" t="inlineStr">
        <is>
          <t>Sin acción: la segmentación del ráster valida la geometría del bloque dentro del ±2 %.</t>
        </is>
      </c>
    </row>
    <row r="20" ht="48" customHeight="1">
      <c r="A20" s="36" t="inlineStr">
        <is>
          <t>D-11</t>
        </is>
      </c>
      <c r="B20" s="36" t="inlineStr">
        <is>
          <t>Media MSAVI vs. clase DN dominante</t>
        </is>
      </c>
      <c r="C20" s="36" t="inlineStr">
        <is>
          <t>La media del bloque (0.6733) cae en la clase «DN 5 · &gt; 0.6139 (Vigor alto)»; la clase de mayor superficie es «DN 5 · &gt; 0.6139 (Vigor alto)», con 76.90 % del bloque. Superficie bajo el umbral 0.4976: 1.102 ha (2.35 %)</t>
        </is>
      </c>
      <c r="D20" s="37" t="inlineStr">
        <is>
          <t>CONFORME</t>
        </is>
      </c>
      <c r="E20" s="36" t="inlineStr">
        <is>
          <t>Sin acción: la media del bloque y la clase de mayor superficie coinciden.</t>
        </is>
      </c>
    </row>
    <row r="21"/>
    <row r="22">
      <c r="A22" s="16" t="inlineStr">
        <is>
          <t>RESUMEN</t>
        </is>
      </c>
      <c r="B22" s="17" t="inlineStr">
        <is>
          <t>11 verificaciones</t>
        </is>
      </c>
      <c r="C22" s="17" t="inlineStr">
        <is>
          <t>CONFORME: 6 · CORREGIDO: 1 · NO SUSTANTIVA: 3 · SUSTANTIVA: 1</t>
        </is>
      </c>
      <c r="D22" s="17" t="inlineStr"/>
      <c r="E22" s="17" t="inlineStr"/>
    </row>
    <row r="23"/>
    <row r="24" ht="60" customHeight="1">
      <c r="A24"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4" s="41" t="n"/>
      <c r="C24" s="41" t="n"/>
      <c r="D24" s="41" t="n"/>
      <c r="E24" s="42" t="n"/>
    </row>
  </sheetData>
  <mergeCells count="8">
    <mergeCell ref="A4:E4"/>
    <mergeCell ref="A24:E24"/>
    <mergeCell ref="A2:E2"/>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26 — IN Piura</dc:title>
  <dc:subject>Diagnóstico Territorial por bloque de intervención</dc:subject>
  <dcterms:created xsi:type="dcterms:W3CDTF">2026-09-08T03:39:56Z</dcterms:created>
  <dcterms:modified xsi:type="dcterms:W3CDTF">2026-09-10T00:28:26Z</dcterms:modified>
</cp:coreProperties>
</file>