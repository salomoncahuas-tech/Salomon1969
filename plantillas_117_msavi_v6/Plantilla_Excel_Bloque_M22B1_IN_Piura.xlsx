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M22B1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M22B1</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Santa Rosa</t>
        </is>
      </c>
      <c r="C13" s="6" t="inlineStr">
        <is>
          <t>Comunidad campesina</t>
        </is>
      </c>
      <c r="D13" s="7" t="inlineStr">
        <is>
          <t>No consignada</t>
        </is>
      </c>
      <c r="E13" s="8" t="n"/>
      <c r="F13" s="8" t="n"/>
    </row>
    <row r="14">
      <c r="A14" s="6" t="inlineStr">
        <is>
          <t>Superficie de catálogo (V5/V6), ha</t>
        </is>
      </c>
      <c r="B14" s="7" t="n">
        <v>55.17</v>
      </c>
      <c r="C14" s="6" t="inlineStr">
        <is>
          <t>Fuente de superficie</t>
        </is>
      </c>
      <c r="D14" s="7" t="inlineStr">
        <is>
          <t>Catálogo maestro Bloques V5/V6</t>
        </is>
      </c>
      <c r="E14" s="8" t="n"/>
      <c r="F14" s="8" t="n"/>
    </row>
    <row r="15">
      <c r="A15" s="6" t="inlineStr">
        <is>
          <t>Centroide UTM ESTE (m)</t>
        </is>
      </c>
      <c r="B15" s="7" t="n">
        <v>664082</v>
      </c>
      <c r="C15" s="6" t="inlineStr">
        <is>
          <t>Centroide UTM NORTE (m)</t>
        </is>
      </c>
      <c r="D15" s="7" t="n">
        <v>9404172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3216</v>
      </c>
      <c r="C19" s="6" t="inlineStr">
        <is>
          <t>Altitud máxima (msnm)</t>
        </is>
      </c>
      <c r="D19" s="7" t="n">
        <v>3436</v>
      </c>
      <c r="E19" s="8" t="n"/>
      <c r="F19" s="8" t="n"/>
    </row>
    <row r="20">
      <c r="A20" s="6" t="inlineStr">
        <is>
          <t>Amplitud altitudinal (m)</t>
        </is>
      </c>
      <c r="B20" s="7" t="n">
        <v>220</v>
      </c>
      <c r="C20" s="6" t="inlineStr">
        <is>
          <t>Piso altitudinal dominante</t>
        </is>
      </c>
      <c r="D20" s="7" t="inlineStr">
        <is>
          <t>3000-3500 m (Puna baja)</t>
        </is>
      </c>
      <c r="E20" s="8" t="n"/>
      <c r="F20" s="8" t="n"/>
    </row>
    <row r="21">
      <c r="A21" s="6" t="inlineStr">
        <is>
          <t>Pendiente promedio (%)</t>
        </is>
      </c>
      <c r="B21" s="7" t="n">
        <v>19.98</v>
      </c>
      <c r="C21" s="6" t="inlineStr">
        <is>
          <t>Pendiente promedio (grados)</t>
        </is>
      </c>
      <c r="D21" s="7" t="n">
        <v>11.3</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media 26.5%, máxima 44.3% según MDE</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 (derivada del perfil del MDE, no de lectura de brújula en campo)</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Por determinar</t>
        </is>
      </c>
      <c r="E25" s="8" t="n"/>
      <c r="F25" s="8" t="n"/>
    </row>
    <row r="26"/>
    <row r="27" ht="18" customHeight="1">
      <c r="A27" s="5" t="inlineStr">
        <is>
          <t>3. ÍNDICES DE VEGETACIÓN (SENTINEL-2)</t>
        </is>
      </c>
    </row>
    <row r="28">
      <c r="A28" s="6" t="inlineStr">
        <is>
          <t>MSAVI 2024 — media del bloque</t>
        </is>
      </c>
      <c r="B28" s="7" t="n">
        <v>0.594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(91.05 %)</t>
        </is>
      </c>
      <c r="E29" s="8" t="n"/>
      <c r="F29" s="8" t="n"/>
    </row>
    <row r="30">
      <c r="A30" s="6" t="inlineStr">
        <is>
          <t>Superficie clasificada NDVI 2025 (ha)</t>
        </is>
      </c>
      <c r="B30" s="7" t="n">
        <v>55.177</v>
      </c>
      <c r="C30" s="6" t="inlineStr">
        <is>
          <t>Desviación frente al catálogo (%)</t>
        </is>
      </c>
      <c r="D30" s="7" t="n">
        <v>0.01</v>
      </c>
      <c r="E30" s="8" t="n"/>
      <c r="F30" s="8" t="n"/>
    </row>
    <row r="31">
      <c r="A31" s="6" t="inlineStr">
        <is>
          <t>Superficie clasificada MSAVI 2024 (ha)</t>
        </is>
      </c>
      <c r="B31" s="38" t="n">
        <v>55.17</v>
      </c>
      <c r="C31" s="6" t="inlineStr">
        <is>
          <t>Desviación MSAVI frente al catálogo (%)</t>
        </is>
      </c>
      <c r="D31" s="39" t="n">
        <v>0</v>
      </c>
      <c r="E31" s="8" t="n"/>
      <c r="F31" s="8" t="n"/>
    </row>
    <row r="32">
      <c r="A32" s="6" t="inlineStr">
        <is>
          <t>Superficie bajo umbral MSAVI 0.4976 (ha)</t>
        </is>
      </c>
      <c r="B32" s="38" t="n">
        <v>2.264</v>
      </c>
      <c r="C32" s="6" t="inlineStr">
        <is>
          <t>% del bloque bajo umbral (brecha espectral)</t>
        </is>
      </c>
      <c r="D32" s="39" t="n">
        <v>4.1</v>
      </c>
      <c r="E32" s="8" t="n"/>
      <c r="F32" s="8" t="n"/>
    </row>
    <row r="33">
      <c r="A33" s="6" t="inlineStr">
        <is>
          <t>Clase DN dominante (MSAVI 2024)</t>
        </is>
      </c>
      <c r="B33" s="7" t="inlineStr">
        <is>
          <t>DN 4 · 0.4976 - 0.6139 (Vigor moderado)</t>
        </is>
      </c>
      <c r="C33" s="6" t="inlineStr">
        <is>
          <t>N.° de polígonos MSAVI del bloque</t>
        </is>
      </c>
      <c r="D33" s="40" t="n">
        <v>101</v>
      </c>
      <c r="E33" s="8" t="n"/>
      <c r="F33" s="8" t="n"/>
    </row>
    <row r="34"/>
    <row r="35" ht="18" customHeight="1">
      <c r="A35" s="5" t="inlineStr">
        <is>
          <t>4. ECOSISTEMA Y ESTADO DE CONSERVACIÓN</t>
        </is>
      </c>
    </row>
    <row r="36">
      <c r="A36" s="6" t="inlineStr">
        <is>
          <t>Tipo de ecosistema (UP)</t>
        </is>
      </c>
      <c r="B36" s="7" t="inlineStr">
        <is>
          <t>Páramo (44.89 ha, 81.4%) y Matorral andino (10.28 ha, 18.6%)</t>
        </is>
      </c>
      <c r="C36" s="6" t="inlineStr">
        <is>
          <t>Superficie de ecosistema (ha)</t>
        </is>
      </c>
      <c r="D36" s="7" t="inlineStr">
        <is>
          <t>55.17 ha (100% del bloque): 44.89 ha de Páramo + 10.28 ha de Matorral andino</t>
        </is>
      </c>
      <c r="E36" s="8" t="n"/>
      <c r="F36" s="8" t="n"/>
    </row>
    <row r="37">
      <c r="A37" s="6" t="inlineStr">
        <is>
          <t>Estado de conservación</t>
        </is>
      </c>
      <c r="B37" s="7" t="inlineStr">
        <is>
          <t>Medianamente alterado</t>
        </is>
      </c>
      <c r="C37" s="6" t="inlineStr">
        <is>
          <t>Uso actual dominante del suelo</t>
        </is>
      </c>
      <c r="D37" s="7" t="inlineStr">
        <is>
          <t>Pastoreo extensivo con quema de renovación</t>
        </is>
      </c>
      <c r="E37" s="8" t="n"/>
      <c r="F37" s="8" t="n"/>
    </row>
    <row r="38">
      <c r="A38" s="6" t="inlineStr">
        <is>
          <t>Tipo de cobertura dominante</t>
        </is>
      </c>
      <c r="B38" s="7" t="inlineStr">
        <is>
          <t>Matorral / pajonal de páramo</t>
        </is>
      </c>
      <c r="C38" s="6" t="inlineStr">
        <is>
          <t>Cobertura vegetal total — campo (%)</t>
        </is>
      </c>
      <c r="D38" s="7" t="n">
        <v>85</v>
      </c>
      <c r="E38" s="8" t="n"/>
      <c r="F38" s="8" t="n"/>
    </row>
    <row r="39">
      <c r="A39" s="6" t="inlineStr">
        <is>
          <t>Suelo desnudo — campo (%)</t>
        </is>
      </c>
      <c r="B39" s="7" t="n">
        <v>8</v>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n">
        <v>1</v>
      </c>
      <c r="E40" s="8" t="n"/>
      <c r="F40" s="8" t="n"/>
    </row>
    <row r="41">
      <c r="A41" s="6" t="inlineStr">
        <is>
          <t>Elenco florístico (n.° de taxones)</t>
        </is>
      </c>
      <c r="B41" s="7" t="n">
        <v>15</v>
      </c>
      <c r="C41" s="6" t="inlineStr">
        <is>
          <t>Estado sanitario</t>
        </is>
      </c>
      <c r="D41" s="7" t="inlineStr">
        <is>
          <t>Rebrote vigoroso (rebrote observado entre fustes carbonizados)</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2026-07-22</t>
        </is>
      </c>
      <c r="E44" s="8" t="n"/>
      <c r="F44" s="8" t="n"/>
    </row>
    <row r="45">
      <c r="A45" s="6" t="inlineStr">
        <is>
          <t>Hora de registro</t>
        </is>
      </c>
      <c r="B45" s="7" t="inlineStr">
        <is>
          <t>10:27 - 12:01 h</t>
        </is>
      </c>
      <c r="C45" s="6" t="inlineStr">
        <is>
          <t>Correlativo de ficha</t>
        </is>
      </c>
      <c r="D45" s="7" t="inlineStr">
        <is>
          <t>F-DT-M22B1-01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n">
        <v>11</v>
      </c>
      <c r="C48" s="6" t="inlineStr">
        <is>
          <t>Modalidad de acceso</t>
        </is>
      </c>
      <c r="D48" s="7" t="inlineStr">
        <is>
          <t>Vehicular + caminata</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el formato de campo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M22B1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18.4097</v>
      </c>
      <c r="C10" s="19">
        <f>ROUND(B10/$B$15*100,2)</f>
        <v>33.37</v>
      </c>
      <c r="D10" s="11" t="inlineStr">
        <is>
          <t>Vigor alto</t>
        </is>
      </c>
      <c r="E10" s="11" t="inlineStr">
        <is>
          <t>Sobre umbral</t>
        </is>
      </c>
    </row>
    <row r="11">
      <c r="A11" s="12" t="inlineStr">
        <is>
          <t>0.4976 - 0.6139 · DN 4</t>
        </is>
      </c>
      <c r="B11" s="31" t="n">
        <v>34.4959</v>
      </c>
      <c r="C11" s="30">
        <f>ROUND(B11/$B$15*100,2)</f>
        <v>62.53</v>
      </c>
      <c r="D11" s="13" t="inlineStr">
        <is>
          <t>Vigor moderado</t>
        </is>
      </c>
      <c r="E11" s="13" t="inlineStr">
        <is>
          <t>Sobre umbral</t>
        </is>
      </c>
    </row>
    <row r="12">
      <c r="A12" s="7" t="inlineStr">
        <is>
          <t>0.3813 - 0.4976 · DN 3</t>
        </is>
      </c>
      <c r="B12" s="18" t="n">
        <v>2.2642</v>
      </c>
      <c r="C12" s="19">
        <f>ROUND(B12/$B$15*100,2)</f>
        <v>4.1</v>
      </c>
      <c r="D12" s="11" t="inlineStr">
        <is>
          <t>Vigor bajo</t>
        </is>
      </c>
      <c r="E12" s="11" t="inlineStr">
        <is>
          <t>BAJO umbral 0.4976</t>
        </is>
      </c>
    </row>
    <row r="13">
      <c r="A13" s="14" t="inlineStr">
        <is>
          <t>0.2650 - 0.3813 · DN 2</t>
        </is>
      </c>
      <c r="B13" s="20" t="n">
        <v>0</v>
      </c>
      <c r="C13" s="21">
        <f>ROUND(B13/$B$15*100,2)</f>
        <v>0.0</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55.1698</v>
      </c>
      <c r="C15" s="45">
        <f>SUM(C10:C14)</f>
        <v>100.0</v>
      </c>
      <c r="D15" s="43" t="inlineStr">
        <is>
          <t>Suma de la distribución areal · 101 polígonos</t>
        </is>
      </c>
      <c r="E15" s="43" t="inlineStr">
        <is>
          <t>—</t>
        </is>
      </c>
    </row>
    <row r="16" ht="30" customHeight="1">
      <c r="A16" s="46" t="inlineStr">
        <is>
          <t>Superficie SOBRE umbral 0.4976 (ha)</t>
        </is>
      </c>
      <c r="B16" s="47">
        <f>SUM(B10:B11)</f>
        <v>52.9056</v>
      </c>
      <c r="C16" s="48">
        <f>ROUND(B16/B15*100,2)</f>
        <v>95.9</v>
      </c>
      <c r="D16" s="46" t="inlineStr">
        <is>
          <t>Vigor alto y moderado (DN 4 y DN 5)</t>
        </is>
      </c>
      <c r="E16" s="46" t="inlineStr">
        <is>
          <t>Sobre umbral 0.4976</t>
        </is>
      </c>
    </row>
    <row r="17" ht="30" customHeight="1">
      <c r="A17" s="46" t="inlineStr">
        <is>
          <t>Superficie BAJO umbral 0.4976 (ha) — brecha</t>
        </is>
      </c>
      <c r="B17" s="47">
        <f>SUM(B12:B14)</f>
        <v>2.2642</v>
      </c>
      <c r="C17" s="48">
        <f>ROUND(B17/B15*100,2)</f>
        <v>4.1</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55.17</v>
      </c>
      <c r="C18" s="49" t="inlineStr">
        <is>
          <t>—</t>
        </is>
      </c>
      <c r="D18" s="46" t="inlineStr">
        <is>
          <t>Desviación planimétrica frente al catálogo</t>
        </is>
      </c>
      <c r="E18" s="46" t="inlineStr">
        <is>
          <t>+0.00 %</t>
        </is>
      </c>
    </row>
    <row r="19">
      <c r="A19" s="16" t="inlineStr">
        <is>
          <t>MSAVI 2024 — MEDIA DEL BLOQUE</t>
        </is>
      </c>
      <c r="B19" s="17" t="n">
        <v>0.594025</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(0.5940)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50.2362</v>
      </c>
      <c r="C25" s="19" t="n">
        <v>91.05</v>
      </c>
      <c r="D25" s="11" t="inlineStr">
        <is>
          <t>Dosel continuo, matorral denso o mosaico agroforestal</t>
        </is>
      </c>
      <c r="E25" s="11" t="inlineStr"/>
    </row>
    <row r="26">
      <c r="A26" s="14" t="inlineStr">
        <is>
          <t>Vegetación mediana</t>
        </is>
      </c>
      <c r="B26" s="20" t="n">
        <v>4.941</v>
      </c>
      <c r="C26" s="21" t="n">
        <v>8.949999999999999</v>
      </c>
      <c r="D26" s="15" t="inlineStr">
        <is>
          <t>Pastizal cultivado, matorral ralo, parcelas agrícolas</t>
        </is>
      </c>
      <c r="E26" s="15" t="inlineStr"/>
    </row>
    <row r="27">
      <c r="A27" s="16" t="inlineStr">
        <is>
          <t>TOTAL CLASIFICADO</t>
        </is>
      </c>
      <c r="B27" s="22">
        <f>SUM(B25:B26)</f>
        <v>55.1772</v>
      </c>
      <c r="C27" s="23">
        <f>SUM(C25:C26)</f>
        <v>100.0</v>
      </c>
      <c r="D27" s="17" t="inlineStr"/>
      <c r="E27" s="17" t="inlineStr"/>
    </row>
    <row r="28">
      <c r="A28" s="24" t="inlineStr">
        <is>
          <t>Superficie de catálogo (V5/V6)</t>
        </is>
      </c>
      <c r="B28" s="25" t="n">
        <v>55.17</v>
      </c>
      <c r="C28" s="25" t="inlineStr">
        <is>
          <t>—</t>
        </is>
      </c>
      <c r="D28" s="25" t="inlineStr">
        <is>
          <t>Desviación planimétrica frente al catálogo</t>
        </is>
      </c>
      <c r="E28" s="25" t="inlineStr">
        <is>
          <t>+0.01 %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91.05 % del polígono clasificado como «Vegetación alta» por el NDVI 2025; la observación de campo corresponde a una parcela o recorrido puntual y no es estadísticamente representativa de las 55.170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M22B1</t>
        </is>
      </c>
    </row>
    <row r="6" ht="24" customHeight="1">
      <c r="A6" s="4" t="inlineStr">
        <is>
          <t>Levantamiento del 2026-07-22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663663</v>
      </c>
      <c r="D10" s="26" t="n">
        <v>9404682</v>
      </c>
      <c r="E10" s="11" t="n">
        <v>660</v>
      </c>
      <c r="F10" s="11" t="inlineStr"/>
      <c r="G10" s="11" t="inlineStr">
        <is>
          <t>Coordenada consignada en F-DT-01</t>
        </is>
      </c>
    </row>
    <row r="11">
      <c r="A11" s="14" t="inlineStr">
        <is>
          <t>E-01</t>
        </is>
      </c>
      <c r="B11" s="15" t="inlineStr">
        <is>
          <t>Rasgo erosivo — 663617</t>
        </is>
      </c>
      <c r="C11" s="27" t="n">
        <v>9404700</v>
      </c>
      <c r="D11" s="27" t="inlineStr">
        <is>
          <t>Escarpe con material residual rojizo; vegetación arbustiva quemada aguas arriba de la cárcava</t>
        </is>
      </c>
      <c r="E11" s="15" t="inlineStr"/>
      <c r="F11" s="15" t="inlineStr"/>
      <c r="G11" s="15" t="inlineStr"/>
    </row>
    <row r="12">
      <c r="A12" s="7" t="inlineStr">
        <is>
          <t>H-01</t>
        </is>
      </c>
      <c r="B12" s="11" t="inlineStr">
        <is>
          <t>Fuente de agua — Fuente 1</t>
        </is>
      </c>
      <c r="C12" s="26" t="inlineStr">
        <is>
          <t>Manantial con captación de concreto</t>
        </is>
      </c>
      <c r="D12" s="26" t="n">
        <v>663845</v>
      </c>
      <c r="E12" s="11" t="inlineStr"/>
      <c r="F12" s="11" t="n">
        <v>9404560</v>
      </c>
      <c r="G12" s="11" t="inlineStr"/>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664082</v>
      </c>
      <c r="C15" s="6" t="inlineStr">
        <is>
          <t>Centroide del bloque — UTM NORTE (m)</t>
        </is>
      </c>
      <c r="D15" s="7" t="n">
        <v>9404172</v>
      </c>
      <c r="E15" s="8" t="n"/>
      <c r="F15" s="8" t="n"/>
      <c r="G15" s="8" t="n"/>
      <c r="H15" s="8" t="n"/>
    </row>
    <row r="16">
      <c r="A16" s="6" t="inlineStr">
        <is>
          <t>N.° de estaciones fotográficas declaradas</t>
        </is>
      </c>
      <c r="B16" s="7" t="n">
        <v>11</v>
      </c>
      <c r="C16" s="6" t="inlineStr">
        <is>
          <t>Estaciones dentro del polígono</t>
        </is>
      </c>
      <c r="D16" s="7" t="inlineStr">
        <is>
          <t>Por determinar</t>
        </is>
      </c>
      <c r="E16" s="8" t="n"/>
      <c r="F16" s="8" t="n"/>
      <c r="G16" s="8" t="n"/>
      <c r="H16" s="8" t="n"/>
    </row>
    <row r="17"/>
    <row r="18" ht="9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 altitud GPS no fue registrada en campo (celda en blanco). El rango altitudinal y la exposición se derivan del modelo digital de elevaciones, lo que se declara expresamente para no atribuir a la ficha datos que no contiene.</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M22B1</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8" t="n">
        <v>109.86</v>
      </c>
      <c r="C10" s="19" t="n">
        <v>40.1</v>
      </c>
      <c r="D10" s="11" t="inlineStr">
        <is>
          <t>1529 – 2264</t>
        </is>
      </c>
      <c r="E10" s="11" t="n">
        <v>735</v>
      </c>
      <c r="F10" s="11" t="n">
        <v>34.82</v>
      </c>
      <c r="G10" s="18" t="n">
        <v>0.5745</v>
      </c>
      <c r="H10" s="19" t="n">
        <v>90.23999999999999</v>
      </c>
      <c r="I10" s="19" t="n">
        <v>11.68</v>
      </c>
    </row>
    <row r="11">
      <c r="A11" s="12" t="inlineStr">
        <is>
          <t>► M22B1</t>
        </is>
      </c>
      <c r="B11" s="29" t="n">
        <v>55.17</v>
      </c>
      <c r="C11" s="30" t="n">
        <v>20.14</v>
      </c>
      <c r="D11" s="13" t="inlineStr">
        <is>
          <t>3216 – 3436</t>
        </is>
      </c>
      <c r="E11" s="13" t="n">
        <v>220</v>
      </c>
      <c r="F11" s="13" t="n">
        <v>19.98</v>
      </c>
      <c r="G11" s="31" t="n">
        <v>0.594</v>
      </c>
      <c r="H11" s="30" t="n">
        <v>91.05</v>
      </c>
      <c r="I11" s="30" t="n">
        <v>4.1</v>
      </c>
    </row>
    <row r="12">
      <c r="A12" s="7" t="inlineStr">
        <is>
          <t>35</t>
        </is>
      </c>
      <c r="B12" s="28" t="n">
        <v>30.8</v>
      </c>
      <c r="C12" s="19" t="n">
        <v>11.24</v>
      </c>
      <c r="D12" s="11" t="inlineStr">
        <is>
          <t>1376 – 1621</t>
        </is>
      </c>
      <c r="E12" s="11" t="n">
        <v>245</v>
      </c>
      <c r="F12" s="11" t="n">
        <v>33.66</v>
      </c>
      <c r="G12" s="18" t="n">
        <v>0.6245000000000001</v>
      </c>
      <c r="H12" s="19" t="n">
        <v>98.17</v>
      </c>
      <c r="I12" s="19" t="n">
        <v>1.19</v>
      </c>
    </row>
    <row r="13">
      <c r="A13" s="14" t="inlineStr">
        <is>
          <t>44</t>
        </is>
      </c>
      <c r="B13" s="32" t="n">
        <v>28.23</v>
      </c>
      <c r="C13" s="21" t="n">
        <v>10.3</v>
      </c>
      <c r="D13" s="15" t="inlineStr">
        <is>
          <t>3091 – 3277</t>
        </is>
      </c>
      <c r="E13" s="15" t="n">
        <v>186</v>
      </c>
      <c r="F13" s="15" t="n">
        <v>22.21</v>
      </c>
      <c r="G13" s="20" t="n">
        <v>0.5113</v>
      </c>
      <c r="H13" s="21" t="n">
        <v>83.84999999999999</v>
      </c>
      <c r="I13" s="21" t="n">
        <v>52.06</v>
      </c>
    </row>
    <row r="14">
      <c r="A14" s="7" t="inlineStr">
        <is>
          <t>43</t>
        </is>
      </c>
      <c r="B14" s="28" t="n">
        <v>23.17</v>
      </c>
      <c r="C14" s="19" t="n">
        <v>8.460000000000001</v>
      </c>
      <c r="D14" s="11" t="inlineStr">
        <is>
          <t>251 – 811</t>
        </is>
      </c>
      <c r="E14" s="11" t="n">
        <v>560</v>
      </c>
      <c r="F14" s="11" t="n">
        <v>31.39</v>
      </c>
      <c r="G14" s="18" t="n">
        <v>0.5515</v>
      </c>
      <c r="H14" s="19" t="n">
        <v>78.91</v>
      </c>
      <c r="I14" s="19" t="n">
        <v>21.28</v>
      </c>
    </row>
    <row r="15">
      <c r="A15" s="14" t="inlineStr">
        <is>
          <t>47</t>
        </is>
      </c>
      <c r="B15" s="32" t="n">
        <v>13.55</v>
      </c>
      <c r="C15" s="21" t="n">
        <v>4.95</v>
      </c>
      <c r="D15" s="15" t="inlineStr">
        <is>
          <t>2105 – 2333</t>
        </is>
      </c>
      <c r="E15" s="15" t="n">
        <v>228</v>
      </c>
      <c r="F15" s="15" t="n">
        <v>32.43</v>
      </c>
      <c r="G15" s="20" t="n">
        <v>0.5936</v>
      </c>
      <c r="H15" s="21" t="n">
        <v>91.26000000000001</v>
      </c>
      <c r="I15" s="21" t="n">
        <v>9.84</v>
      </c>
    </row>
    <row r="16">
      <c r="A16" s="7" t="inlineStr">
        <is>
          <t>67</t>
        </is>
      </c>
      <c r="B16" s="28" t="n">
        <v>13.18</v>
      </c>
      <c r="C16" s="19" t="n">
        <v>4.81</v>
      </c>
      <c r="D16" s="11" t="inlineStr">
        <is>
          <t>1575 – 1770</t>
        </is>
      </c>
      <c r="E16" s="11" t="n">
        <v>195</v>
      </c>
      <c r="F16" s="11" t="n">
        <v>30.33</v>
      </c>
      <c r="G16" s="18" t="n">
        <v>0.6052999999999999</v>
      </c>
      <c r="H16" s="19" t="n">
        <v>97.5</v>
      </c>
      <c r="I16" s="19" t="n">
        <v>2.12</v>
      </c>
    </row>
    <row r="17">
      <c r="A17" s="16" t="inlineStr">
        <is>
          <t>TOTAL / PROMEDIO</t>
        </is>
      </c>
      <c r="B17" s="33">
        <f>SUM(B10:B16)</f>
        <v>273.96</v>
      </c>
      <c r="C17" s="23">
        <f>SUM(C10:C16)</f>
        <v>100.0</v>
      </c>
      <c r="D17" s="17" t="inlineStr">
        <is>
          <t>251 – 3436</t>
        </is>
      </c>
      <c r="E17" s="17" t="inlineStr"/>
      <c r="F17" s="17">
        <f>ROUND(AVERAGE(F10:F16),2)</f>
        <v>29.26</v>
      </c>
      <c r="G17" s="22">
        <f>ROUND(AVERAGE(G10:G16),4)</f>
        <v>0.5792</v>
      </c>
      <c r="H17" s="23">
        <f>ROUND(AVERAGE(H10:H16),2)</f>
        <v>90.14</v>
      </c>
      <c r="I17" s="23">
        <f>ROUND(AVERAGE(I10:I16),2)</f>
        <v>14.61</v>
      </c>
    </row>
    <row r="18"/>
    <row r="19" ht="84" customHeight="1">
      <c r="A19" s="9" t="inlineStr">
        <is>
          <t>LECTURA INTRAMICROCUENCA. El bloque M22B1 ocupa el puesto 2 de 7 por superficie dentro de la microcuenca C1076-Q9586 (20.14 % de las 273.96 ha preliminares de la microcuenca). Su pendiente promedio (19.98 %, clase «15-25% (Fuert. inclinado)») es la 1.ª más baja de 7 y se sitúa por debajo del promedio de la microcuenca (29.26 %). Su MSAVI 2024 (0.5940) es el 3.º de 7 y queda por encima del promedio local (0.5793). Amplitud altitudinal del bloque: 220 m (3216–3436 msnm). El cuadro conserva todos los bloques catalogados en la microcuenca, incluidos los descartados en el tamizaje, para referencia del conjunto. Los bloques sin ficha DT figuran con sus parámetros de gabinete. BRECHA ESPECTRAL. El 4.10 % de la superficie del bloque (2.264 ha de 55.170 ha) se sitúa bajo el umbral MSAVI 0.4976, por debajo del promedio local de la microcuenca (14.61 %) calculado sobre los bloques con dato MSAVI disponible.</t>
        </is>
      </c>
      <c r="B19" s="41" t="n"/>
      <c r="C19" s="41" t="n"/>
      <c r="D19" s="41" t="n"/>
      <c r="E19" s="41" t="n"/>
      <c r="F19" s="41" t="n"/>
      <c r="G19" s="41" t="n"/>
      <c r="H19" s="42"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1" t="n"/>
      <c r="C21" s="41" t="n"/>
      <c r="D21" s="41" t="n"/>
      <c r="E21" s="41" t="n"/>
      <c r="F21" s="41" t="n"/>
      <c r="G21" s="41" t="n"/>
      <c r="H21" s="42"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M22B1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660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(55.177 ha) coincide con la de catálogo (55.17 ha) dentro del ±2 % (+0.01 %)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 pendiente media 26.5%, máxima 44.3% según MDE»; la estadística zonal sobre el MDE arroja una pendiente promedio de 19.98 %, que corresponde a la clase «15-25% (Fuert. inclinado)»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Dimensiones del inventario de cárcavas</t>
        </is>
      </c>
      <c r="C14" s="34" t="inlineStr">
        <is>
          <t>Se registran 1 rasgos erosivos, pero longitud, profundidad y ancho no fueron medidos instrumentalmente</t>
        </is>
      </c>
      <c r="D14" s="13"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Centro poblado asociado</t>
        </is>
      </c>
      <c r="C15" s="36" t="inlineStr">
        <is>
          <t>La ficha DT declara «Santa Rosa»; el cruce INEI-Bloques V5 identifica 1 centro(s) poblado(s) en el bloque: SANTA ROSA</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Altitud GPS no registrada en campo (celda en blanco)</t>
        </is>
      </c>
      <c r="D17" s="37" t="inlineStr">
        <is>
          <t>SUSTANTIVA</t>
        </is>
      </c>
      <c r="E17" s="36" t="inlineStr">
        <is>
          <t>No se consigna valor; el perfil altitudinal (3 207 - 3 378 msnm) se toma del MDE y se declara como tal</t>
        </is>
      </c>
    </row>
    <row r="18" ht="48" customHeight="1">
      <c r="A18" s="34" t="inlineStr">
        <is>
          <t>D-09</t>
        </is>
      </c>
      <c r="B18" s="34" t="inlineStr">
        <is>
          <t>F-DT-01</t>
        </is>
      </c>
      <c r="C18" s="34" t="inlineStr">
        <is>
          <t>La exposición (SO) se deriva del perfil del MDE y no de lectura de brújula en campo</t>
        </is>
      </c>
      <c r="D18" s="13" t="inlineStr">
        <is>
          <t>NO SUSTANTIVA</t>
        </is>
      </c>
      <c r="E18" s="34" t="inlineStr">
        <is>
          <t>Se declara la fuente del dato</t>
        </is>
      </c>
    </row>
    <row r="19" ht="48" customHeight="1">
      <c r="A19" s="36" t="inlineStr">
        <is>
          <t>D-10</t>
        </is>
      </c>
      <c r="B19" s="36" t="inlineStr">
        <is>
          <t>F-DT-03</t>
        </is>
      </c>
      <c r="C19" s="36" t="inlineStr">
        <is>
          <t>Los 15 taxones figuran como "por confirmar" o indeterminados; no hay determinación botánica formal</t>
        </is>
      </c>
      <c r="D19" s="37" t="inlineStr">
        <is>
          <t>SUSTANTIVA</t>
        </is>
      </c>
      <c r="E19" s="36" t="inlineStr">
        <is>
          <t>Se declara la ausencia de determinación taxonómica; requiere colecta e identificación</t>
        </is>
      </c>
    </row>
    <row r="20" ht="48" customHeight="1">
      <c r="A20" s="34" t="inlineStr">
        <is>
          <t>D-11</t>
        </is>
      </c>
      <c r="B20" s="34" t="inlineStr">
        <is>
          <t>F-DT-04</t>
        </is>
      </c>
      <c r="C20" s="34" t="inlineStr">
        <is>
          <t>Pinus sp. registrada como especie invasora causante de degradación</t>
        </is>
      </c>
      <c r="D20" s="37" t="inlineStr">
        <is>
          <t>SUSTANTIVA</t>
        </is>
      </c>
      <c r="E20" s="34" t="inlineStr">
        <is>
          <t>Se eleva a la Subdirección: el vivero del GORE Piura (663 568 / 9 404 100) oferta Pinus radiata, en tensión con esta ficha</t>
        </is>
      </c>
    </row>
    <row r="21" ht="48" customHeight="1">
      <c r="A21" s="36" t="inlineStr">
        <is>
          <t>D-12</t>
        </is>
      </c>
      <c r="B21" s="36" t="inlineStr">
        <is>
          <t>F-DT-01</t>
        </is>
      </c>
      <c r="C21" s="36" t="inlineStr">
        <is>
          <t>MSAVI 2024 = 0.594 (superior al umbral de brecha 0.4976 de la R.M. N.° 00213-2024-MINAM)</t>
        </is>
      </c>
      <c r="D21" s="37" t="inlineStr">
        <is>
          <t>SUSTANTIVA</t>
        </is>
      </c>
      <c r="E21" s="36" t="inlineStr">
        <is>
          <t>Corresponde ratificar la condición de ecosistema degradado del bloque ante la Subdirección</t>
        </is>
      </c>
    </row>
    <row r="22" ht="48" customHeight="1">
      <c r="A22" s="36" t="inlineStr">
        <is>
          <t>D-13</t>
        </is>
      </c>
      <c r="B22" s="36" t="inlineStr">
        <is>
          <t>Distribución areal MSAVI 2024</t>
        </is>
      </c>
      <c r="C22" s="36" t="inlineStr">
        <is>
          <t>La distribución por clase de MSAVI no figuraba en los insumos del entregable y se consignaba «Por determinar»; se incorpora la estadística zonal del ráster MSAVI clasificado (101 polígonos, 55.170 ha)</t>
        </is>
      </c>
      <c r="D22" s="37" t="inlineStr">
        <is>
          <t>CORREGIDO</t>
        </is>
      </c>
      <c r="E22"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3" ht="48" customHeight="1">
      <c r="A23" s="36" t="inlineStr">
        <is>
          <t>D-14</t>
        </is>
      </c>
      <c r="B23" s="36" t="inlineStr">
        <is>
          <t>Superficie MSAVI vs. catálogo</t>
        </is>
      </c>
      <c r="C23" s="36" t="inlineStr">
        <is>
          <t>La superficie total clasificada por el MSAVI 2024 (55.170 ha) frente a la de catálogo V5/V6 (55.170 ha): desviación de +0.00 %</t>
        </is>
      </c>
      <c r="D23" s="37" t="inlineStr">
        <is>
          <t>CONFORME</t>
        </is>
      </c>
      <c r="E23" s="36" t="inlineStr">
        <is>
          <t>Sin acción: la segmentación del ráster valida la geometría del bloque dentro del ±2 %.</t>
        </is>
      </c>
    </row>
    <row r="24" ht="48" customHeight="1">
      <c r="A24" s="36" t="inlineStr">
        <is>
          <t>D-15</t>
        </is>
      </c>
      <c r="B24" s="36" t="inlineStr">
        <is>
          <t>Media MSAVI vs. clase DN dominante</t>
        </is>
      </c>
      <c r="C24" s="36" t="inlineStr">
        <is>
          <t>La media del bloque (0.5940) cae en la clase «DN 4 · 0.4976 - 0.6139 (Vigor moderado)»; la clase de mayor superficie es «DN 4 · 0.4976 - 0.6139 (Vigor moderado)», con 62.53 % del bloque. Superficie bajo el umbral 0.4976: 2.264 ha (4.10 %)</t>
        </is>
      </c>
      <c r="D24" s="37" t="inlineStr">
        <is>
          <t>CONFORME</t>
        </is>
      </c>
      <c r="E24" s="36" t="inlineStr">
        <is>
          <t>Sin acción: la media del bloque y la clase de mayor superficie coinciden.</t>
        </is>
      </c>
    </row>
    <row r="25"/>
    <row r="26">
      <c r="A26" s="16" t="inlineStr">
        <is>
          <t>RESUMEN</t>
        </is>
      </c>
      <c r="B26" s="17" t="inlineStr">
        <is>
          <t>15 verificaciones</t>
        </is>
      </c>
      <c r="C26" s="17" t="inlineStr">
        <is>
          <t>CONFORME: 6 · CORREGIDO: 1 · NO SUSTANTIVA: 3 · SUSTANTIVA: 5</t>
        </is>
      </c>
      <c r="D26" s="17" t="inlineStr"/>
      <c r="E26" s="17" t="inlineStr"/>
    </row>
    <row r="27"/>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41" t="n"/>
      <c r="C28" s="41" t="n"/>
      <c r="D28" s="41" t="n"/>
      <c r="E28" s="42"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M22B1 — IN Piura</dc:title>
  <dc:subject>Diagnóstico Territorial por bloque de intervención</dc:subject>
  <dcterms:created xsi:type="dcterms:W3CDTF">2026-09-08T03:39:59Z</dcterms:created>
  <dcterms:modified xsi:type="dcterms:W3CDTF">2026-09-10T00:28:31Z</dcterms:modified>
</cp:coreProperties>
</file>