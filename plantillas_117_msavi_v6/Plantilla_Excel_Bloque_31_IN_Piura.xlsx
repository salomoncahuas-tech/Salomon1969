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t>
        </is>
      </c>
      <c r="C13" s="6" t="inlineStr">
        <is>
          <t>Comunidad campesina</t>
        </is>
      </c>
      <c r="D13" s="7" t="inlineStr">
        <is>
          <t>Por verificar (tamizaje predial pendiente)</t>
        </is>
      </c>
      <c r="E13" s="8" t="n"/>
      <c r="F13" s="8" t="n"/>
    </row>
    <row r="14">
      <c r="A14" s="6" t="inlineStr">
        <is>
          <t>Superficie de catálogo (V5/V6), ha</t>
        </is>
      </c>
      <c r="B14" s="7" t="n">
        <v>47.58</v>
      </c>
      <c r="C14" s="6" t="inlineStr">
        <is>
          <t>Fuente de superficie</t>
        </is>
      </c>
      <c r="D14" s="7" t="inlineStr">
        <is>
          <t>Catálogo maestro Bloques V5/V6</t>
        </is>
      </c>
      <c r="E14" s="8" t="n"/>
      <c r="F14" s="8" t="n"/>
    </row>
    <row r="15">
      <c r="A15" s="6" t="inlineStr">
        <is>
          <t>Centroide UTM ESTE (m)</t>
        </is>
      </c>
      <c r="B15" s="7" t="n">
        <v>663334</v>
      </c>
      <c r="C15" s="6" t="inlineStr">
        <is>
          <t>Centroide UTM NORTE (m)</t>
        </is>
      </c>
      <c r="D15" s="7" t="n">
        <v>9392820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1741</v>
      </c>
      <c r="C19" s="6" t="inlineStr">
        <is>
          <t>Altitud máxima (msnm)</t>
        </is>
      </c>
      <c r="D19" s="7" t="n">
        <v>2234</v>
      </c>
      <c r="E19" s="8" t="n"/>
      <c r="F19" s="8" t="n"/>
    </row>
    <row r="20">
      <c r="A20" s="6" t="inlineStr">
        <is>
          <t>Amplitud altitudinal (m)</t>
        </is>
      </c>
      <c r="B20" s="7" t="n">
        <v>493</v>
      </c>
      <c r="C20" s="6" t="inlineStr">
        <is>
          <t>Piso altitudinal dominante</t>
        </is>
      </c>
      <c r="D20" s="7" t="inlineStr">
        <is>
          <t>1500-2000 m (Quechua media)</t>
        </is>
      </c>
      <c r="E20" s="8" t="n"/>
      <c r="F20" s="8" t="n"/>
    </row>
    <row r="21">
      <c r="A21" s="6" t="inlineStr">
        <is>
          <t>Pendiente promedio (%)</t>
        </is>
      </c>
      <c r="B21" s="7" t="n">
        <v>27.08</v>
      </c>
      <c r="C21" s="6" t="inlineStr">
        <is>
          <t>Pendiente promedio (grados)</t>
        </is>
      </c>
      <c r="D21" s="7" t="n">
        <v>15.2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0.4358</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(68.50 %)</t>
        </is>
      </c>
      <c r="E29" s="8" t="n"/>
      <c r="F29" s="8" t="n"/>
    </row>
    <row r="30">
      <c r="A30" s="6" t="inlineStr">
        <is>
          <t>Superficie clasificada NDVI 2025 (ha)</t>
        </is>
      </c>
      <c r="B30" s="7" t="n">
        <v>47.588</v>
      </c>
      <c r="C30" s="6" t="inlineStr">
        <is>
          <t>Desviación frente al catálogo (%)</t>
        </is>
      </c>
      <c r="D30" s="7" t="n">
        <v>0.02</v>
      </c>
      <c r="E30" s="8" t="n"/>
      <c r="F30" s="8" t="n"/>
    </row>
    <row r="31">
      <c r="A31" s="6" t="inlineStr">
        <is>
          <t>Superficie clasificada MSAVI 2024 (ha)</t>
        </is>
      </c>
      <c r="B31" s="38" t="n">
        <v>47.581</v>
      </c>
      <c r="C31" s="6" t="inlineStr">
        <is>
          <t>Desviación MSAVI frente al catálogo (%)</t>
        </is>
      </c>
      <c r="D31" s="39" t="n">
        <v>0</v>
      </c>
      <c r="E31" s="8" t="n"/>
      <c r="F31" s="8" t="n"/>
    </row>
    <row r="32">
      <c r="A32" s="6" t="inlineStr">
        <is>
          <t>Superficie bajo umbral MSAVI 0.4976 (ha)</t>
        </is>
      </c>
      <c r="B32" s="38" t="n">
        <v>37.312</v>
      </c>
      <c r="C32" s="6" t="inlineStr">
        <is>
          <t>% del bloque bajo umbral (brecha espectral)</t>
        </is>
      </c>
      <c r="D32" s="39" t="n">
        <v>78.42</v>
      </c>
      <c r="E32" s="8" t="n"/>
      <c r="F32" s="8" t="n"/>
    </row>
    <row r="33">
      <c r="A33" s="6" t="inlineStr">
        <is>
          <t>Clase DN dominante (MSAVI 2024)</t>
        </is>
      </c>
      <c r="B33" s="7" t="inlineStr">
        <is>
          <t>DN 3 · 0.3813 - 0.4976 (Vigor bajo)</t>
        </is>
      </c>
      <c r="C33" s="6" t="inlineStr">
        <is>
          <t>N.° de polígonos MSAVI del bloque</t>
        </is>
      </c>
      <c r="D33" s="40" t="n">
        <v>335</v>
      </c>
      <c r="E33" s="8" t="n"/>
      <c r="F33" s="8" t="n"/>
    </row>
    <row r="34"/>
    <row r="35" ht="18" customHeight="1">
      <c r="A35" s="5" t="inlineStr">
        <is>
          <t>4. ECOSISTEMA Y ESTADO DE CONSERVACIÓN</t>
        </is>
      </c>
    </row>
    <row r="36">
      <c r="A36" s="6" t="inlineStr">
        <is>
          <t>Tipo de ecosistema (UP)</t>
        </is>
      </c>
      <c r="B36" s="7" t="inlineStr">
        <is>
          <t>Matorral Andino semiárido</t>
        </is>
      </c>
      <c r="C36" s="6" t="inlineStr">
        <is>
          <t>Superficie de ecosistema (ha)</t>
        </is>
      </c>
      <c r="D36" s="7" t="inlineStr">
        <is>
          <t>Por determinar (intersección con capa nacional MINAM pendiente)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inlineStr">
        <is>
          <t>70 - 80</t>
        </is>
      </c>
      <c r="E38" s="8" t="n"/>
      <c r="F38" s="8" t="n"/>
    </row>
    <row r="39">
      <c r="A39" s="6" t="inlineStr">
        <is>
          <t>Suelo desnudo — campo (%)</t>
        </is>
      </c>
      <c r="B39" s="7" t="inlineStr">
        <is>
          <t>10 - 20</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inlineStr">
        <is>
          <t>Sin inventario</t>
        </is>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2026-08-21</t>
        </is>
      </c>
      <c r="E44" s="8" t="n"/>
      <c r="F44" s="8" t="n"/>
    </row>
    <row r="45">
      <c r="A45" s="6" t="inlineStr">
        <is>
          <t>Hora de registro</t>
        </is>
      </c>
      <c r="B45" s="7" t="inlineStr">
        <is>
          <t>12:09 - 12:25 h</t>
        </is>
      </c>
      <c r="C45" s="6" t="inlineStr">
        <is>
          <t>Correlativo de ficha</t>
        </is>
      </c>
      <c r="D45" s="7" t="inlineStr">
        <is>
          <t>F-DT-01-B31-2026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7</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Ganadería extensiva sin ordenamiento de carga ni calendario de pastoreo, sobre predios sin acuerdos de conservación</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2.8031</v>
      </c>
      <c r="C10" s="19">
        <f>ROUND(B10/$B$15*100,2)</f>
        <v/>
      </c>
      <c r="D10" s="11" t="inlineStr">
        <is>
          <t>Vigor alto</t>
        </is>
      </c>
      <c r="E10" s="11" t="inlineStr">
        <is>
          <t>Sobre umbral</t>
        </is>
      </c>
    </row>
    <row r="11">
      <c r="A11" s="12" t="inlineStr">
        <is>
          <t>0.4976 - 0.6139 · DN 4</t>
        </is>
      </c>
      <c r="B11" s="20" t="n">
        <v>7.4668</v>
      </c>
      <c r="C11" s="21">
        <f>ROUND(B11/$B$15*100,2)</f>
        <v/>
      </c>
      <c r="D11" s="13" t="inlineStr">
        <is>
          <t>Vigor moderado</t>
        </is>
      </c>
      <c r="E11" s="13" t="inlineStr">
        <is>
          <t>Sobre umbral</t>
        </is>
      </c>
    </row>
    <row r="12">
      <c r="A12" s="14" t="inlineStr">
        <is>
          <t>0.3813 - 0.4976 · DN 3</t>
        </is>
      </c>
      <c r="B12" s="32" t="n">
        <v>25.6868</v>
      </c>
      <c r="C12" s="31">
        <f>ROUND(B12/$B$15*100,2)</f>
        <v/>
      </c>
      <c r="D12" s="15" t="inlineStr">
        <is>
          <t>Vigor bajo</t>
        </is>
      </c>
      <c r="E12" s="15" t="inlineStr">
        <is>
          <t>BAJO umbral 0.4976</t>
        </is>
      </c>
    </row>
    <row r="13">
      <c r="A13" s="12" t="inlineStr">
        <is>
          <t>0.2650 - 0.3813 · DN 2</t>
        </is>
      </c>
      <c r="B13" s="20" t="n">
        <v>11.0475</v>
      </c>
      <c r="C13" s="21">
        <f>ROUND(B13/$B$15*100,2)</f>
        <v/>
      </c>
      <c r="D13" s="13" t="inlineStr">
        <is>
          <t>Vigor muy bajo</t>
        </is>
      </c>
      <c r="E13" s="13" t="inlineStr">
        <is>
          <t>BAJO umbral 0.4976</t>
        </is>
      </c>
    </row>
    <row r="14">
      <c r="A14" s="7" t="inlineStr">
        <is>
          <t>&lt;= 0.2650 · DN 1</t>
        </is>
      </c>
      <c r="B14" s="18" t="n">
        <v>0.5773</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335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47.58</v>
      </c>
      <c r="C18" s="49" t="inlineStr">
        <is>
          <t>—</t>
        </is>
      </c>
      <c r="D18" s="46" t="inlineStr">
        <is>
          <t>Desviación planimétrica frente al catálogo</t>
        </is>
      </c>
      <c r="E18" s="46" t="inlineStr">
        <is>
          <t>+0.00 %</t>
        </is>
      </c>
    </row>
    <row r="19">
      <c r="A19" s="16" t="inlineStr">
        <is>
          <t>MSAVI 2024 — MEDIA DEL BLOQUE</t>
        </is>
      </c>
      <c r="B19" s="17" t="n">
        <v>0.435805</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335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(0.4358)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8.8344</v>
      </c>
      <c r="C25" s="19" t="n">
        <v>18.56</v>
      </c>
      <c r="D25" s="11" t="inlineStr">
        <is>
          <t>Dosel continuo, matorral denso o mosaico agroforestal</t>
        </is>
      </c>
      <c r="E25" s="11" t="inlineStr"/>
    </row>
    <row r="26">
      <c r="A26" s="12" t="inlineStr">
        <is>
          <t>Vegetación mediana</t>
        </is>
      </c>
      <c r="B26" s="20" t="n">
        <v>32.598</v>
      </c>
      <c r="C26" s="21" t="n">
        <v>68.5</v>
      </c>
      <c r="D26" s="13" t="inlineStr">
        <is>
          <t>Pastizal cultivado, matorral ralo, parcelas agrícolas</t>
        </is>
      </c>
      <c r="E26" s="13" t="inlineStr"/>
    </row>
    <row r="27">
      <c r="A27" s="7" t="inlineStr">
        <is>
          <t>Vegetación ligera</t>
        </is>
      </c>
      <c r="B27" s="18" t="n">
        <v>5.9086</v>
      </c>
      <c r="C27" s="19" t="n">
        <v>12.42</v>
      </c>
      <c r="D27" s="11" t="inlineStr">
        <is>
          <t>Cobertura discontinua, suelo parcialmente expuesto</t>
        </is>
      </c>
      <c r="E27" s="11" t="inlineStr"/>
    </row>
    <row r="28">
      <c r="A28" s="12" t="inlineStr">
        <is>
          <t>Tierra desnuda</t>
        </is>
      </c>
      <c r="B28" s="20" t="n">
        <v>0.247</v>
      </c>
      <c r="C28" s="21" t="n">
        <v>0.52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47.58</v>
      </c>
      <c r="C30" s="25" t="inlineStr">
        <is>
          <t>—</t>
        </is>
      </c>
      <c r="D30" s="25" t="inlineStr">
        <is>
          <t>Desviación planimétrica frente al catálogo</t>
        </is>
      </c>
      <c r="E30" s="25" t="inlineStr">
        <is>
          <t>+0.02 %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31</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663334</v>
      </c>
      <c r="D10" s="26" t="n">
        <v>9392820</v>
      </c>
      <c r="E10" s="11" t="n">
        <v>0</v>
      </c>
      <c r="F10" s="11" t="inlineStr"/>
      <c r="G10" s="11" t="inlineStr">
        <is>
          <t>Coordenada consignada en F-DT-01</t>
        </is>
      </c>
    </row>
    <row r="11">
      <c r="A11" s="12" t="inlineStr">
        <is>
          <t>H-01</t>
        </is>
      </c>
      <c r="B11" s="13" t="inlineStr">
        <is>
          <t>Fuente de agua — Quebrada estacional</t>
        </is>
      </c>
      <c r="C11" s="27" t="n">
        <v>663039</v>
      </c>
      <c r="D11" s="27" t="n">
        <v>9392813</v>
      </c>
      <c r="E11" s="13" t="n">
        <v>295.1</v>
      </c>
      <c r="F11" s="13" t="inlineStr">
        <is>
          <t>Estacional</t>
        </is>
      </c>
      <c r="G11" s="13" t="inlineStr">
        <is>
          <t>Vaguada interior</t>
        </is>
      </c>
    </row>
    <row r="12">
      <c r="A12" s="7" t="inlineStr">
        <is>
          <t>H-02</t>
        </is>
      </c>
      <c r="B12" s="11" t="inlineStr">
        <is>
          <t>Fuente de agua — Otro (línea de conducción)</t>
        </is>
      </c>
      <c r="C12" s="26" t="n">
        <v>662650</v>
      </c>
      <c r="D12" s="26" t="n">
        <v>9393175</v>
      </c>
      <c r="E12" s="11" t="n">
        <v>770.6</v>
      </c>
      <c r="F12" s="11" t="inlineStr">
        <is>
          <t>Permanente</t>
        </is>
      </c>
      <c r="G12" s="11" t="inlineStr">
        <is>
          <t>Línea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663334</v>
      </c>
      <c r="C15" s="6" t="inlineStr">
        <is>
          <t>Centroide del bloque — UTM NORTE (m)</t>
        </is>
      </c>
      <c r="D15" s="7" t="n">
        <v>9392820</v>
      </c>
      <c r="E15" s="8" t="n"/>
      <c r="F15" s="8" t="n"/>
      <c r="G15" s="8" t="n"/>
      <c r="H15" s="8" t="n"/>
    </row>
    <row r="16">
      <c r="A16" s="6" t="inlineStr">
        <is>
          <t>N.° de estaciones fotográficas declaradas</t>
        </is>
      </c>
      <c r="B16" s="7" t="n">
        <v>7</v>
      </c>
      <c r="C16" s="6" t="inlineStr">
        <is>
          <t>Estaciones dentro del polígono</t>
        </is>
      </c>
      <c r="D16" s="7" t="n">
        <v>6</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27.08% ≈ 15.15°. Centroide oficial 663334 E · 9392820 N; centroide planimétrico medido sobre el plano MSAVI 663392 E · 9392806 N (Δ ≈ 59 m). Superficie planimétrica ≈ 44.785 ha frente a las 47.588 ha del catálogo (−5.9%). SEIS de las siete estaciones fotográficas cayeron DENTRO del polígono (30 a 79 m del borde): la verificación es interior, no limítrofe. El cuadrante suroriental no fue recorrido.</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31</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2" t="inlineStr">
        <is>
          <t>19</t>
        </is>
      </c>
      <c r="B11" s="29" t="n">
        <v>82.09</v>
      </c>
      <c r="C11" s="21" t="n">
        <v>17.06</v>
      </c>
      <c r="D11" s="13" t="inlineStr">
        <is>
          <t>2064 – 2503</t>
        </is>
      </c>
      <c r="E11" s="13" t="n">
        <v>439</v>
      </c>
      <c r="F11" s="13"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2" t="inlineStr">
        <is>
          <t>73</t>
        </is>
      </c>
      <c r="B13" s="29" t="n">
        <v>54.29</v>
      </c>
      <c r="C13" s="21" t="n">
        <v>11.28</v>
      </c>
      <c r="D13" s="13" t="inlineStr">
        <is>
          <t>1845 – 2305</t>
        </is>
      </c>
      <c r="E13" s="13" t="n">
        <v>460</v>
      </c>
      <c r="F13" s="13" t="n">
        <v>36.34</v>
      </c>
      <c r="G13" s="20" t="n">
        <v>0.555</v>
      </c>
      <c r="H13" s="21" t="n">
        <v>88.8</v>
      </c>
      <c r="I13" s="21" t="n">
        <v>18.94</v>
      </c>
    </row>
    <row r="14">
      <c r="A14" s="14" t="inlineStr">
        <is>
          <t>► 31</t>
        </is>
      </c>
      <c r="B14" s="30" t="n">
        <v>47.58</v>
      </c>
      <c r="C14" s="31" t="n">
        <v>9.890000000000001</v>
      </c>
      <c r="D14" s="15" t="inlineStr">
        <is>
          <t>1741 – 2234</t>
        </is>
      </c>
      <c r="E14" s="15" t="n">
        <v>493</v>
      </c>
      <c r="F14" s="15" t="n">
        <v>27.08</v>
      </c>
      <c r="G14" s="32" t="n">
        <v>0.4358</v>
      </c>
      <c r="H14" s="31" t="n">
        <v>18.56</v>
      </c>
      <c r="I14" s="31" t="n">
        <v>78.42</v>
      </c>
    </row>
    <row r="15">
      <c r="A15" s="12" t="inlineStr">
        <is>
          <t>29</t>
        </is>
      </c>
      <c r="B15" s="29" t="n">
        <v>40.1</v>
      </c>
      <c r="C15" s="21" t="n">
        <v>8.33</v>
      </c>
      <c r="D15" s="13" t="inlineStr">
        <is>
          <t>2142 – 2391</t>
        </is>
      </c>
      <c r="E15" s="13" t="n">
        <v>249</v>
      </c>
      <c r="F15" s="13" t="n">
        <v>31.54</v>
      </c>
      <c r="G15" s="20" t="n">
        <v>0.5482</v>
      </c>
      <c r="H15" s="21" t="inlineStr">
        <is>
          <t>Por determinar</t>
        </is>
      </c>
      <c r="I15" s="13"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2" t="inlineStr">
        <is>
          <t>68</t>
        </is>
      </c>
      <c r="B17" s="29" t="n">
        <v>21.29</v>
      </c>
      <c r="C17" s="21" t="n">
        <v>4.42</v>
      </c>
      <c r="D17" s="13" t="inlineStr">
        <is>
          <t>2086 – 2374</t>
        </is>
      </c>
      <c r="E17" s="13" t="n">
        <v>288</v>
      </c>
      <c r="F17" s="13" t="n">
        <v>36.81</v>
      </c>
      <c r="G17" s="20" t="n">
        <v>0.483</v>
      </c>
      <c r="H17" s="21" t="inlineStr">
        <is>
          <t>Por determinar</t>
        </is>
      </c>
      <c r="I17" s="13"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2" t="inlineStr">
        <is>
          <t>53</t>
        </is>
      </c>
      <c r="B19" s="29" t="n">
        <v>13.06</v>
      </c>
      <c r="C19" s="21" t="n">
        <v>2.71</v>
      </c>
      <c r="D19" s="13" t="inlineStr">
        <is>
          <t>2235 – 2540</t>
        </is>
      </c>
      <c r="E19" s="13" t="n">
        <v>305</v>
      </c>
      <c r="F19" s="13"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2" t="n"/>
    </row>
    <row r="23"/>
    <row r="24" ht="84" customHeight="1">
      <c r="A24" s="9" t="inlineStr">
        <is>
          <t>LECTURA INTRAMICROCUENCA. El bloque 31 ocupa el puesto 5 de 11 por superficie dentro de la microcuenca C1076-Q9592 (9.89 % de las 481.17 ha preliminares de la microcuenca). Su pendiente promedio (27.08 %, clase «25-50% (Mod. escarpado)») es la 4.ª más baja de 11 y se sitúa por debajo del promedio de la microcuenca (29.39 %). Su MSAVI 2024 (0.4358) es el 11.º de 11 y queda por debajo del promedio local (0.5435). Amplitud altitudinal del bloque: 493 m (1741–2234 msnm). El cuadro conserva todos los bloques catalogados en la microcuenca, incluidos los descartados en el tamizaje, para referencia del conjunto. Los bloques sin ficha DT figuran con sus parámetros de gabinete. BRECHA ESPECTRAL. El 78.42 % de la superficie del bloque (37.312 ha de 47.581 ha) se sitúa bajo el umbral MSAVI 0.4976, por encima del promedio local de la microcuenca (32.80 %)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(47.588 ha) coincide con la de catálogo (47.58 ha) dentro del ±2 % (+0.02 %)</t>
        </is>
      </c>
      <c r="D12" s="37"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5"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(335 polígonos, 47.581 ha)</t>
        </is>
      </c>
      <c r="D16" s="35"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(47.581 ha) frente a la de catálogo V5/V6 (47.580 ha): desviación de +0.00 %</t>
        </is>
      </c>
      <c r="D17" s="35"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(0.4358) cae en la clase «DN 3 · 0.3813 - 0.4976 (Vigor bajo)»; la clase de mayor superficie es «DN 3 · 0.3813 - 0.4976 (Vigor bajo)», con 53.98 % del bloque. Superficie bajo el umbral 0.4976: 37.312 ha (78.42 %)</t>
        </is>
      </c>
      <c r="D18" s="35"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4 · CORREGIDO: 1 · SUSTANTIVA: 4</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31 — IN Piura</dc:title>
  <dc:subject>Diagnóstico Territorial por bloque de intervención</dc:subject>
  <dcterms:created xsi:type="dcterms:W3CDTF">2026-09-08T03:39:59Z</dcterms:created>
  <dcterms:modified xsi:type="dcterms:W3CDTF">2026-09-09T23:30:51Z</dcterms:modified>
</cp:coreProperties>
</file>