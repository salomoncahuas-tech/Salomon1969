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F8CBAD"/>
      </patternFill>
    </fill>
    <fill>
      <patternFill patternType="solid">
        <fgColor rgb="00D9E1F2"/>
      </patternFill>
    </fill>
  </fills>
  <borders count="7">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s>
  <cellStyleXfs count="1">
    <xf numFmtId="0" fontId="0" fillId="0" borderId="0"/>
  </cellStyleXfs>
  <cellXfs count="50">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31</t>
        </is>
      </c>
    </row>
    <row r="6" ht="24" customHeight="1">
      <c r="A6" s="4" t="inlineStr">
        <is>
          <t>Diagnóstico Territorial — Plantilla DT Campo Check Validada V5 | Sistema de referencia: UTM WGS 84 Zona 17S (EPSG:32717)</t>
        </is>
      </c>
    </row>
    <row r="7"/>
    <row r="8" ht="18" customHeight="1">
      <c r="A8" s="5" t="inlineStr">
        <is>
          <t>1. IDENTIFICACIÓN Y LOCALIZACIÓN</t>
        </is>
      </c>
    </row>
    <row r="9">
      <c r="A9" s="6" t="inlineStr">
        <is>
          <t>Código del bloque</t>
        </is>
      </c>
      <c r="B9" s="7" t="inlineStr">
        <is>
          <t>31</t>
        </is>
      </c>
      <c r="C9" s="6" t="inlineStr">
        <is>
          <t>Microcuenca (catálogo)</t>
        </is>
      </c>
      <c r="D9" s="7" t="inlineStr">
        <is>
          <t>C1076-Q9592</t>
        </is>
      </c>
      <c r="E9" s="8" t="n"/>
      <c r="F9" s="8" t="n"/>
    </row>
    <row r="10">
      <c r="A10" s="6" t="inlineStr">
        <is>
          <t>Zona de planificación</t>
        </is>
      </c>
      <c r="B10" s="7" t="inlineStr">
        <is>
          <t>Z13</t>
        </is>
      </c>
      <c r="C10" s="6" t="inlineStr">
        <is>
          <t>Microcuenca declarada en ficha DT</t>
        </is>
      </c>
      <c r="D10" s="7" t="inlineStr">
        <is>
          <t>C1076-Q9584</t>
        </is>
      </c>
      <c r="E10" s="8" t="n"/>
      <c r="F10" s="8" t="n"/>
    </row>
    <row r="11">
      <c r="A11" s="6" t="inlineStr">
        <is>
          <t>Departamento</t>
        </is>
      </c>
      <c r="B11" s="7" t="inlineStr">
        <is>
          <t>Piura</t>
        </is>
      </c>
      <c r="C11" s="6" t="inlineStr">
        <is>
          <t>Provincia</t>
        </is>
      </c>
      <c r="D11" s="7" t="inlineStr">
        <is>
          <t>Huancabamba</t>
        </is>
      </c>
      <c r="E11" s="8" t="n"/>
      <c r="F11" s="8" t="n"/>
    </row>
    <row r="12">
      <c r="A12" s="6" t="inlineStr">
        <is>
          <t>Distrito</t>
        </is>
      </c>
      <c r="B12" s="7" t="inlineStr">
        <is>
          <t>Huarmaca</t>
        </is>
      </c>
      <c r="C12" s="6" t="inlineStr">
        <is>
          <t>Capital distrital</t>
        </is>
      </c>
      <c r="D12" s="7" t="inlineStr">
        <is>
          <t>Huarmaca</t>
        </is>
      </c>
      <c r="E12" s="8" t="n"/>
      <c r="F12" s="8" t="n"/>
    </row>
    <row r="13">
      <c r="A13" s="6" t="inlineStr">
        <is>
          <t>Centro poblado asociado</t>
        </is>
      </c>
      <c r="B13" s="7" t="inlineStr">
        <is>
          <t>Molle y Hualanga Pampa</t>
        </is>
      </c>
      <c r="C13" s="6" t="inlineStr">
        <is>
          <t>Comunidad campesina</t>
        </is>
      </c>
      <c r="D13" s="7" t="inlineStr">
        <is>
          <t>Por verificar (tamizaje predial pendiente)</t>
        </is>
      </c>
      <c r="E13" s="8" t="n"/>
      <c r="F13" s="8" t="n"/>
    </row>
    <row r="14">
      <c r="A14" s="6" t="inlineStr">
        <is>
          <t>Superficie de catálogo (V5/V6), ha</t>
        </is>
      </c>
      <c r="B14" s="7" t="n">
        <v>47.58</v>
      </c>
      <c r="C14" s="6" t="inlineStr">
        <is>
          <t>Fuente de superficie</t>
        </is>
      </c>
      <c r="D14" s="7" t="inlineStr">
        <is>
          <t>Catálogo maestro Bloques V5/V6</t>
        </is>
      </c>
      <c r="E14" s="8" t="n"/>
      <c r="F14" s="8" t="n"/>
    </row>
    <row r="15">
      <c r="A15" s="6" t="inlineStr">
        <is>
          <t>Centroide UTM ESTE (m)</t>
        </is>
      </c>
      <c r="B15" s="7" t="n">
        <v>663334</v>
      </c>
      <c r="C15" s="6" t="inlineStr">
        <is>
          <t>Centroide UTM NORTE (m)</t>
        </is>
      </c>
      <c r="D15" s="7" t="n">
        <v>9392820</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1741</v>
      </c>
      <c r="C19" s="6" t="inlineStr">
        <is>
          <t>Altitud máxima (msnm)</t>
        </is>
      </c>
      <c r="D19" s="7" t="n">
        <v>2234</v>
      </c>
      <c r="E19" s="8" t="n"/>
      <c r="F19" s="8" t="n"/>
    </row>
    <row r="20">
      <c r="A20" s="6" t="inlineStr">
        <is>
          <t>Amplitud altitudinal (m)</t>
        </is>
      </c>
      <c r="B20" s="7" t="n">
        <v>493</v>
      </c>
      <c r="C20" s="6" t="inlineStr">
        <is>
          <t>Piso altitudinal dominante</t>
        </is>
      </c>
      <c r="D20" s="7" t="inlineStr">
        <is>
          <t>1500-2000 m (Quechua media)</t>
        </is>
      </c>
      <c r="E20" s="8" t="n"/>
      <c r="F20" s="8" t="n"/>
    </row>
    <row r="21">
      <c r="A21" s="6" t="inlineStr">
        <is>
          <t>Pendiente promedio (%)</t>
        </is>
      </c>
      <c r="B21" s="7" t="n">
        <v>27.08</v>
      </c>
      <c r="C21" s="6" t="inlineStr">
        <is>
          <t>Pendiente promedio (grados)</t>
        </is>
      </c>
      <c r="D21" s="7" t="n">
        <v>15.2</v>
      </c>
      <c r="E21" s="8" t="n"/>
      <c r="F21" s="8" t="n"/>
    </row>
    <row r="22">
      <c r="A22" s="6" t="inlineStr">
        <is>
          <t>Clase de pendiente equivalente</t>
        </is>
      </c>
      <c r="B22" s="7" t="inlineStr">
        <is>
          <t>25-50% (Mod. escarpado)</t>
        </is>
      </c>
      <c r="C22" s="6" t="inlineStr">
        <is>
          <t>Rango de pendiente declarado en campo</t>
        </is>
      </c>
      <c r="D22" s="7" t="inlineStr">
        <is>
          <t>25-50% (Mod. escarpado)</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Sur</t>
        </is>
      </c>
      <c r="C24" s="6" t="inlineStr">
        <is>
          <t>Afloramientos rocosos</t>
        </is>
      </c>
      <c r="D24" s="7" t="inlineStr">
        <is>
          <t>Sí</t>
        </is>
      </c>
      <c r="E24" s="8" t="n"/>
      <c r="F24" s="8" t="n"/>
    </row>
    <row r="25">
      <c r="A25" s="6" t="inlineStr">
        <is>
          <t>Escarpes activos</t>
        </is>
      </c>
      <c r="B25" s="7" t="inlineStr">
        <is>
          <t>Sí</t>
        </is>
      </c>
      <c r="C25" s="6" t="inlineStr">
        <is>
          <t>Remociones en masa activas</t>
        </is>
      </c>
      <c r="D25" s="7" t="inlineStr">
        <is>
          <t>Sí</t>
        </is>
      </c>
      <c r="E25" s="8" t="n"/>
      <c r="F25" s="8" t="n"/>
    </row>
    <row r="26"/>
    <row r="27" ht="18" customHeight="1">
      <c r="A27" s="5" t="inlineStr">
        <is>
          <t>3. ÍNDICES DE VEGETACIÓN (SENTINEL-2)</t>
        </is>
      </c>
    </row>
    <row r="28">
      <c r="A28" s="6" t="inlineStr">
        <is>
          <t>MSAVI 2024 — media del bloque</t>
        </is>
      </c>
      <c r="B28" s="7" t="n">
        <v>0.4358</v>
      </c>
      <c r="C28" s="6" t="inlineStr">
        <is>
          <t>MSAVI 2024 — clase de la media</t>
        </is>
      </c>
      <c r="D28" s="7" t="inlineStr">
        <is>
          <t>0.3813 - 0.4976 (Vigor bajo)</t>
        </is>
      </c>
      <c r="E28" s="8" t="n"/>
      <c r="F28" s="8" t="n"/>
    </row>
    <row r="29">
      <c r="A29" s="6" t="inlineStr">
        <is>
          <t>Condición frente al umbral 0.4976</t>
        </is>
      </c>
      <c r="B29" s="7" t="inlineStr">
        <is>
          <t>BAJO umbral 0.4976</t>
        </is>
      </c>
      <c r="C29" s="6" t="inlineStr">
        <is>
          <t>NDVI mediana 2025 — clase modal</t>
        </is>
      </c>
      <c r="D29" s="7" t="inlineStr">
        <is>
          <t>Vegetación mediana (68.50 %)</t>
        </is>
      </c>
      <c r="E29" s="8" t="n"/>
      <c r="F29" s="8" t="n"/>
    </row>
    <row r="30">
      <c r="A30" s="6" t="inlineStr">
        <is>
          <t>Superficie clasificada NDVI 2025 (ha)</t>
        </is>
      </c>
      <c r="B30" s="7" t="n">
        <v>47.588</v>
      </c>
      <c r="C30" s="6" t="inlineStr">
        <is>
          <t>Desviación frente al catálogo (%)</t>
        </is>
      </c>
      <c r="D30" s="7" t="n">
        <v>0.02</v>
      </c>
      <c r="E30" s="8" t="n"/>
      <c r="F30" s="8" t="n"/>
    </row>
    <row r="31">
      <c r="A31" s="6" t="inlineStr">
        <is>
          <t>Superficie clasificada MSAVI 2024 (ha)</t>
        </is>
      </c>
      <c r="B31" s="38" t="n">
        <v>47.581</v>
      </c>
      <c r="C31" s="6" t="inlineStr">
        <is>
          <t>Desviación MSAVI frente al catálogo (%)</t>
        </is>
      </c>
      <c r="D31" s="39" t="n">
        <v>0</v>
      </c>
      <c r="E31" s="8" t="n"/>
      <c r="F31" s="8" t="n"/>
    </row>
    <row r="32">
      <c r="A32" s="6" t="inlineStr">
        <is>
          <t>Superficie bajo umbral MSAVI 0.4976 (ha)</t>
        </is>
      </c>
      <c r="B32" s="38" t="n">
        <v>37.312</v>
      </c>
      <c r="C32" s="6" t="inlineStr">
        <is>
          <t>% del bloque bajo umbral (brecha espectral)</t>
        </is>
      </c>
      <c r="D32" s="39" t="n">
        <v>78.42</v>
      </c>
      <c r="E32" s="8" t="n"/>
      <c r="F32" s="8" t="n"/>
    </row>
    <row r="33">
      <c r="A33" s="6" t="inlineStr">
        <is>
          <t>Clase DN dominante (MSAVI 2024)</t>
        </is>
      </c>
      <c r="B33" s="7" t="inlineStr">
        <is>
          <t>DN 3 · 0.3813 - 0.4976 (Vigor bajo)</t>
        </is>
      </c>
      <c r="C33" s="6" t="inlineStr">
        <is>
          <t>N.° de polígonos MSAVI del bloque</t>
        </is>
      </c>
      <c r="D33" s="40" t="n">
        <v>335</v>
      </c>
      <c r="E33" s="8" t="n"/>
      <c r="F33" s="8" t="n"/>
    </row>
    <row r="34"/>
    <row r="35" ht="18" customHeight="1">
      <c r="A35" s="5" t="inlineStr">
        <is>
          <t>4. ECOSISTEMA Y ESTADO DE CONSERVACIÓN</t>
        </is>
      </c>
    </row>
    <row r="36">
      <c r="A36" s="6" t="inlineStr">
        <is>
          <t>Tipo de ecosistema (UP)</t>
        </is>
      </c>
      <c r="B36" s="7" t="inlineStr">
        <is>
          <t>Matorral Andino semiárido</t>
        </is>
      </c>
      <c r="C36" s="6" t="inlineStr">
        <is>
          <t>Superficie de ecosistema (ha)</t>
        </is>
      </c>
      <c r="D36" s="7" t="inlineStr">
        <is>
          <t>Por determinar (intersección con capa nacional MINAM pendiente)</t>
        </is>
      </c>
      <c r="E36" s="8" t="n"/>
      <c r="F36" s="8" t="n"/>
    </row>
    <row r="37">
      <c r="A37" s="6" t="inlineStr">
        <is>
          <t>Estado de conservación</t>
        </is>
      </c>
      <c r="B37" s="7" t="inlineStr">
        <is>
          <t>Muy alterado / Degradado</t>
        </is>
      </c>
      <c r="C37" s="6" t="inlineStr">
        <is>
          <t>Uso actual dominante del suelo</t>
        </is>
      </c>
      <c r="D37" s="7" t="inlineStr">
        <is>
          <t>Pastoreo extensivo</t>
        </is>
      </c>
      <c r="E37" s="8" t="n"/>
      <c r="F37" s="8" t="n"/>
    </row>
    <row r="38">
      <c r="A38" s="6" t="inlineStr">
        <is>
          <t>Tipo de cobertura dominante</t>
        </is>
      </c>
      <c r="B38" s="7" t="inlineStr">
        <is>
          <t>Mixto / Mosaico</t>
        </is>
      </c>
      <c r="C38" s="6" t="inlineStr">
        <is>
          <t>Cobertura vegetal total — campo (%)</t>
        </is>
      </c>
      <c r="D38" s="7" t="inlineStr">
        <is>
          <t>70 - 80</t>
        </is>
      </c>
      <c r="E38" s="8" t="n"/>
      <c r="F38" s="8" t="n"/>
    </row>
    <row r="39">
      <c r="A39" s="6" t="inlineStr">
        <is>
          <t>Suelo desnudo — campo (%)</t>
        </is>
      </c>
      <c r="B39" s="7" t="inlineStr">
        <is>
          <t>10 - 20</t>
        </is>
      </c>
      <c r="C39" s="6" t="inlineStr">
        <is>
          <t>Regeneración natural</t>
        </is>
      </c>
      <c r="D39" s="7" t="inlineStr">
        <is>
          <t>Escasa (&lt;10 pl./100m²)</t>
        </is>
      </c>
      <c r="E39" s="8" t="n"/>
      <c r="F39" s="8" t="n"/>
    </row>
    <row r="40">
      <c r="A40" s="6" t="inlineStr">
        <is>
          <t>Nivel general de erosión</t>
        </is>
      </c>
      <c r="B40" s="7" t="inlineStr">
        <is>
          <t>Fuerte (cárcavas incipientes)</t>
        </is>
      </c>
      <c r="C40" s="6" t="inlineStr">
        <is>
          <t>N.° de cárcavas registradas</t>
        </is>
      </c>
      <c r="D40" s="7" t="inlineStr">
        <is>
          <t>Sin inventario</t>
        </is>
      </c>
      <c r="E40" s="8" t="n"/>
      <c r="F40" s="8" t="n"/>
    </row>
    <row r="41">
      <c r="A41" s="6" t="inlineStr">
        <is>
          <t>Elenco florístico (n.° de taxones)</t>
        </is>
      </c>
      <c r="B41" s="7" t="n">
        <v>12</v>
      </c>
      <c r="C41" s="6" t="inlineStr">
        <is>
          <t>Estado sanitario</t>
        </is>
      </c>
      <c r="D41" s="7" t="inlineStr">
        <is>
          <t>Sano</t>
        </is>
      </c>
      <c r="E41" s="8" t="n"/>
      <c r="F41" s="8" t="n"/>
    </row>
    <row r="42"/>
    <row r="43" ht="18" customHeight="1">
      <c r="A43" s="5" t="inlineStr">
        <is>
          <t>5. RESPONSABLE Y MODALIDAD DE LA EVALUACIÓN</t>
        </is>
      </c>
    </row>
    <row r="44">
      <c r="A44" s="6" t="inlineStr">
        <is>
          <t>Responsable de la evaluación</t>
        </is>
      </c>
      <c r="B44" s="7" t="inlineStr">
        <is>
          <t>Ing. Pedro Talledo Hernández</t>
        </is>
      </c>
      <c r="C44" s="6" t="inlineStr">
        <is>
          <t>Fecha de evaluación</t>
        </is>
      </c>
      <c r="D44" s="7" t="inlineStr">
        <is>
          <t>2026-08-21</t>
        </is>
      </c>
      <c r="E44" s="8" t="n"/>
      <c r="F44" s="8" t="n"/>
    </row>
    <row r="45">
      <c r="A45" s="6" t="inlineStr">
        <is>
          <t>Hora de registro</t>
        </is>
      </c>
      <c r="B45" s="7" t="inlineStr">
        <is>
          <t>12:09 - 12:25 h</t>
        </is>
      </c>
      <c r="C45" s="6" t="inlineStr">
        <is>
          <t>Correlativo de ficha</t>
        </is>
      </c>
      <c r="D45" s="7" t="inlineStr">
        <is>
          <t>F-DT-01-B31-2026</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7" t="inlineStr">
        <is>
          <t>No instalada</t>
        </is>
      </c>
      <c r="E47" s="8" t="n"/>
      <c r="F47" s="8" t="n"/>
    </row>
    <row r="48">
      <c r="A48" s="6" t="inlineStr">
        <is>
          <t>Estaciones fotográficas georreferenciadas</t>
        </is>
      </c>
      <c r="B48" s="7" t="n">
        <v>7</v>
      </c>
      <c r="C48" s="6" t="inlineStr">
        <is>
          <t>Modalidad de acceso</t>
        </is>
      </c>
      <c r="D48" s="7" t="inlineStr">
        <is>
          <t>Vehicular 4x4 hasta el bloque</t>
        </is>
      </c>
      <c r="E48" s="8" t="n"/>
      <c r="F48" s="8" t="n"/>
    </row>
    <row r="49"/>
    <row r="50" ht="18" customHeight="1">
      <c r="A50" s="5" t="inlineStr">
        <is>
          <t>6. SÍNTESIS PARA LA GESTIÓN DEL RIESGO EN CONTEXTO DE CAMBIO CLIMÁTICO</t>
        </is>
      </c>
    </row>
    <row r="51">
      <c r="A51" s="6" t="inlineStr">
        <is>
          <t>Causa subyacente principal</t>
        </is>
      </c>
      <c r="B51" s="7" t="inlineStr">
        <is>
          <t>Ganadería extensiva sin ordenamiento de carga ni calendario de pastoreo, sobre predios sin acuerdos de conservación</t>
        </is>
      </c>
      <c r="C51" s="6" t="inlineStr">
        <is>
          <t>Velocidad de degradación</t>
        </is>
      </c>
      <c r="D51" s="7" t="inlineStr">
        <is>
          <t>Moderada</t>
        </is>
      </c>
      <c r="E51" s="8" t="n"/>
      <c r="F51" s="8" t="n"/>
    </row>
    <row r="52">
      <c r="A52" s="6" t="inlineStr">
        <is>
          <t>Reversibilidad técnica</t>
        </is>
      </c>
      <c r="B52" s="7" t="inlineStr">
        <is>
          <t>Parcialmente reversible</t>
        </is>
      </c>
      <c r="C52" s="6" t="inlineStr">
        <is>
          <t>Urgencia de intervención</t>
        </is>
      </c>
      <c r="D52" s="7" t="inlineStr">
        <is>
          <t>Alta</t>
        </is>
      </c>
      <c r="E52" s="8" t="n"/>
      <c r="F52" s="8" t="n"/>
    </row>
    <row r="53">
      <c r="A53" s="6" t="inlineStr">
        <is>
          <t>Urgencia de control de erosión</t>
        </is>
      </c>
      <c r="B53" s="7" t="inlineStr">
        <is>
          <t>Alta</t>
        </is>
      </c>
      <c r="C53" s="6" t="inlineStr">
        <is>
          <t>Zona de recarga hídrica</t>
        </is>
      </c>
      <c r="D53" s="7" t="inlineStr">
        <is>
          <t>Sí</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1" t="n"/>
      <c r="C57" s="41" t="n"/>
      <c r="D57" s="41" t="n"/>
      <c r="E57" s="41" t="n"/>
      <c r="F57" s="42" t="n"/>
    </row>
  </sheetData>
  <mergeCells count="13">
    <mergeCell ref="A2:F2"/>
    <mergeCell ref="A3:F3"/>
    <mergeCell ref="A1:F1"/>
    <mergeCell ref="A5:F5"/>
    <mergeCell ref="A27:F27"/>
    <mergeCell ref="A8:F8"/>
    <mergeCell ref="A6:F6"/>
    <mergeCell ref="A50:F50"/>
    <mergeCell ref="A35:F35"/>
    <mergeCell ref="A18:F18"/>
    <mergeCell ref="A4:F4"/>
    <mergeCell ref="A43:F43"/>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2"/>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31</t>
        </is>
      </c>
    </row>
    <row r="6" ht="24" customHeight="1">
      <c r="A6" s="4" t="inlineStr">
        <is>
          <t>MSAVI 2024 y NDVI mediana 2025 (Sentinel-2, mosaico Piura) · Umbral de brecha del proyecto: MSAVI = 0.4976</t>
        </is>
      </c>
    </row>
    <row r="7"/>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 · DN 5</t>
        </is>
      </c>
      <c r="B10" s="18" t="n">
        <v>2.8031</v>
      </c>
      <c r="C10" s="19">
        <f>ROUND(B10/$B$15*100,2)</f>
        <v>5.89</v>
      </c>
      <c r="D10" s="11" t="inlineStr">
        <is>
          <t>Vigor alto</t>
        </is>
      </c>
      <c r="E10" s="11" t="inlineStr">
        <is>
          <t>Sobre umbral</t>
        </is>
      </c>
    </row>
    <row r="11">
      <c r="A11" s="12" t="inlineStr">
        <is>
          <t>0.4976 - 0.6139 · DN 4</t>
        </is>
      </c>
      <c r="B11" s="20" t="n">
        <v>7.4668</v>
      </c>
      <c r="C11" s="21">
        <f>ROUND(B11/$B$15*100,2)</f>
        <v>15.69</v>
      </c>
      <c r="D11" s="13" t="inlineStr">
        <is>
          <t>Vigor moderado</t>
        </is>
      </c>
      <c r="E11" s="13" t="inlineStr">
        <is>
          <t>Sobre umbral</t>
        </is>
      </c>
    </row>
    <row r="12">
      <c r="A12" s="14" t="inlineStr">
        <is>
          <t>0.3813 - 0.4976 · DN 3</t>
        </is>
      </c>
      <c r="B12" s="32" t="n">
        <v>25.6868</v>
      </c>
      <c r="C12" s="31">
        <f>ROUND(B12/$B$15*100,2)</f>
        <v>53.98</v>
      </c>
      <c r="D12" s="15" t="inlineStr">
        <is>
          <t>Vigor bajo</t>
        </is>
      </c>
      <c r="E12" s="15" t="inlineStr">
        <is>
          <t>BAJO umbral 0.4976</t>
        </is>
      </c>
    </row>
    <row r="13">
      <c r="A13" s="12" t="inlineStr">
        <is>
          <t>0.2650 - 0.3813 · DN 2</t>
        </is>
      </c>
      <c r="B13" s="20" t="n">
        <v>11.0475</v>
      </c>
      <c r="C13" s="21">
        <f>ROUND(B13/$B$15*100,2)</f>
        <v>23.22</v>
      </c>
      <c r="D13" s="13" t="inlineStr">
        <is>
          <t>Vigor muy bajo</t>
        </is>
      </c>
      <c r="E13" s="13" t="inlineStr">
        <is>
          <t>BAJO umbral 0.4976</t>
        </is>
      </c>
    </row>
    <row r="14">
      <c r="A14" s="7" t="inlineStr">
        <is>
          <t>&lt;= 0.2650 · DN 1</t>
        </is>
      </c>
      <c r="B14" s="18" t="n">
        <v>0.5773</v>
      </c>
      <c r="C14" s="19">
        <f>ROUND(B14/$B$15*100,2)</f>
        <v>1.21</v>
      </c>
      <c r="D14" s="11" t="inlineStr">
        <is>
          <t>Suelo desnudo / no vegetal</t>
        </is>
      </c>
      <c r="E14" s="11" t="inlineStr">
        <is>
          <t>BAJO umbral 0.4976</t>
        </is>
      </c>
    </row>
    <row r="15" ht="30" customHeight="1">
      <c r="A15" s="43" t="inlineStr">
        <is>
          <t>TOTAL CLASIFICADO MSAVI 2024</t>
        </is>
      </c>
      <c r="B15" s="44">
        <f>SUM(B10:B14)</f>
        <v>47.5815</v>
      </c>
      <c r="C15" s="45">
        <f>SUM(C10:C14)</f>
        <v>99.99</v>
      </c>
      <c r="D15" s="43" t="inlineStr">
        <is>
          <t>Suma de la distribución areal · 335 polígonos</t>
        </is>
      </c>
      <c r="E15" s="43" t="inlineStr">
        <is>
          <t>—</t>
        </is>
      </c>
    </row>
    <row r="16" ht="30" customHeight="1">
      <c r="A16" s="46" t="inlineStr">
        <is>
          <t>Superficie SOBRE umbral 0.4976 (ha)</t>
        </is>
      </c>
      <c r="B16" s="47">
        <f>SUM(B10:B11)</f>
        <v>10.2699</v>
      </c>
      <c r="C16" s="48">
        <f>ROUND(B16/B15*100,2)</f>
        <v>21.58</v>
      </c>
      <c r="D16" s="46" t="inlineStr">
        <is>
          <t>Vigor alto y moderado (DN 4 y DN 5)</t>
        </is>
      </c>
      <c r="E16" s="46" t="inlineStr">
        <is>
          <t>Sobre umbral 0.4976</t>
        </is>
      </c>
    </row>
    <row r="17" ht="30" customHeight="1">
      <c r="A17" s="46" t="inlineStr">
        <is>
          <t>Superficie BAJO umbral 0.4976 (ha) — brecha</t>
        </is>
      </c>
      <c r="B17" s="47">
        <f>SUM(B12:B14)</f>
        <v>37.3116</v>
      </c>
      <c r="C17" s="48">
        <f>ROUND(B17/B15*100,2)</f>
        <v>78.42</v>
      </c>
      <c r="D17" s="46" t="inlineStr">
        <is>
          <t>Vigor bajo, muy bajo y suelo desnudo (DN 1 a DN 3)</t>
        </is>
      </c>
      <c r="E17" s="46" t="inlineStr">
        <is>
          <t>Base para el indicador de brecha (R.M. N.° 00213-2024-MINAM)</t>
        </is>
      </c>
    </row>
    <row r="18" ht="30" customHeight="1">
      <c r="A18" s="46" t="inlineStr">
        <is>
          <t>Superficie de catálogo (V5/V6) — contraste MSAVI</t>
        </is>
      </c>
      <c r="B18" s="47" t="n">
        <v>47.58</v>
      </c>
      <c r="C18" s="49" t="inlineStr">
        <is>
          <t>—</t>
        </is>
      </c>
      <c r="D18" s="46" t="inlineStr">
        <is>
          <t>Desviación planimétrica frente al catálogo</t>
        </is>
      </c>
      <c r="E18" s="46" t="inlineStr">
        <is>
          <t>+0.00 %</t>
        </is>
      </c>
    </row>
    <row r="19">
      <c r="A19" s="16" t="inlineStr">
        <is>
          <t>MSAVI 2024 — MEDIA DEL BLOQUE</t>
        </is>
      </c>
      <c r="B19" s="17" t="n">
        <v>0.435805</v>
      </c>
      <c r="C19" s="17" t="inlineStr">
        <is>
          <t>—</t>
        </is>
      </c>
      <c r="D19" s="17" t="inlineStr">
        <is>
          <t>Vigor bajo · clase 0.3813 - 0.4976</t>
        </is>
      </c>
      <c r="E19" s="17" t="inlineStr">
        <is>
          <t>BAJO umbral 0.4976</t>
        </is>
      </c>
    </row>
    <row r="20"/>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335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(0.4358) se conserva del catálogo maestro y es dato oficial; la fila resaltada indica la clase en la que cae dicha media. Los totales y porcentajes se calculan con fórmulas sobre las filas del cuadro.</t>
        </is>
      </c>
      <c r="B21" s="41" t="n"/>
      <c r="C21" s="41" t="n"/>
      <c r="D21" s="41" t="n"/>
      <c r="E21" s="42" t="n"/>
    </row>
    <row r="22"/>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8.8344</v>
      </c>
      <c r="C25" s="19" t="n">
        <v>18.56</v>
      </c>
      <c r="D25" s="11" t="inlineStr">
        <is>
          <t>Dosel continuo, matorral denso o mosaico agroforestal</t>
        </is>
      </c>
      <c r="E25" s="11" t="inlineStr"/>
    </row>
    <row r="26">
      <c r="A26" s="12" t="inlineStr">
        <is>
          <t>Vegetación mediana</t>
        </is>
      </c>
      <c r="B26" s="20" t="n">
        <v>32.598</v>
      </c>
      <c r="C26" s="21" t="n">
        <v>68.5</v>
      </c>
      <c r="D26" s="13" t="inlineStr">
        <is>
          <t>Pastizal cultivado, matorral ralo, parcelas agrícolas</t>
        </is>
      </c>
      <c r="E26" s="13" t="inlineStr"/>
    </row>
    <row r="27">
      <c r="A27" s="7" t="inlineStr">
        <is>
          <t>Vegetación ligera</t>
        </is>
      </c>
      <c r="B27" s="18" t="n">
        <v>5.9086</v>
      </c>
      <c r="C27" s="19" t="n">
        <v>12.42</v>
      </c>
      <c r="D27" s="11" t="inlineStr">
        <is>
          <t>Cobertura discontinua, suelo parcialmente expuesto</t>
        </is>
      </c>
      <c r="E27" s="11" t="inlineStr"/>
    </row>
    <row r="28">
      <c r="A28" s="12" t="inlineStr">
        <is>
          <t>Tierra desnuda</t>
        </is>
      </c>
      <c r="B28" s="20" t="n">
        <v>0.247</v>
      </c>
      <c r="C28" s="21" t="n">
        <v>0.52</v>
      </c>
      <c r="D28" s="13" t="inlineStr">
        <is>
          <t>Suelo desnudo, afloramientos, plataformas y taludes</t>
        </is>
      </c>
      <c r="E28" s="13" t="inlineStr"/>
    </row>
    <row r="29">
      <c r="A29" s="16" t="inlineStr">
        <is>
          <t>TOTAL CLASIFICADO</t>
        </is>
      </c>
      <c r="B29" s="22">
        <f>SUM(B25:B28)</f>
        <v>47.588</v>
      </c>
      <c r="C29" s="23">
        <f>SUM(C25:C28)</f>
        <v>100.0</v>
      </c>
      <c r="D29" s="17" t="inlineStr"/>
      <c r="E29" s="17" t="inlineStr"/>
    </row>
    <row r="30">
      <c r="A30" s="24" t="inlineStr">
        <is>
          <t>Superficie de catálogo (V5/V6)</t>
        </is>
      </c>
      <c r="B30" s="25" t="n">
        <v>47.58</v>
      </c>
      <c r="C30" s="25" t="inlineStr">
        <is>
          <t>—</t>
        </is>
      </c>
      <c r="D30" s="25" t="inlineStr">
        <is>
          <t>Desviación planimétrica frente al catálogo</t>
        </is>
      </c>
      <c r="E30" s="25" t="inlineStr">
        <is>
          <t>+0.02 %</t>
        </is>
      </c>
    </row>
    <row r="31"/>
    <row r="32" ht="72" customHeight="1">
      <c r="A32"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t>
        </is>
      </c>
      <c r="B32" s="41" t="n"/>
      <c r="C32" s="41" t="n"/>
      <c r="D32" s="41" t="n"/>
      <c r="E32" s="42" t="n"/>
    </row>
  </sheetData>
  <mergeCells count="10">
    <mergeCell ref="A21:E21"/>
    <mergeCell ref="A4:E4"/>
    <mergeCell ref="A2:E2"/>
    <mergeCell ref="A1:E1"/>
    <mergeCell ref="A23:E23"/>
    <mergeCell ref="A32:E32"/>
    <mergeCell ref="A5:E5"/>
    <mergeCell ref="A8:E8"/>
    <mergeCell ref="A6:E6"/>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8"/>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31</t>
        </is>
      </c>
    </row>
    <row r="6" ht="24" customHeight="1">
      <c r="A6" s="4" t="inlineStr">
        <is>
          <t>Levantamiento del 2026-08-21 · Sistema de referencia UTM WGS 84 Zona 17S (EPSG:32717)</t>
        </is>
      </c>
    </row>
    <row r="7"/>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663334</v>
      </c>
      <c r="D10" s="26" t="n">
        <v>9392820</v>
      </c>
      <c r="E10" s="11" t="n">
        <v>0</v>
      </c>
      <c r="F10" s="11" t="inlineStr"/>
      <c r="G10" s="11" t="inlineStr">
        <is>
          <t>Coordenada consignada en F-DT-01</t>
        </is>
      </c>
    </row>
    <row r="11">
      <c r="A11" s="12" t="inlineStr">
        <is>
          <t>H-01</t>
        </is>
      </c>
      <c r="B11" s="13" t="inlineStr">
        <is>
          <t>Fuente de agua — Quebrada estacional</t>
        </is>
      </c>
      <c r="C11" s="27" t="n">
        <v>663039</v>
      </c>
      <c r="D11" s="27" t="n">
        <v>9392813</v>
      </c>
      <c r="E11" s="13" t="n">
        <v>295.1</v>
      </c>
      <c r="F11" s="13" t="inlineStr">
        <is>
          <t>Estacional</t>
        </is>
      </c>
      <c r="G11" s="13" t="inlineStr">
        <is>
          <t>Vaguada interior</t>
        </is>
      </c>
    </row>
    <row r="12">
      <c r="A12" s="7" t="inlineStr">
        <is>
          <t>H-02</t>
        </is>
      </c>
      <c r="B12" s="11" t="inlineStr">
        <is>
          <t>Fuente de agua — Otro (línea de conducción)</t>
        </is>
      </c>
      <c r="C12" s="26" t="n">
        <v>662650</v>
      </c>
      <c r="D12" s="26" t="n">
        <v>9393175</v>
      </c>
      <c r="E12" s="11" t="n">
        <v>770.6</v>
      </c>
      <c r="F12" s="11" t="inlineStr">
        <is>
          <t>Permanente</t>
        </is>
      </c>
      <c r="G12" s="11" t="inlineStr">
        <is>
          <t>Línea de conducción</t>
        </is>
      </c>
    </row>
    <row r="13">
      <c r="A13" s="16" t="inlineStr">
        <is>
          <t>TOTAL: 3 puntos</t>
        </is>
      </c>
      <c r="B13" s="17" t="inlineStr"/>
      <c r="C13" s="17" t="inlineStr"/>
      <c r="D13" s="17" t="inlineStr"/>
      <c r="E13" s="17" t="inlineStr"/>
      <c r="F13" s="17" t="inlineStr"/>
      <c r="G13" s="17" t="inlineStr"/>
    </row>
    <row r="14"/>
    <row r="15">
      <c r="A15" s="6" t="inlineStr">
        <is>
          <t>Centroide del bloque — UTM ESTE (m)</t>
        </is>
      </c>
      <c r="B15" s="7" t="n">
        <v>663334</v>
      </c>
      <c r="C15" s="6" t="inlineStr">
        <is>
          <t>Centroide del bloque — UTM NORTE (m)</t>
        </is>
      </c>
      <c r="D15" s="7" t="n">
        <v>9392820</v>
      </c>
      <c r="E15" s="8" t="n"/>
      <c r="F15" s="8" t="n"/>
      <c r="G15" s="8" t="n"/>
      <c r="H15" s="8" t="n"/>
    </row>
    <row r="16">
      <c r="A16" s="6" t="inlineStr">
        <is>
          <t>N.° de estaciones fotográficas declaradas</t>
        </is>
      </c>
      <c r="B16" s="7" t="n">
        <v>7</v>
      </c>
      <c r="C16" s="6" t="inlineStr">
        <is>
          <t>Estaciones dentro del polígono</t>
        </is>
      </c>
      <c r="D16" s="7" t="n">
        <v>6</v>
      </c>
      <c r="E16" s="8" t="n"/>
      <c r="F16" s="8" t="n"/>
      <c r="G16" s="8" t="n"/>
      <c r="H16" s="8" t="n"/>
    </row>
    <row r="17"/>
    <row r="18" ht="120" customHeight="1">
      <c r="A18"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Pendiente promedio zonal 27.08% ≈ 15.15°. Centroide oficial 663334 E · 9392820 N; centroide planimétrico medido sobre el plano MSAVI 663392 E · 9392806 N (Δ ≈ 59 m). Superficie planimétrica ≈ 44.785 ha frente a las 47.588 ha del catálogo (−5.9%). SEIS de las siete estaciones fotográficas cayeron DENTRO del polígono (30 a 79 m del borde): la verificación es interior, no limítrofe. El cuadrante suroriental no fue recorrido.</t>
        </is>
      </c>
      <c r="B18" s="41" t="n"/>
      <c r="C18" s="41" t="n"/>
      <c r="D18" s="41" t="n"/>
      <c r="E18" s="41" t="n"/>
      <c r="F18" s="41" t="n"/>
      <c r="G18" s="42" t="n"/>
    </row>
  </sheetData>
  <mergeCells count="8">
    <mergeCell ref="A1:G1"/>
    <mergeCell ref="A18:G18"/>
    <mergeCell ref="A8:G8"/>
    <mergeCell ref="A3:G3"/>
    <mergeCell ref="A6:G6"/>
    <mergeCell ref="A4:G4"/>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6"/>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C1076-Q9592 — BLOQUE 31</t>
        </is>
      </c>
    </row>
    <row r="6" ht="24" customHeight="1">
      <c r="A6" s="4" t="inlineStr">
        <is>
          <t>Distrito de Huarmaca · Provincia de Huancabamba · Comparación de los bloques preliminares de intervención de la misma microcuenca</t>
        </is>
      </c>
    </row>
    <row r="7"/>
    <row r="8" ht="18" customHeight="1">
      <c r="A8" s="5" t="inlineStr">
        <is>
          <t>BLOQUES DE LA MICROCUENCA C1076-Q9592</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7" t="inlineStr">
        <is>
          <t>18</t>
        </is>
      </c>
      <c r="B10" s="28" t="n">
        <v>103.62</v>
      </c>
      <c r="C10" s="19" t="n">
        <v>21.54</v>
      </c>
      <c r="D10" s="11" t="inlineStr">
        <is>
          <t>1218 – 1904</t>
        </is>
      </c>
      <c r="E10" s="11" t="n">
        <v>686</v>
      </c>
      <c r="F10" s="11" t="n">
        <v>28.7</v>
      </c>
      <c r="G10" s="18" t="n">
        <v>0.6402</v>
      </c>
      <c r="H10" s="19" t="n">
        <v>96.64</v>
      </c>
      <c r="I10" s="19" t="n">
        <v>3</v>
      </c>
    </row>
    <row r="11">
      <c r="A11" s="12" t="inlineStr">
        <is>
          <t>19</t>
        </is>
      </c>
      <c r="B11" s="29" t="n">
        <v>82.09</v>
      </c>
      <c r="C11" s="21" t="n">
        <v>17.06</v>
      </c>
      <c r="D11" s="13" t="inlineStr">
        <is>
          <t>2064 – 2503</t>
        </is>
      </c>
      <c r="E11" s="13" t="n">
        <v>439</v>
      </c>
      <c r="F11" s="13" t="n">
        <v>31.01</v>
      </c>
      <c r="G11" s="20" t="n">
        <v>0.5372</v>
      </c>
      <c r="H11" s="21" t="n">
        <v>60.33</v>
      </c>
      <c r="I11" s="21" t="n">
        <v>42.63</v>
      </c>
    </row>
    <row r="12">
      <c r="A12" s="7" t="inlineStr">
        <is>
          <t>41</t>
        </is>
      </c>
      <c r="B12" s="28" t="n">
        <v>64.92</v>
      </c>
      <c r="C12" s="19" t="n">
        <v>13.49</v>
      </c>
      <c r="D12" s="11" t="inlineStr">
        <is>
          <t>1536 – 1818</t>
        </is>
      </c>
      <c r="E12" s="11" t="n">
        <v>282</v>
      </c>
      <c r="F12" s="11" t="n">
        <v>25.53</v>
      </c>
      <c r="G12" s="18" t="n">
        <v>0.5927</v>
      </c>
      <c r="H12" s="19" t="n">
        <v>98.02</v>
      </c>
      <c r="I12" s="19" t="n">
        <v>12.26</v>
      </c>
    </row>
    <row r="13">
      <c r="A13" s="12" t="inlineStr">
        <is>
          <t>73</t>
        </is>
      </c>
      <c r="B13" s="29" t="n">
        <v>54.29</v>
      </c>
      <c r="C13" s="21" t="n">
        <v>11.28</v>
      </c>
      <c r="D13" s="13" t="inlineStr">
        <is>
          <t>1845 – 2305</t>
        </is>
      </c>
      <c r="E13" s="13" t="n">
        <v>460</v>
      </c>
      <c r="F13" s="13" t="n">
        <v>36.34</v>
      </c>
      <c r="G13" s="20" t="n">
        <v>0.555</v>
      </c>
      <c r="H13" s="21" t="n">
        <v>88.8</v>
      </c>
      <c r="I13" s="21" t="n">
        <v>18.94</v>
      </c>
    </row>
    <row r="14">
      <c r="A14" s="14" t="inlineStr">
        <is>
          <t>► 31</t>
        </is>
      </c>
      <c r="B14" s="30" t="n">
        <v>47.58</v>
      </c>
      <c r="C14" s="31" t="n">
        <v>9.890000000000001</v>
      </c>
      <c r="D14" s="15" t="inlineStr">
        <is>
          <t>1741 – 2234</t>
        </is>
      </c>
      <c r="E14" s="15" t="n">
        <v>493</v>
      </c>
      <c r="F14" s="15" t="n">
        <v>27.08</v>
      </c>
      <c r="G14" s="32" t="n">
        <v>0.4358</v>
      </c>
      <c r="H14" s="31" t="n">
        <v>18.56</v>
      </c>
      <c r="I14" s="31" t="n">
        <v>78.42</v>
      </c>
    </row>
    <row r="15">
      <c r="A15" s="12" t="inlineStr">
        <is>
          <t>29</t>
        </is>
      </c>
      <c r="B15" s="29" t="n">
        <v>40.1</v>
      </c>
      <c r="C15" s="21" t="n">
        <v>8.33</v>
      </c>
      <c r="D15" s="13" t="inlineStr">
        <is>
          <t>2142 – 2391</t>
        </is>
      </c>
      <c r="E15" s="13" t="n">
        <v>249</v>
      </c>
      <c r="F15" s="13" t="n">
        <v>31.54</v>
      </c>
      <c r="G15" s="20" t="n">
        <v>0.5482</v>
      </c>
      <c r="H15" s="21" t="inlineStr">
        <is>
          <t>Por determinar</t>
        </is>
      </c>
      <c r="I15" s="13" t="inlineStr">
        <is>
          <t>s/d</t>
        </is>
      </c>
    </row>
    <row r="16">
      <c r="A16" s="7" t="inlineStr">
        <is>
          <t>70</t>
        </is>
      </c>
      <c r="B16" s="28" t="n">
        <v>22.39</v>
      </c>
      <c r="C16" s="19" t="n">
        <v>4.65</v>
      </c>
      <c r="D16" s="11" t="inlineStr">
        <is>
          <t>2326 – 2536</t>
        </is>
      </c>
      <c r="E16" s="11" t="n">
        <v>210</v>
      </c>
      <c r="F16" s="11" t="n">
        <v>23.2</v>
      </c>
      <c r="G16" s="18" t="n">
        <v>0.6223</v>
      </c>
      <c r="H16" s="19" t="n">
        <v>98.39</v>
      </c>
      <c r="I16" s="19" t="n">
        <v>4.87</v>
      </c>
    </row>
    <row r="17">
      <c r="A17" s="12" t="inlineStr">
        <is>
          <t>68</t>
        </is>
      </c>
      <c r="B17" s="29" t="n">
        <v>21.29</v>
      </c>
      <c r="C17" s="21" t="n">
        <v>4.42</v>
      </c>
      <c r="D17" s="13" t="inlineStr">
        <is>
          <t>2086 – 2374</t>
        </is>
      </c>
      <c r="E17" s="13" t="n">
        <v>288</v>
      </c>
      <c r="F17" s="13" t="n">
        <v>36.81</v>
      </c>
      <c r="G17" s="20" t="n">
        <v>0.483</v>
      </c>
      <c r="H17" s="21" t="inlineStr">
        <is>
          <t>Por determinar</t>
        </is>
      </c>
      <c r="I17" s="13" t="inlineStr">
        <is>
          <t>s/d</t>
        </is>
      </c>
    </row>
    <row r="18">
      <c r="A18" s="7" t="inlineStr">
        <is>
          <t>69</t>
        </is>
      </c>
      <c r="B18" s="28" t="n">
        <v>19.43</v>
      </c>
      <c r="C18" s="19" t="n">
        <v>4.04</v>
      </c>
      <c r="D18" s="11" t="inlineStr">
        <is>
          <t>1931 – 2205</t>
        </is>
      </c>
      <c r="E18" s="11" t="n">
        <v>274</v>
      </c>
      <c r="F18" s="11" t="n">
        <v>27.95</v>
      </c>
      <c r="G18" s="18" t="n">
        <v>0.4489</v>
      </c>
      <c r="H18" s="19" t="n">
        <v>22.92</v>
      </c>
      <c r="I18" s="19" t="n">
        <v>81.28</v>
      </c>
    </row>
    <row r="19">
      <c r="A19" s="12" t="inlineStr">
        <is>
          <t>53</t>
        </is>
      </c>
      <c r="B19" s="29" t="n">
        <v>13.06</v>
      </c>
      <c r="C19" s="21" t="n">
        <v>2.71</v>
      </c>
      <c r="D19" s="13" t="inlineStr">
        <is>
          <t>2235 – 2540</t>
        </is>
      </c>
      <c r="E19" s="13" t="n">
        <v>305</v>
      </c>
      <c r="F19" s="13" t="n">
        <v>26.89</v>
      </c>
      <c r="G19" s="20" t="n">
        <v>0.5963000000000001</v>
      </c>
      <c r="H19" s="21" t="n">
        <v>86.15000000000001</v>
      </c>
      <c r="I19" s="21" t="n">
        <v>12.45</v>
      </c>
    </row>
    <row r="20">
      <c r="A20" s="7" t="inlineStr">
        <is>
          <t>72</t>
        </is>
      </c>
      <c r="B20" s="28" t="n">
        <v>12.4</v>
      </c>
      <c r="C20" s="19" t="n">
        <v>2.58</v>
      </c>
      <c r="D20" s="11" t="inlineStr">
        <is>
          <t>1538 – 1742</t>
        </is>
      </c>
      <c r="E20" s="11" t="n">
        <v>204</v>
      </c>
      <c r="F20" s="11" t="n">
        <v>28.25</v>
      </c>
      <c r="G20" s="18" t="n">
        <v>0.5185</v>
      </c>
      <c r="H20" s="19" t="n">
        <v>92.44</v>
      </c>
      <c r="I20" s="19" t="n">
        <v>41.35</v>
      </c>
    </row>
    <row r="21">
      <c r="A21" s="16" t="inlineStr">
        <is>
          <t>TOTAL / PROMEDIO</t>
        </is>
      </c>
      <c r="B21" s="33">
        <f>SUM(B10:B20)</f>
        <v>481.17</v>
      </c>
      <c r="C21" s="23">
        <f>SUM(C10:C20)</f>
        <v>99.99</v>
      </c>
      <c r="D21" s="17" t="inlineStr">
        <is>
          <t>1218 – 2540</t>
        </is>
      </c>
      <c r="E21" s="17" t="inlineStr"/>
      <c r="F21" s="17">
        <f>ROUND(AVERAGE(F10:F20),2)</f>
        <v>29.39</v>
      </c>
      <c r="G21" s="22">
        <f>ROUND(AVERAGE(G10:G20),4)</f>
        <v>0.5435</v>
      </c>
      <c r="H21" s="23">
        <f>ROUND(AVERAGE(H10:H20),2)</f>
        <v>73.58</v>
      </c>
      <c r="I21" s="23">
        <f>ROUND(AVERAGE(I10:I20),2)</f>
        <v>32.8</v>
      </c>
    </row>
    <row r="22" ht="48" customHeight="1">
      <c r="A22" s="9" t="inlineStr">
        <is>
          <t>ALCANCE DE LOS PROMEDIOS. La fila TOTAL / PROMEDIO omite las celdas «Por determinar»: el promedio de VEGETACIÓN ALTA (NDVI 2025) se calcula sobre 9 de los 11 bloques; los 2 bloques restantes carecen de estadística zonal de NDVI. Los totales de ÁREA y % de microcuenca sí comprenden la totalidad de los 11 bloques. No se estima ningún valor ausente.</t>
        </is>
      </c>
      <c r="B22" s="41" t="n"/>
      <c r="C22" s="41" t="n"/>
      <c r="D22" s="41" t="n"/>
      <c r="E22" s="41" t="n"/>
      <c r="F22" s="41" t="n"/>
      <c r="G22" s="41" t="n"/>
      <c r="H22" s="42" t="n"/>
    </row>
    <row r="23"/>
    <row r="24" ht="84" customHeight="1">
      <c r="A24" s="9" t="inlineStr">
        <is>
          <t>LECTURA INTRAMICROCUENCA. El bloque 31 ocupa el puesto 5 de 11 por superficie dentro de la microcuenca C1076-Q9592 (9.89 % de las 481.17 ha preliminares de la microcuenca). Su pendiente promedio (27.08 %, clase «25-50% (Mod. escarpado)») es la 4.ª más baja de 11 y se sitúa por debajo del promedio de la microcuenca (29.39 %). Su MSAVI 2024 (0.4358) es el 11.º de 11 y queda por debajo del promedio local (0.5435). Amplitud altitudinal del bloque: 493 m (1741–2234 msnm). El cuadro conserva todos los bloques catalogados en la microcuenca, incluidos los descartados en el tamizaje, para referencia del conjunto. Los bloques sin ficha DT figuran con sus parámetros de gabinete. BRECHA ESPECTRAL. El 78.42 % de la superficie del bloque (37.312 ha de 47.581 ha) se sitúa bajo el umbral MSAVI 0.4976, por encima del promedio local de la microcuenca (32.80 %) calculado sobre los bloques con dato MSAVI disponible.</t>
        </is>
      </c>
      <c r="B24" s="41" t="n"/>
      <c r="C24" s="41" t="n"/>
      <c r="D24" s="41" t="n"/>
      <c r="E24" s="41" t="n"/>
      <c r="F24" s="41" t="n"/>
      <c r="G24" s="41" t="n"/>
      <c r="H24" s="42" t="n"/>
    </row>
    <row r="25"/>
    <row r="26" ht="60" customHeight="1">
      <c r="A26"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26" s="41" t="n"/>
      <c r="C26" s="41" t="n"/>
      <c r="D26" s="41" t="n"/>
      <c r="E26" s="41" t="n"/>
      <c r="F26" s="41" t="n"/>
      <c r="G26" s="41" t="n"/>
      <c r="H26" s="42" t="n"/>
    </row>
  </sheetData>
  <mergeCells count="10">
    <mergeCell ref="A1:I1"/>
    <mergeCell ref="A4:I4"/>
    <mergeCell ref="A3:I3"/>
    <mergeCell ref="A26:I26"/>
    <mergeCell ref="A24:I24"/>
    <mergeCell ref="A2:I2"/>
    <mergeCell ref="A5:I5"/>
    <mergeCell ref="A8:I8"/>
    <mergeCell ref="A6:I6"/>
    <mergeCell ref="A22:I2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2"/>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31</t>
        </is>
      </c>
    </row>
    <row r="6" ht="24" customHeight="1">
      <c r="A6" s="4" t="inlineStr">
        <is>
          <t>Discrepancias detectadas entre el registro de campo, los productos de gabinete y el catálogo maestro. Calificación: SUSTANTIVA / NO SUSTANTIVA / CORREGIDO / CONFORME.</t>
        </is>
      </c>
    </row>
    <row r="7"/>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4" t="inlineStr">
        <is>
          <t>D-01</t>
        </is>
      </c>
      <c r="B10" s="34" t="inlineStr">
        <is>
          <t>Código de microcuenca</t>
        </is>
      </c>
      <c r="C10" s="34" t="inlineStr">
        <is>
          <t>La ficha DT declara «C1076-Q9584»; el catálogo maestro V5/V6 asigna el bloque a «C1076-Q9592»</t>
        </is>
      </c>
      <c r="D10" s="35" t="inlineStr">
        <is>
          <t>SUSTANTIVA</t>
        </is>
      </c>
      <c r="E10" s="34" t="inlineStr">
        <is>
          <t>Se conserva el código del catálogo maestro para todo cálculo intramicrocuenca. La declaración de la ficha debe corregirse en la siguiente versión del formato V5.</t>
        </is>
      </c>
    </row>
    <row r="11" ht="48" customHeight="1">
      <c r="A11" s="36" t="inlineStr">
        <is>
          <t>D-02</t>
        </is>
      </c>
      <c r="B11" s="36" t="inlineStr">
        <is>
          <t>UTM del punto de muestreo</t>
        </is>
      </c>
      <c r="C11" s="36" t="inlineStr">
        <is>
          <t>El punto de muestreo declarado dista 0 m del centroide de catálogo, compatible con la extensión del bloque</t>
        </is>
      </c>
      <c r="D11" s="37" t="inlineStr">
        <is>
          <t>CONFORME</t>
        </is>
      </c>
      <c r="E11" s="36" t="inlineStr">
        <is>
          <t>Sin acción.</t>
        </is>
      </c>
    </row>
    <row r="12" ht="48" customHeight="1">
      <c r="A12" s="34" t="inlineStr">
        <is>
          <t>D-03</t>
        </is>
      </c>
      <c r="B12" s="34" t="inlineStr">
        <is>
          <t>Superficie del polígono</t>
        </is>
      </c>
      <c r="C12" s="34" t="inlineStr">
        <is>
          <t>La superficie clasificada por el NDVI 2025 (47.588 ha) coincide con la de catálogo (47.58 ha) dentro del ±2 % (+0.02 %)</t>
        </is>
      </c>
      <c r="D12" s="37" t="inlineStr">
        <is>
          <t>CONFORME</t>
        </is>
      </c>
      <c r="E12" s="34" t="inlineStr">
        <is>
          <t>Sin acción: la segmentación valida la geometría del bloque.</t>
        </is>
      </c>
    </row>
    <row r="13" ht="48" customHeight="1">
      <c r="A13" s="36" t="inlineStr">
        <is>
          <t>D-04</t>
        </is>
      </c>
      <c r="B13" s="36" t="inlineStr">
        <is>
          <t>Inventario georreferenciado de cárcavas</t>
        </is>
      </c>
      <c r="C13" s="36" t="inlineStr">
        <is>
          <t>El inventario de cárcavas no fue ejecutado o no consta en la ficha DT</t>
        </is>
      </c>
      <c r="D13" s="35" t="inlineStr">
        <is>
          <t>SUSTANTIVA</t>
        </is>
      </c>
      <c r="E13" s="36" t="inlineStr">
        <is>
          <t>La ausencia de registros NO equivale a ausencia verificada de cárcavas. Queda pendiente el levantamiento instrumental a cargo del especialista de Infraestructura Marrón antes de fijar metas físicas de infraestructura gris.</t>
        </is>
      </c>
    </row>
    <row r="14" ht="48" customHeight="1">
      <c r="A14" s="34" t="inlineStr">
        <is>
          <t>D-05</t>
        </is>
      </c>
      <c r="B14" s="34" t="inlineStr">
        <is>
          <t>Elenco florístico</t>
        </is>
      </c>
      <c r="C14" s="34" t="inlineStr">
        <is>
          <t>La ficha registra 12 taxones, por debajo del mínimo de 15 que exige el formato V5</t>
        </is>
      </c>
      <c r="D14" s="35" t="inlineStr">
        <is>
          <t>SUSTANTIVA</t>
        </is>
      </c>
      <c r="E14" s="34" t="inlineStr">
        <is>
          <t>Registro florístico preliminar, sin colecta ni determinación botánica formal. Debe cerrarse con colecta botánica en la siguiente campaña.</t>
        </is>
      </c>
    </row>
    <row r="15" ht="48" customHeight="1">
      <c r="A15" s="36" t="inlineStr">
        <is>
          <t>D-06</t>
        </is>
      </c>
      <c r="B15" s="36" t="inlineStr">
        <is>
          <t>Peligro integrado (MCA-AHP)</t>
        </is>
      </c>
      <c r="C15" s="36" t="inlineStr">
        <is>
          <t>El nivel de peligro integrado no está disponible en los insumos de este entregable</t>
        </is>
      </c>
      <c r="D15" s="35" t="inlineStr">
        <is>
          <t>SUSTANTIVA</t>
        </is>
      </c>
      <c r="E15" s="36" t="inlineStr">
        <is>
          <t>Debe tomarse del modelamiento de mesolocalización (PMM + EPH + PGI ponderados por AHP) antes de fijar la prioridad definitiva de intervención del bloque.</t>
        </is>
      </c>
    </row>
    <row r="16" ht="48" customHeight="1">
      <c r="A16" s="36" t="inlineStr">
        <is>
          <t>D-07</t>
        </is>
      </c>
      <c r="B16" s="36" t="inlineStr">
        <is>
          <t>Distribución areal MSAVI 2024</t>
        </is>
      </c>
      <c r="C16" s="36" t="inlineStr">
        <is>
          <t>La distribución por clase de MSAVI no figuraba en los insumos del entregable y se consignaba «Por determinar»; se incorpora la estadística zonal del ráster MSAVI clasificado (335 polígonos, 47.581 ha)</t>
        </is>
      </c>
      <c r="D16" s="35" t="inlineStr">
        <is>
          <t>CORREGIDO</t>
        </is>
      </c>
      <c r="E16" s="36" t="inlineStr">
        <is>
          <t>Se completó la sección A de la hoja «Cobertura MSAVI-NDVI» con superficie y porcentaje por clase DN 1 a DN 5, totales, superficie sobre y bajo el umbral 0.4976 y contraste con el catálogo. La equivalencia DN → clase se sustenta en la nota metodológica de esa hoja (r = 0.9965, error absoluto medio = 0.0091, n = 117 bloques).</t>
        </is>
      </c>
    </row>
    <row r="17" ht="48" customHeight="1">
      <c r="A17" s="36" t="inlineStr">
        <is>
          <t>D-08</t>
        </is>
      </c>
      <c r="B17" s="36" t="inlineStr">
        <is>
          <t>Superficie MSAVI vs. catálogo</t>
        </is>
      </c>
      <c r="C17" s="36" t="inlineStr">
        <is>
          <t>La superficie total clasificada por el MSAVI 2024 (47.581 ha) frente a la de catálogo V5/V6 (47.580 ha): desviación de +0.00 %</t>
        </is>
      </c>
      <c r="D17" s="35" t="inlineStr">
        <is>
          <t>CONFORME</t>
        </is>
      </c>
      <c r="E17" s="36" t="inlineStr">
        <is>
          <t>Sin acción: la segmentación del ráster valida la geometría del bloque dentro del ±2 %.</t>
        </is>
      </c>
    </row>
    <row r="18" ht="48" customHeight="1">
      <c r="A18" s="36" t="inlineStr">
        <is>
          <t>D-09</t>
        </is>
      </c>
      <c r="B18" s="36" t="inlineStr">
        <is>
          <t>Media MSAVI vs. clase DN dominante</t>
        </is>
      </c>
      <c r="C18" s="36" t="inlineStr">
        <is>
          <t>La media del bloque (0.4358) cae en la clase «DN 3 · 0.3813 - 0.4976 (Vigor bajo)»; la clase de mayor superficie es «DN 3 · 0.3813 - 0.4976 (Vigor bajo)», con 53.98 % del bloque. Superficie bajo el umbral 0.4976: 37.312 ha (78.42 %)</t>
        </is>
      </c>
      <c r="D18" s="35" t="inlineStr">
        <is>
          <t>CONFORME</t>
        </is>
      </c>
      <c r="E18" s="36" t="inlineStr">
        <is>
          <t>Sin acción: la media del bloque y la clase de mayor superficie coinciden.</t>
        </is>
      </c>
    </row>
    <row r="19"/>
    <row r="20">
      <c r="A20" s="16" t="inlineStr">
        <is>
          <t>RESUMEN</t>
        </is>
      </c>
      <c r="B20" s="17" t="inlineStr">
        <is>
          <t>9 verificaciones</t>
        </is>
      </c>
      <c r="C20" s="17" t="inlineStr">
        <is>
          <t>CONFORME: 4 · CORREGIDO: 1 · SUSTANTIVA: 4</t>
        </is>
      </c>
      <c r="D20" s="17" t="inlineStr"/>
      <c r="E20" s="17" t="inlineStr"/>
    </row>
    <row r="21"/>
    <row r="22" ht="60" customHeight="1">
      <c r="A22"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c r="B22" s="41" t="n"/>
      <c r="C22" s="41" t="n"/>
      <c r="D22" s="41" t="n"/>
      <c r="E22" s="42" t="n"/>
    </row>
  </sheetData>
  <mergeCells count="8">
    <mergeCell ref="A4:E4"/>
    <mergeCell ref="A2:E2"/>
    <mergeCell ref="A1:E1"/>
    <mergeCell ref="A5:E5"/>
    <mergeCell ref="A8:E8"/>
    <mergeCell ref="A6:E6"/>
    <mergeCell ref="A22:E22"/>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31 — IN Piura</dc:title>
  <dc:subject>Diagnóstico Territorial por bloque de intervención</dc:subject>
  <dcterms:created xsi:type="dcterms:W3CDTF">2026-09-08T03:39:59Z</dcterms:created>
  <dcterms:modified xsi:type="dcterms:W3CDTF">2026-09-10T00:28:27Z</dcterms:modified>
</cp:coreProperties>
</file>