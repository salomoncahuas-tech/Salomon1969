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M6B2-1</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M6B2-1</t>
        </is>
      </c>
      <c r="C9" s="6" t="inlineStr">
        <is>
          <t>Microcuenca (catálogo)</t>
        </is>
      </c>
      <c r="D9" s="7" t="inlineStr">
        <is>
          <t>C1077-Q9566</t>
        </is>
      </c>
      <c r="E9" s="8" t="n"/>
      <c r="F9" s="8" t="n"/>
    </row>
    <row r="10">
      <c r="A10" s="6" t="inlineStr">
        <is>
          <t>Zona de planificación</t>
        </is>
      </c>
      <c r="B10" s="7" t="inlineStr">
        <is>
          <t>Z06</t>
        </is>
      </c>
      <c r="C10" s="6" t="inlineStr">
        <is>
          <t>Microcuenca declarada en ficha DT</t>
        </is>
      </c>
      <c r="D10" s="7" t="inlineStr">
        <is>
          <t>C1077-Q9566</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Buenos Aires</t>
        </is>
      </c>
      <c r="C12" s="6" t="inlineStr">
        <is>
          <t>Capital distrital</t>
        </is>
      </c>
      <c r="D12" s="7" t="inlineStr">
        <is>
          <t>Buenos Aires</t>
        </is>
      </c>
      <c r="E12" s="8" t="n"/>
      <c r="F12" s="8" t="n"/>
    </row>
    <row r="13">
      <c r="A13" s="6" t="inlineStr">
        <is>
          <t>Centro poblado asociado</t>
        </is>
      </c>
      <c r="B13" s="7" t="inlineStr">
        <is>
          <t>Buenos Aires</t>
        </is>
      </c>
      <c r="C13" s="6" t="inlineStr">
        <is>
          <t>Comunidad campesina</t>
        </is>
      </c>
      <c r="D13" s="7" t="inlineStr">
        <is>
          <t>No consignada</t>
        </is>
      </c>
      <c r="E13" s="8" t="n"/>
      <c r="F13" s="8" t="n"/>
    </row>
    <row r="14">
      <c r="A14" s="6" t="inlineStr">
        <is>
          <t>Superficie de catálogo (V5/V6), ha</t>
        </is>
      </c>
      <c r="B14" s="7" t="n">
        <v>514.36</v>
      </c>
      <c r="C14" s="6" t="inlineStr">
        <is>
          <t>Fuente de superficie</t>
        </is>
      </c>
      <c r="D14" s="7" t="inlineStr">
        <is>
          <t>Catálogo maestro Bloques V5/V6</t>
        </is>
      </c>
      <c r="E14" s="8" t="n"/>
      <c r="F14" s="8" t="n"/>
    </row>
    <row r="15">
      <c r="A15" s="6" t="inlineStr">
        <is>
          <t>Centroide UTM ESTE (m)</t>
        </is>
      </c>
      <c r="B15" s="7" t="n">
        <v>612864</v>
      </c>
      <c r="C15" s="6" t="inlineStr">
        <is>
          <t>Centroide UTM NORTE (m)</t>
        </is>
      </c>
      <c r="D15" s="7" t="n">
        <v>9413345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181</v>
      </c>
      <c r="C19" s="6" t="inlineStr">
        <is>
          <t>Altitud máxima (msnm)</t>
        </is>
      </c>
      <c r="D19" s="7" t="n">
        <v>504</v>
      </c>
      <c r="E19" s="8" t="n"/>
      <c r="F19" s="8" t="n"/>
    </row>
    <row r="20">
      <c r="A20" s="6" t="inlineStr">
        <is>
          <t>Amplitud altitudinal (m)</t>
        </is>
      </c>
      <c r="B20" s="7" t="n">
        <v>323</v>
      </c>
      <c r="C20" s="6" t="inlineStr">
        <is>
          <t>Piso altitudinal dominante</t>
        </is>
      </c>
      <c r="D20" s="7" t="inlineStr">
        <is>
          <t>&lt;1000 m (Yunga)</t>
        </is>
      </c>
      <c r="E20" s="8" t="n"/>
      <c r="F20" s="8" t="n"/>
    </row>
    <row r="21">
      <c r="A21" s="6" t="inlineStr">
        <is>
          <t>Pendiente promedio (%)</t>
        </is>
      </c>
      <c r="B21" s="7" t="n">
        <v>16.84</v>
      </c>
      <c r="C21" s="6" t="inlineStr">
        <is>
          <t>Pendiente promedio (grados)</t>
        </is>
      </c>
      <c r="D21" s="7" t="n">
        <v>9.6</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0.3381</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(60.21 %)</t>
        </is>
      </c>
      <c r="E29" s="8" t="n"/>
      <c r="F29" s="8" t="n"/>
    </row>
    <row r="30">
      <c r="A30" s="6" t="inlineStr">
        <is>
          <t>Superficie clasificada NDVI 2025 (ha)</t>
        </is>
      </c>
      <c r="B30" s="7" t="n">
        <v>514.6079999999999</v>
      </c>
      <c r="C30" s="6" t="inlineStr">
        <is>
          <t>Desviación frente al catálogo (%)</t>
        </is>
      </c>
      <c r="D30" s="7" t="n">
        <v>0.05</v>
      </c>
      <c r="E30" s="8" t="n"/>
      <c r="F30" s="8" t="n"/>
    </row>
    <row r="31">
      <c r="A31" s="6" t="inlineStr">
        <is>
          <t>Superficie clasificada MSAVI 2024 (ha)</t>
        </is>
      </c>
      <c r="B31" s="38" t="n">
        <v>514.359</v>
      </c>
      <c r="C31" s="6" t="inlineStr">
        <is>
          <t>Desviación MSAVI frente al catálogo (%)</t>
        </is>
      </c>
      <c r="D31" s="39" t="n">
        <v>0</v>
      </c>
      <c r="E31" s="8" t="n"/>
      <c r="F31" s="8" t="n"/>
    </row>
    <row r="32">
      <c r="A32" s="6" t="inlineStr">
        <is>
          <t>Superficie bajo umbral MSAVI 0.4976 (ha)</t>
        </is>
      </c>
      <c r="B32" s="38" t="n">
        <v>509.148</v>
      </c>
      <c r="C32" s="6" t="inlineStr">
        <is>
          <t>% del bloque bajo umbral (brecha espectral)</t>
        </is>
      </c>
      <c r="D32" s="39" t="n">
        <v>98.98999999999999</v>
      </c>
      <c r="E32" s="8" t="n"/>
      <c r="F32" s="8" t="n"/>
    </row>
    <row r="33">
      <c r="A33" s="6" t="inlineStr">
        <is>
          <t>Clase DN dominante (MSAVI 2024)</t>
        </is>
      </c>
      <c r="B33" s="7" t="inlineStr">
        <is>
          <t>DN 2 · 0.2650 - 0.3813 (Vigor muy bajo)</t>
        </is>
      </c>
      <c r="C33" s="6" t="inlineStr">
        <is>
          <t>N.° de polígonos MSAVI del bloque</t>
        </is>
      </c>
      <c r="D33" s="40" t="n">
        <v>1232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514.36 ha (100%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denso (&gt;70%)</t>
        </is>
      </c>
      <c r="C38" s="6" t="inlineStr">
        <is>
          <t>Cobertura vegetal total — campo (%)</t>
        </is>
      </c>
      <c r="D38" s="7" t="inlineStr">
        <is>
          <t>Por verificar</t>
        </is>
      </c>
      <c r="E38" s="8" t="n"/>
      <c r="F38" s="8" t="n"/>
    </row>
    <row r="39">
      <c r="A39" s="6" t="inlineStr">
        <is>
          <t>Suelo desnudo — campo (%)</t>
        </is>
      </c>
      <c r="B39" s="7" t="n">
        <v>15</v>
      </c>
      <c r="C39" s="6" t="inlineStr">
        <is>
          <t>Regeneración natural</t>
        </is>
      </c>
      <c r="D39" s="7" t="inlineStr">
        <is>
          <t>Regular (10-50 pl./100m²)</t>
        </is>
      </c>
      <c r="E39" s="8" t="n"/>
      <c r="F39" s="8" t="n"/>
    </row>
    <row r="40">
      <c r="A40" s="6" t="inlineStr">
        <is>
          <t>Nivel general de erosión</t>
        </is>
      </c>
      <c r="B40" s="7" t="inlineStr">
        <is>
          <t>Ligera (laminar)</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Carlos Domínguez Varas</t>
        </is>
      </c>
      <c r="C44" s="6" t="inlineStr">
        <is>
          <t>Fecha de evaluación</t>
        </is>
      </c>
      <c r="D44" s="7" t="inlineStr">
        <is>
          <t>2026-05-18</t>
        </is>
      </c>
      <c r="E44" s="8" t="n"/>
      <c r="F44" s="8" t="n"/>
    </row>
    <row r="45">
      <c r="A45" s="6" t="inlineStr">
        <is>
          <t>Hora de registro</t>
        </is>
      </c>
      <c r="B45" s="7" t="inlineStr">
        <is>
          <t>14:00 h</t>
        </is>
      </c>
      <c r="C45" s="6" t="inlineStr">
        <is>
          <t>Correlativo de ficha</t>
        </is>
      </c>
      <c r="D45" s="7" t="inlineStr">
        <is>
          <t>Por determinar</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P-01 (transecto 50 × 4 m)</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Sin registro en ficha</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M6B2-1</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0.1485</v>
      </c>
      <c r="C10" s="19">
        <f>ROUND(B10/$B$15*100,2)</f>
        <v/>
      </c>
      <c r="D10" s="11" t="inlineStr">
        <is>
          <t>Vigor alto</t>
        </is>
      </c>
      <c r="E10" s="11" t="inlineStr">
        <is>
          <t>Sobre umbral</t>
        </is>
      </c>
    </row>
    <row r="11">
      <c r="A11" s="12" t="inlineStr">
        <is>
          <t>0.4976 - 0.6139 · DN 4</t>
        </is>
      </c>
      <c r="B11" s="20" t="n">
        <v>5.0625</v>
      </c>
      <c r="C11" s="21">
        <f>ROUND(B11/$B$15*100,2)</f>
        <v/>
      </c>
      <c r="D11" s="13" t="inlineStr">
        <is>
          <t>Vigor moderado</t>
        </is>
      </c>
      <c r="E11" s="13" t="inlineStr">
        <is>
          <t>Sobre umbral</t>
        </is>
      </c>
    </row>
    <row r="12">
      <c r="A12" s="7" t="inlineStr">
        <is>
          <t>0.3813 - 0.4976 · DN 3</t>
        </is>
      </c>
      <c r="B12" s="18" t="n">
        <v>117.0072</v>
      </c>
      <c r="C12" s="19">
        <f>ROUND(B12/$B$15*100,2)</f>
        <v/>
      </c>
      <c r="D12" s="11" t="inlineStr">
        <is>
          <t>Vigor bajo</t>
        </is>
      </c>
      <c r="E12" s="11" t="inlineStr">
        <is>
          <t>BAJO umbral 0.4976</t>
        </is>
      </c>
    </row>
    <row r="13">
      <c r="A13" s="14" t="inlineStr">
        <is>
          <t>0.2650 - 0.3813 · DN 2</t>
        </is>
      </c>
      <c r="B13" s="29" t="n">
        <v>328.7026</v>
      </c>
      <c r="C13" s="28">
        <f>ROUND(B13/$B$15*100,2)</f>
        <v/>
      </c>
      <c r="D13" s="15" t="inlineStr">
        <is>
          <t>Vigor muy bajo</t>
        </is>
      </c>
      <c r="E13" s="15" t="inlineStr">
        <is>
          <t>BAJO umbral 0.4976</t>
        </is>
      </c>
    </row>
    <row r="14">
      <c r="A14" s="7" t="inlineStr">
        <is>
          <t>&lt;= 0.2650 · DN 1</t>
        </is>
      </c>
      <c r="B14" s="18" t="n">
        <v>63.4381</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1 232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514.36</v>
      </c>
      <c r="C18" s="49" t="inlineStr">
        <is>
          <t>—</t>
        </is>
      </c>
      <c r="D18" s="46" t="inlineStr">
        <is>
          <t>Desviación planimétrica frente al catálogo</t>
        </is>
      </c>
      <c r="E18" s="46" t="inlineStr">
        <is>
          <t>+0.00 %</t>
        </is>
      </c>
    </row>
    <row r="19">
      <c r="A19" s="16" t="inlineStr">
        <is>
          <t>MSAVI 2024 — MEDIA DEL BLOQUE</t>
        </is>
      </c>
      <c r="B19" s="17" t="n">
        <v>0.3381</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1 232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(0.3381)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5.036</v>
      </c>
      <c r="C25" s="19" t="n">
        <v>0.98</v>
      </c>
      <c r="D25" s="11" t="inlineStr">
        <is>
          <t>Dosel continuo, matorral denso o mosaico agroforestal</t>
        </is>
      </c>
      <c r="E25" s="11" t="inlineStr"/>
    </row>
    <row r="26">
      <c r="A26" s="12" t="inlineStr">
        <is>
          <t>Vegetación mediana</t>
        </is>
      </c>
      <c r="B26" s="20" t="n">
        <v>195.4763</v>
      </c>
      <c r="C26" s="21" t="n">
        <v>37.99</v>
      </c>
      <c r="D26" s="13" t="inlineStr">
        <is>
          <t>Pastizal cultivado, matorral ralo, parcelas agrícolas</t>
        </is>
      </c>
      <c r="E26" s="13" t="inlineStr"/>
    </row>
    <row r="27">
      <c r="A27" s="7" t="inlineStr">
        <is>
          <t>Vegetación ligera</t>
        </is>
      </c>
      <c r="B27" s="18" t="n">
        <v>309.8212</v>
      </c>
      <c r="C27" s="19" t="n">
        <v>60.21</v>
      </c>
      <c r="D27" s="11" t="inlineStr">
        <is>
          <t>Cobertura discontinua, suelo parcialmente expuesto</t>
        </is>
      </c>
      <c r="E27" s="11" t="inlineStr"/>
    </row>
    <row r="28">
      <c r="A28" s="12" t="inlineStr">
        <is>
          <t>Tierra desnuda</t>
        </is>
      </c>
      <c r="B28" s="20" t="n">
        <v>4.2744</v>
      </c>
      <c r="C28" s="21" t="n">
        <v>0.83</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514.36</v>
      </c>
      <c r="C30" s="25" t="inlineStr">
        <is>
          <t>—</t>
        </is>
      </c>
      <c r="D30" s="25" t="inlineStr">
        <is>
          <t>Desviación planimétrica frente al catálogo</t>
        </is>
      </c>
      <c r="E30" s="25" t="inlineStr">
        <is>
          <t>+0.05 %</t>
        </is>
      </c>
    </row>
    <row r="31"/>
    <row r="32" ht="72"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M6B2-1</t>
        </is>
      </c>
    </row>
    <row r="6" ht="24" customHeight="1">
      <c r="A6" s="4" t="inlineStr">
        <is>
          <t>Levantamiento del 2026-05-18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615428</v>
      </c>
      <c r="D10" s="26" t="n">
        <v>9416185</v>
      </c>
      <c r="E10" s="11" t="n">
        <v>3826.2</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612864</v>
      </c>
      <c r="C13" s="6" t="inlineStr">
        <is>
          <t>Centroide del bloque — UTM NORTE (m)</t>
        </is>
      </c>
      <c r="D13" s="7" t="n">
        <v>9413345</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120"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 MOMENTO DE LA EVALUACIÓN LA ACCESIBILIDAD AL BLOQUE ERA LIMITADA POR LA PRESENCIA DE TERRENOS DE CULTIVOS Y POTREROS DE PROPIETARIOS PRIVADOS. NO SE PUDO ACCEDER AL INTERIOR DEL BLOQUE. [Normalización para validación: el rango altitudinal 200-400 msnm reportado en campo se clasifica como «&lt;1000 m (Yunga)» según lst_RangoAltitud — verificar con el Ing. Cahuas.] ATENCIÓN: el punto de registro (615 428 E · 9 416 185 N) dista ≈3.8 km al NE del centroide de catálogo (612 864 E · 9 413 340 N).</t>
        </is>
      </c>
      <c r="B16" s="41" t="n"/>
      <c r="C16" s="41" t="n"/>
      <c r="D16" s="41" t="n"/>
      <c r="E16" s="41" t="n"/>
      <c r="F16" s="41" t="n"/>
      <c r="G16" s="42"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C1077-Q9566 — BLOQUE M6B2-1</t>
        </is>
      </c>
    </row>
    <row r="6" ht="24" customHeight="1">
      <c r="A6" s="4" t="inlineStr">
        <is>
          <t>Distrito de Buenos Aires · Provincia de Morropon · Comparación de los bloques preliminares de intervención de la misma microcuenca</t>
        </is>
      </c>
    </row>
    <row r="7"/>
    <row r="8" ht="18" customHeight="1">
      <c r="A8" s="5" t="inlineStr">
        <is>
          <t>BLOQUES DE LA MICROCUENCA C1077-Q9566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M6B2-1</t>
        </is>
      </c>
      <c r="B10" s="27" t="n">
        <v>514.36</v>
      </c>
      <c r="C10" s="28" t="n">
        <v>33.1</v>
      </c>
      <c r="D10" s="15" t="inlineStr">
        <is>
          <t>181 – 504</t>
        </is>
      </c>
      <c r="E10" s="15" t="n">
        <v>323</v>
      </c>
      <c r="F10" s="15" t="n">
        <v>16.84</v>
      </c>
      <c r="G10" s="29" t="n">
        <v>0.3381</v>
      </c>
      <c r="H10" s="28" t="n">
        <v>0.98</v>
      </c>
      <c r="I10" s="28" t="n">
        <v>98.98999999999999</v>
      </c>
    </row>
    <row r="11">
      <c r="A11" s="12" t="inlineStr">
        <is>
          <t>M6B2-2</t>
        </is>
      </c>
      <c r="B11" s="30" t="n">
        <v>333.01</v>
      </c>
      <c r="C11" s="21" t="n">
        <v>21.43</v>
      </c>
      <c r="D11" s="13" t="inlineStr">
        <is>
          <t>195 – 440</t>
        </is>
      </c>
      <c r="E11" s="13" t="n">
        <v>245</v>
      </c>
      <c r="F11" s="13" t="n">
        <v>14.33</v>
      </c>
      <c r="G11" s="20" t="n">
        <v>0.3026</v>
      </c>
      <c r="H11" s="21" t="n">
        <v>0.68</v>
      </c>
      <c r="I11" s="21" t="n">
        <v>99</v>
      </c>
    </row>
    <row r="12">
      <c r="A12" s="7" t="inlineStr">
        <is>
          <t>5</t>
        </is>
      </c>
      <c r="B12" s="31" t="n">
        <v>295.73</v>
      </c>
      <c r="C12" s="19" t="n">
        <v>19.03</v>
      </c>
      <c r="D12" s="11" t="inlineStr">
        <is>
          <t>150 – 377</t>
        </is>
      </c>
      <c r="E12" s="11" t="n">
        <v>227</v>
      </c>
      <c r="F12" s="11" t="n">
        <v>18.57</v>
      </c>
      <c r="G12" s="18" t="n">
        <v>0.3394</v>
      </c>
      <c r="H12" s="19" t="n">
        <v>5.59</v>
      </c>
      <c r="I12" s="19" t="n">
        <v>99.84999999999999</v>
      </c>
    </row>
    <row r="13">
      <c r="A13" s="12" t="inlineStr">
        <is>
          <t>M6B10</t>
        </is>
      </c>
      <c r="B13" s="30" t="n">
        <v>249.89</v>
      </c>
      <c r="C13" s="21" t="n">
        <v>16.08</v>
      </c>
      <c r="D13" s="13" t="inlineStr">
        <is>
          <t>158 – 537</t>
        </is>
      </c>
      <c r="E13" s="13" t="n">
        <v>379</v>
      </c>
      <c r="F13" s="13" t="n">
        <v>20.6</v>
      </c>
      <c r="G13" s="20" t="n">
        <v>0.3099</v>
      </c>
      <c r="H13" s="21" t="n">
        <v>0.08</v>
      </c>
      <c r="I13" s="21" t="n">
        <v>99.83</v>
      </c>
    </row>
    <row r="14">
      <c r="A14" s="7" t="inlineStr">
        <is>
          <t>M6B2-3</t>
        </is>
      </c>
      <c r="B14" s="31" t="n">
        <v>160.98</v>
      </c>
      <c r="C14" s="19" t="n">
        <v>10.36</v>
      </c>
      <c r="D14" s="11" t="inlineStr">
        <is>
          <t>166 – 557</t>
        </is>
      </c>
      <c r="E14" s="11" t="n">
        <v>391</v>
      </c>
      <c r="F14" s="11" t="n">
        <v>19.78</v>
      </c>
      <c r="G14" s="18" t="n">
        <v>0.4063</v>
      </c>
      <c r="H14" s="19" t="n">
        <v>4.92</v>
      </c>
      <c r="I14" s="19" t="n">
        <v>90.48999999999999</v>
      </c>
    </row>
    <row r="15">
      <c r="A15" s="16" t="inlineStr">
        <is>
          <t>TOTAL / PROMEDIO</t>
        </is>
      </c>
      <c r="B15" s="32">
        <f>SUM(B10:B14)</f>
        <v/>
      </c>
      <c r="C15" s="23">
        <f>SUM(C10:C14)</f>
        <v/>
      </c>
      <c r="D15" s="17" t="inlineStr">
        <is>
          <t>150 – 557</t>
        </is>
      </c>
      <c r="E15" s="17" t="inlineStr"/>
      <c r="F15" s="17">
        <f>ROUND(AVERAGE(F10:F14),2)</f>
        <v/>
      </c>
      <c r="G15" s="22">
        <f>ROUND(AVERAGE(G10:G14),4)</f>
        <v/>
      </c>
      <c r="H15" s="23">
        <f>ROUND(AVERAGE(H10:H14),2)</f>
        <v/>
      </c>
      <c r="I15" s="23">
        <f>ROUND(AVERAGE(I10:I14),2)</f>
        <v/>
      </c>
    </row>
    <row r="16"/>
    <row r="17" ht="84" customHeight="1">
      <c r="A17" s="9" t="inlineStr">
        <is>
          <t>LECTURA INTRAMICROCUENCA. El bloque M6B2-1 ocupa el puesto 1 de 5 por superficie dentro de la microcuenca C1077-Q9566 (33.10 % de las 1553.97 ha preliminares de la microcuenca). Su pendiente promedio (16.84 %, clase «15-25% (Fuert. inclinado)») es la 2.ª más baja de 5 y se sitúa por debajo del promedio de la microcuenca (18.02 %). Su MSAVI 2024 (0.3381) es el 3.º de 5 y queda por debajo del promedio local (0.3393). Amplitud altitudinal del bloque: 323 m (181–504 msnm). El cuadro conserva todos los bloques catalogados en la microcuenca, incluidos los descartados en el tamizaje, para referencia del conjunto. Los bloques sin ficha DT figuran con sus parámetros de gabinete. BRECHA ESPECTRAL. El 98.99 % de la superficie del bloque (509.148 ha de 514.359 ha) se sitúa bajo el umbral MSAVI 0.4976, por encima del promedio local de la microcuenca (97.63 %) calculado sobre los bloques con dato MSAVI disponible.</t>
        </is>
      </c>
      <c r="B17" s="41" t="n"/>
      <c r="C17" s="41" t="n"/>
      <c r="D17" s="41" t="n"/>
      <c r="E17" s="41" t="n"/>
      <c r="F17" s="41" t="n"/>
      <c r="G17" s="41" t="n"/>
      <c r="H17" s="42" t="n"/>
    </row>
    <row r="18"/>
    <row r="19" ht="60" customHeight="1">
      <c r="A19"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9" s="41" t="n"/>
      <c r="C19" s="41" t="n"/>
      <c r="D19" s="41" t="n"/>
      <c r="E19" s="41" t="n"/>
      <c r="F19" s="41" t="n"/>
      <c r="G19" s="41" t="n"/>
      <c r="H19" s="42" t="n"/>
    </row>
  </sheetData>
  <mergeCells count="9">
    <mergeCell ref="A1:I1"/>
    <mergeCell ref="A4:I4"/>
    <mergeCell ref="A3:I3"/>
    <mergeCell ref="A2:I2"/>
    <mergeCell ref="A19:I19"/>
    <mergeCell ref="A5:I5"/>
    <mergeCell ref="A8:I8"/>
    <mergeCell ref="A6:I6"/>
    <mergeCell ref="A17:I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M6B2-1</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«C1077-Q9566»</t>
        </is>
      </c>
      <c r="D10" s="34" t="inlineStr">
        <is>
          <t>CONFORME</t>
        </is>
      </c>
      <c r="E10" s="33" t="inlineStr">
        <is>
          <t>Sin acción.</t>
        </is>
      </c>
    </row>
    <row r="11" ht="48" customHeight="1">
      <c r="A11" s="35" t="inlineStr">
        <is>
          <t>D-02</t>
        </is>
      </c>
      <c r="B11" s="35" t="inlineStr">
        <is>
          <t>UTM del punto de muestreo</t>
        </is>
      </c>
      <c r="C11" s="35" t="inlineStr">
        <is>
          <t>El punto de muestreo declarado (615428 E / 9416185 N) dista 3,826 m del centroide de catálogo (612864 E / 9413345 N), distancia incompatible con la superficie del bloque (514.36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(514.608 ha) coincide con la de catálogo (514.36 ha) dentro del ±2 % (+0.05 %)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16.84 %,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Elenco florístico</t>
        </is>
      </c>
      <c r="C14" s="33" t="inlineStr">
        <is>
          <t>La ficha registra 11 taxones, por debajo del mínimo de 15 que exige el formato V5</t>
        </is>
      </c>
      <c r="D14" s="36" t="inlineStr">
        <is>
          <t>SUSTANTIVA</t>
        </is>
      </c>
      <c r="E14" s="33" t="inlineStr">
        <is>
          <t>Registro florístico preliminar, sin colecta ni determinación botánica formal. Debe cerrarse con colecta botánica en la siguiente campaña.</t>
        </is>
      </c>
    </row>
    <row r="15" ht="48" customHeight="1">
      <c r="A15" s="35" t="inlineStr">
        <is>
          <t>D-06</t>
        </is>
      </c>
      <c r="B15" s="35" t="inlineStr">
        <is>
          <t>Representatividad del levantamiento</t>
        </is>
      </c>
      <c r="C15" s="35" t="inlineStr">
        <is>
          <t>Ninguna de las estaciones fotográficas georreferenciadas se localiza dentro del polígono del bloque</t>
        </is>
      </c>
      <c r="D15" s="36" t="inlineStr">
        <is>
          <t>SUSTANTIVA</t>
        </is>
      </c>
      <c r="E15" s="35" t="inlineStr">
        <is>
          <t>La verificación documenta el perímetro y la vista panorámica del bloque, no su interior. Los parámetros que exigen recorrido interno se consignan «Por determinar».</t>
        </is>
      </c>
    </row>
    <row r="16" ht="48" customHeight="1">
      <c r="A16" s="33" t="inlineStr">
        <is>
          <t>D-07</t>
        </is>
      </c>
      <c r="B16" s="33" t="inlineStr">
        <is>
          <t>Peligro integrado (MCA-AHP)</t>
        </is>
      </c>
      <c r="C16" s="33" t="inlineStr">
        <is>
          <t>El nivel de peligro integrado no está disponible en los insumos de este entregable</t>
        </is>
      </c>
      <c r="D16" s="36" t="inlineStr">
        <is>
          <t>SUSTANTIVA</t>
        </is>
      </c>
      <c r="E16" s="33" t="inlineStr">
        <is>
          <t>Debe tomarse del modelamiento de mesolocalización (PMM + EPH + PGI ponderados por AHP) antes de fijar la prioridad definitiva de intervención del bloque.</t>
        </is>
      </c>
    </row>
    <row r="17" ht="48" customHeight="1">
      <c r="A17" s="35" t="inlineStr">
        <is>
          <t>D-08</t>
        </is>
      </c>
      <c r="B17" s="35" t="inlineStr">
        <is>
          <t>Plan de Ingreso</t>
        </is>
      </c>
      <c r="C17" s="35" t="inlineStr">
        <is>
          <t>Altitud = 0 msnm (captura por defecto del aplicativo)</t>
        </is>
      </c>
      <c r="D17" s="37" t="inlineStr">
        <is>
          <t>CORREGIDO</t>
        </is>
      </c>
      <c r="E17" s="35" t="inlineStr">
        <is>
          <t>Se reemplaza por la altitud GPS de campo (200 msnm)</t>
        </is>
      </c>
    </row>
    <row r="18" ht="48" customHeight="1">
      <c r="A18" s="33" t="inlineStr">
        <is>
          <t>D-09</t>
        </is>
      </c>
      <c r="B18" s="33" t="inlineStr">
        <is>
          <t>F-DT-01</t>
        </is>
      </c>
      <c r="C18" s="33" t="inlineStr">
        <is>
          <t>NO SE PUDO ACCEDER AL INTERIOR DEL BLOQUE por terrenos de cultivos y potreros de propietarios privados</t>
        </is>
      </c>
      <c r="D18" s="36" t="inlineStr">
        <is>
          <t>SUSTANTIVA</t>
        </is>
      </c>
      <c r="E18" s="33" t="inlineStr">
        <is>
          <t>Las 514.36 ha no fueron recorridas; gestión predial previa indispensable</t>
        </is>
      </c>
    </row>
    <row r="19" ht="48" customHeight="1">
      <c r="A19" s="35" t="inlineStr">
        <is>
          <t>D-10</t>
        </is>
      </c>
      <c r="B19" s="35" t="inlineStr">
        <is>
          <t>F-DT-01</t>
        </is>
      </c>
      <c r="C19" s="35" t="inlineStr">
        <is>
          <t>El punto de registro dista ≈3.8 km al NE del centroide de catálogo</t>
        </is>
      </c>
      <c r="D19" s="36" t="inlineStr">
        <is>
          <t>SUSTANTIVA</t>
        </is>
      </c>
      <c r="E19" s="35" t="inlineStr">
        <is>
          <t>Georreferencia por reponer</t>
        </is>
      </c>
    </row>
    <row r="20" ht="48" customHeight="1">
      <c r="A20" s="33" t="inlineStr">
        <is>
          <t>D-11</t>
        </is>
      </c>
      <c r="B20" s="33" t="inlineStr">
        <is>
          <t>F-DT-01</t>
        </is>
      </c>
      <c r="C20" s="33" t="inlineStr">
        <is>
          <t>Rango altitudinal reportado en campo (200-400 msnm) normalizado a la clase «&lt;1000 m (Yunga)»</t>
        </is>
      </c>
      <c r="D20" s="15" t="inlineStr">
        <is>
          <t>NO SUSTANTIVA</t>
        </is>
      </c>
      <c r="E20" s="33" t="inlineStr">
        <is>
          <t>Verificación pendiente con el Ing. Cahuas</t>
        </is>
      </c>
    </row>
    <row r="21" ht="48" customHeight="1">
      <c r="A21" s="35" t="inlineStr">
        <is>
          <t>D-12</t>
        </is>
      </c>
      <c r="B21" s="35" t="inlineStr">
        <is>
          <t>F-DT-03</t>
        </is>
      </c>
      <c r="C21" s="35" t="inlineStr">
        <is>
          <t>Inventario florístico sin familia, origen, abundancia, DAP ni altura; especies clave por levantar</t>
        </is>
      </c>
      <c r="D21" s="36" t="inlineStr">
        <is>
          <t>SUSTANTIVA</t>
        </is>
      </c>
      <c r="E21" s="35" t="inlineStr">
        <is>
          <t>Levantamiento pendiente</t>
        </is>
      </c>
    </row>
    <row r="22" ht="48" customHeight="1">
      <c r="A22" s="33" t="inlineStr">
        <is>
          <t>D-13</t>
        </is>
      </c>
      <c r="B22" s="33" t="inlineStr">
        <is>
          <t>F-DT-03</t>
        </is>
      </c>
      <c r="C22" s="33" t="inlineStr">
        <is>
          <t>Cobertura de dosel 70% y «Bosque denso (&gt;70%)» frente a estado «Medianamente alterado» y cobertura total «Por verificar»</t>
        </is>
      </c>
      <c r="D22" s="36" t="inlineStr">
        <is>
          <t>SUSTANTIVA</t>
        </is>
      </c>
      <c r="E22" s="33" t="inlineStr">
        <is>
          <t>Inconsistencia interna a resolver</t>
        </is>
      </c>
    </row>
    <row r="23" ht="48" customHeight="1">
      <c r="A23" s="35" t="inlineStr">
        <is>
          <t>D-14</t>
        </is>
      </c>
      <c r="B23" s="35" t="inlineStr">
        <is>
          <t>F-DT-04</t>
        </is>
      </c>
      <c r="C23" s="35" t="inlineStr">
        <is>
          <t>Ninguno de los 8 indicadores cuantitativos fue diligenciado; extensiones y antigüedades sin cuantificar</t>
        </is>
      </c>
      <c r="D23" s="36" t="inlineStr">
        <is>
          <t>SUSTANTIVA</t>
        </is>
      </c>
      <c r="E23" s="35" t="inlineStr">
        <is>
          <t>Cuantificación pendiente</t>
        </is>
      </c>
    </row>
    <row r="24" ht="48" customHeight="1">
      <c r="A24" s="33" t="inlineStr">
        <is>
          <t>D-15</t>
        </is>
      </c>
      <c r="B24" s="33" t="inlineStr">
        <is>
          <t>F-DT-05</t>
        </is>
      </c>
      <c r="C24" s="33" t="inlineStr">
        <is>
          <t>La ficha F-DT-05 del archivo de origen correspondía a OTRO bloque (M7B2) y no fue transferida</t>
        </is>
      </c>
      <c r="D24" s="36" t="inlineStr">
        <is>
          <t>SUSTANTIVA</t>
        </is>
      </c>
      <c r="E24" s="33" t="inlineStr">
        <is>
          <t>Aplicación correcta de la regla de no fabricación; levantamiento pendiente</t>
        </is>
      </c>
    </row>
    <row r="25" ht="48" customHeight="1">
      <c r="A25" s="33" t="inlineStr">
        <is>
          <t>D-16</t>
        </is>
      </c>
      <c r="B25" s="33" t="inlineStr">
        <is>
          <t>Distribución areal MSAVI 2024</t>
        </is>
      </c>
      <c r="C25" s="33" t="inlineStr">
        <is>
          <t>La distribución por clase de MSAVI no figuraba en los insumos del entregable y se consignaba «Por determinar»; se incorpora la estadística zonal del ráster MSAVI clasificado (1 232 polígonos, 514.359 ha)</t>
        </is>
      </c>
      <c r="D25" s="36" t="inlineStr">
        <is>
          <t>CORREGIDO</t>
        </is>
      </c>
      <c r="E25" s="33"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6" ht="48" customHeight="1">
      <c r="A26" s="33" t="inlineStr">
        <is>
          <t>D-17</t>
        </is>
      </c>
      <c r="B26" s="33" t="inlineStr">
        <is>
          <t>Superficie MSAVI vs. catálogo</t>
        </is>
      </c>
      <c r="C26" s="33" t="inlineStr">
        <is>
          <t>La superficie total clasificada por el MSAVI 2024 (514.359 ha) frente a la de catálogo V5/V6 (514.360 ha): desviación de +0.00 %</t>
        </is>
      </c>
      <c r="D26" s="36" t="inlineStr">
        <is>
          <t>CONFORME</t>
        </is>
      </c>
      <c r="E26" s="33" t="inlineStr">
        <is>
          <t>Sin acción: la segmentación del ráster valida la geometría del bloque dentro del ±2 %.</t>
        </is>
      </c>
    </row>
    <row r="27" ht="48" customHeight="1">
      <c r="A27" s="33" t="inlineStr">
        <is>
          <t>D-18</t>
        </is>
      </c>
      <c r="B27" s="33" t="inlineStr">
        <is>
          <t>Media MSAVI vs. clase DN dominante</t>
        </is>
      </c>
      <c r="C27" s="33" t="inlineStr">
        <is>
          <t>La media del bloque (0.3381) cae en la clase «DN 2 · 0.2650 - 0.3813 (Vigor muy bajo)»; la clase de mayor superficie es «DN 2 · 0.2650 - 0.3813 (Vigor muy bajo)», con 63.91 % del bloque. Superficie bajo el umbral 0.4976: 509.148 ha (98.99 %)</t>
        </is>
      </c>
      <c r="D27" s="36" t="inlineStr">
        <is>
          <t>CONFORME</t>
        </is>
      </c>
      <c r="E27" s="33" t="inlineStr">
        <is>
          <t>Sin acción: la media del bloque y la clase de mayor superficie coinciden.</t>
        </is>
      </c>
    </row>
    <row r="28"/>
    <row r="29">
      <c r="A29" s="16" t="inlineStr">
        <is>
          <t>RESUMEN</t>
        </is>
      </c>
      <c r="B29" s="17" t="inlineStr">
        <is>
          <t>18 verificaciones</t>
        </is>
      </c>
      <c r="C29" s="17" t="inlineStr">
        <is>
          <t>CONFORME: 4 · CORREGIDO: 2 · NO SUSTANTIVA: 2 · SUSTANTIVA: 10</t>
        </is>
      </c>
      <c r="D29" s="17" t="inlineStr"/>
      <c r="E29" s="17" t="inlineStr"/>
    </row>
    <row r="30"/>
    <row r="31" ht="60" customHeight="1">
      <c r="A3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1" s="41" t="n"/>
      <c r="C31" s="41" t="n"/>
      <c r="D31" s="41" t="n"/>
      <c r="E31" s="42" t="n"/>
    </row>
  </sheetData>
  <mergeCells count="8">
    <mergeCell ref="A4:E4"/>
    <mergeCell ref="A2:E2"/>
    <mergeCell ref="A8:E8"/>
    <mergeCell ref="A5:E5"/>
    <mergeCell ref="A1:E1"/>
    <mergeCell ref="A31:E31"/>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M6B2-1 — IN Piura</dc:title>
  <dc:subject>Diagnóstico Territorial por bloque de intervención</dc:subject>
  <dcterms:created xsi:type="dcterms:W3CDTF">2026-09-08T03:39:54Z</dcterms:created>
  <dcterms:modified xsi:type="dcterms:W3CDTF">2026-09-09T23:30:56Z</dcterms:modified>
</cp:coreProperties>
</file>