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M28B2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M28B2</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Flor de Agua</t>
        </is>
      </c>
      <c r="C13" s="6" t="inlineStr">
        <is>
          <t>Comunidad campesina</t>
        </is>
      </c>
      <c r="D13" s="7" t="inlineStr">
        <is>
          <t>No consignada</t>
        </is>
      </c>
      <c r="E13" s="8" t="n"/>
      <c r="F13" s="8" t="n"/>
    </row>
    <row r="14">
      <c r="A14" s="6" t="inlineStr">
        <is>
          <t>Superficie de catálogo (V5/V6), ha</t>
        </is>
      </c>
      <c r="B14" s="7" t="n">
        <v>90.2</v>
      </c>
      <c r="C14" s="6" t="inlineStr">
        <is>
          <t>Fuente de superficie</t>
        </is>
      </c>
      <c r="D14" s="7" t="inlineStr">
        <is>
          <t>Catálogo maestro Bloques V5/V6</t>
        </is>
      </c>
      <c r="E14" s="8" t="n"/>
      <c r="F14" s="8" t="n"/>
    </row>
    <row r="15">
      <c r="A15" s="6" t="inlineStr">
        <is>
          <t>Centroide UTM ESTE (m)</t>
        </is>
      </c>
      <c r="B15" s="7" t="n">
        <v>636249</v>
      </c>
      <c r="C15" s="6" t="inlineStr">
        <is>
          <t>Centroide UTM NORTE (m)</t>
        </is>
      </c>
      <c r="D15" s="7" t="n">
        <v>9425665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754</v>
      </c>
      <c r="C19" s="6" t="inlineStr">
        <is>
          <t>Altitud máxima (msnm)</t>
        </is>
      </c>
      <c r="D19" s="7" t="n">
        <v>1111</v>
      </c>
      <c r="E19" s="8" t="n"/>
      <c r="F19" s="8" t="n"/>
    </row>
    <row r="20">
      <c r="A20" s="6" t="inlineStr">
        <is>
          <t>Amplitud altitudinal (m)</t>
        </is>
      </c>
      <c r="B20" s="7" t="n">
        <v>357</v>
      </c>
      <c r="C20" s="6" t="inlineStr">
        <is>
          <t>Piso altitudinal dominante</t>
        </is>
      </c>
      <c r="D20" s="7" t="inlineStr">
        <is>
          <t>&lt;1000 m (Yunga)</t>
        </is>
      </c>
      <c r="E20" s="8" t="n"/>
      <c r="F20" s="8" t="n"/>
    </row>
    <row r="21">
      <c r="A21" s="6" t="inlineStr">
        <is>
          <t>Pendiente promedio (%)</t>
        </is>
      </c>
      <c r="B21" s="7" t="n">
        <v>20.65</v>
      </c>
      <c r="C21" s="6" t="inlineStr">
        <is>
          <t>Pendiente promedio (grados)</t>
        </is>
      </c>
      <c r="D21" s="7" t="n">
        <v>11.7</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0.4753</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(51.72 %)</t>
        </is>
      </c>
      <c r="E29" s="8" t="n"/>
      <c r="F29" s="8" t="n"/>
    </row>
    <row r="30">
      <c r="A30" s="6" t="inlineStr">
        <is>
          <t>Superficie clasificada NDVI 2025 (ha)</t>
        </is>
      </c>
      <c r="B30" s="7" t="n">
        <v>90.22799999999999</v>
      </c>
      <c r="C30" s="6" t="inlineStr">
        <is>
          <t>Desviación frente al catálogo (%)</t>
        </is>
      </c>
      <c r="D30" s="7" t="n">
        <v>0.03</v>
      </c>
      <c r="E30" s="8" t="n"/>
      <c r="F30" s="8" t="n"/>
    </row>
    <row r="31">
      <c r="A31" s="6" t="inlineStr">
        <is>
          <t>Superficie clasificada MSAVI 2024 (ha)</t>
        </is>
      </c>
      <c r="B31" s="37" t="n">
        <v>90.197</v>
      </c>
      <c r="C31" s="6" t="inlineStr">
        <is>
          <t>Desviación MSAVI frente al catálogo (%)</t>
        </is>
      </c>
      <c r="D31" s="38" t="n">
        <v>0</v>
      </c>
      <c r="E31" s="8" t="n"/>
      <c r="F31" s="8" t="n"/>
    </row>
    <row r="32">
      <c r="A32" s="6" t="inlineStr">
        <is>
          <t>Superficie bajo umbral MSAVI 0.4976 (ha)</t>
        </is>
      </c>
      <c r="B32" s="37" t="n">
        <v>56.096</v>
      </c>
      <c r="C32" s="6" t="inlineStr">
        <is>
          <t>% del bloque bajo umbral (brecha espectral)</t>
        </is>
      </c>
      <c r="D32" s="38" t="n">
        <v>62.19</v>
      </c>
      <c r="E32" s="8" t="n"/>
      <c r="F32" s="8" t="n"/>
    </row>
    <row r="33">
      <c r="A33" s="6" t="inlineStr">
        <is>
          <t>Clase DN dominante (MSAVI 2024)</t>
        </is>
      </c>
      <c r="B33" s="7" t="inlineStr">
        <is>
          <t>DN 3 · 0.3813 - 0.4976 (Vigor bajo)</t>
        </is>
      </c>
      <c r="C33" s="6" t="inlineStr">
        <is>
          <t>N.° de polígonos MSAVI del bloque</t>
        </is>
      </c>
      <c r="D33" s="39" t="n">
        <v>486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90.2 ha (100% del bloque)</t>
        </is>
      </c>
      <c r="E36" s="8" t="n"/>
      <c r="F36" s="8" t="n"/>
    </row>
    <row r="37">
      <c r="A37" s="6" t="inlineStr">
        <is>
          <t>Estado de conservación</t>
        </is>
      </c>
      <c r="B37" s="7" t="inlineStr">
        <is>
          <t>Medianamente alterado</t>
        </is>
      </c>
      <c r="C37" s="6" t="inlineStr">
        <is>
          <t>Uso actual dominante del suelo</t>
        </is>
      </c>
      <c r="D37" s="7" t="inlineStr">
        <is>
          <t>Agricultura en secano</t>
        </is>
      </c>
      <c r="E37" s="8" t="n"/>
      <c r="F37" s="8" t="n"/>
    </row>
    <row r="38">
      <c r="A38" s="6" t="inlineStr">
        <is>
          <t>Tipo de cobertura dominante</t>
        </is>
      </c>
      <c r="B38" s="7" t="inlineStr">
        <is>
          <t>Bosque ralo (30-70%)</t>
        </is>
      </c>
      <c r="C38" s="6" t="inlineStr">
        <is>
          <t>Cobertura vegetal total — campo (%)</t>
        </is>
      </c>
      <c r="D38" s="7" t="inlineStr">
        <is>
          <t>Sin registro en ficha</t>
        </is>
      </c>
      <c r="E38" s="8" t="n"/>
      <c r="F38" s="8" t="n"/>
    </row>
    <row r="39">
      <c r="A39" s="6" t="inlineStr">
        <is>
          <t>Suelo desnudo — campo (%)</t>
        </is>
      </c>
      <c r="B39" s="7" t="n">
        <v>20</v>
      </c>
      <c r="C39" s="6" t="inlineStr">
        <is>
          <t>Regeneración natural</t>
        </is>
      </c>
      <c r="D39" s="7" t="inlineStr">
        <is>
          <t>Escasa (&lt;10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Carlos Domínguez Varas</t>
        </is>
      </c>
      <c r="C44" s="6" t="inlineStr">
        <is>
          <t>Fecha de evaluación</t>
        </is>
      </c>
      <c r="D44" s="7" t="inlineStr">
        <is>
          <t>2026-05-25</t>
        </is>
      </c>
      <c r="E44" s="8" t="n"/>
      <c r="F44" s="8" t="n"/>
    </row>
    <row r="45">
      <c r="A45" s="6" t="inlineStr">
        <is>
          <t>Hora de registro</t>
        </is>
      </c>
      <c r="B45" s="7" t="inlineStr">
        <is>
          <t>14:30 - 16:00 h</t>
        </is>
      </c>
      <c r="C45" s="6" t="inlineStr">
        <is>
          <t>Correlativo de ficha</t>
        </is>
      </c>
      <c r="D45" s="7" t="inlineStr">
        <is>
          <t>Por determinar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M28B2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3.6833</v>
      </c>
      <c r="C10" s="19">
        <f>ROUND(B10/$B$15*100,2)</f>
        <v>4.08</v>
      </c>
      <c r="D10" s="11" t="inlineStr">
        <is>
          <t>Vigor alto</t>
        </is>
      </c>
      <c r="E10" s="11" t="inlineStr">
        <is>
          <t>Sobre umbral</t>
        </is>
      </c>
    </row>
    <row r="11">
      <c r="A11" s="12" t="inlineStr">
        <is>
          <t>0.4976 - 0.6139 · DN 4</t>
        </is>
      </c>
      <c r="B11" s="20" t="n">
        <v>30.4185</v>
      </c>
      <c r="C11" s="21">
        <f>ROUND(B11/$B$15*100,2)</f>
        <v>33.72</v>
      </c>
      <c r="D11" s="13" t="inlineStr">
        <is>
          <t>Vigor moderado</t>
        </is>
      </c>
      <c r="E11" s="13" t="inlineStr">
        <is>
          <t>Sobre umbral</t>
        </is>
      </c>
    </row>
    <row r="12">
      <c r="A12" s="14" t="inlineStr">
        <is>
          <t>0.3813 - 0.4976 · DN 3</t>
        </is>
      </c>
      <c r="B12" s="30" t="n">
        <v>46.878</v>
      </c>
      <c r="C12" s="29">
        <f>ROUND(B12/$B$15*100,2)</f>
        <v>51.97</v>
      </c>
      <c r="D12" s="15" t="inlineStr">
        <is>
          <t>Vigor bajo</t>
        </is>
      </c>
      <c r="E12" s="15" t="inlineStr">
        <is>
          <t>BAJO umbral 0.4976</t>
        </is>
      </c>
    </row>
    <row r="13">
      <c r="A13" s="12" t="inlineStr">
        <is>
          <t>0.2650 - 0.3813 · DN 2</t>
        </is>
      </c>
      <c r="B13" s="20" t="n">
        <v>7.9309</v>
      </c>
      <c r="C13" s="21">
        <f>ROUND(B13/$B$15*100,2)</f>
        <v>8.79</v>
      </c>
      <c r="D13" s="13" t="inlineStr">
        <is>
          <t>Vigor muy bajo</t>
        </is>
      </c>
      <c r="E13" s="13" t="inlineStr">
        <is>
          <t>BAJO umbral 0.4976</t>
        </is>
      </c>
    </row>
    <row r="14">
      <c r="A14" s="7" t="inlineStr">
        <is>
          <t>&lt;= 0.2650 · DN 1</t>
        </is>
      </c>
      <c r="B14" s="18" t="n">
        <v>1.2867</v>
      </c>
      <c r="C14" s="19">
        <f>ROUND(B14/$B$15*100,2)</f>
        <v>1.43</v>
      </c>
      <c r="D14" s="11" t="inlineStr">
        <is>
          <t>Suelo desnudo / no vegetal</t>
        </is>
      </c>
      <c r="E14" s="11" t="inlineStr">
        <is>
          <t>BAJO umbral 0.4976</t>
        </is>
      </c>
    </row>
    <row r="15" ht="30" customHeight="1">
      <c r="A15" s="42" t="inlineStr">
        <is>
          <t>TOTAL CLASIFICADO MSAVI 2024</t>
        </is>
      </c>
      <c r="B15" s="43">
        <f>SUM(B10:B14)</f>
        <v>90.1974</v>
      </c>
      <c r="C15" s="44">
        <f>SUM(C10:C14)</f>
        <v>99.99</v>
      </c>
      <c r="D15" s="42" t="inlineStr">
        <is>
          <t>Suma de la distribución areal · 486 polígonos</t>
        </is>
      </c>
      <c r="E15" s="42" t="inlineStr">
        <is>
          <t>—</t>
        </is>
      </c>
    </row>
    <row r="16" ht="30" customHeight="1">
      <c r="A16" s="45" t="inlineStr">
        <is>
          <t>Superficie SOBRE umbral 0.4976 (ha)</t>
        </is>
      </c>
      <c r="B16" s="46">
        <f>SUM(B10:B11)</f>
        <v>34.1018</v>
      </c>
      <c r="C16" s="47">
        <f>ROUND(B16/B15*100,2)</f>
        <v>37.81</v>
      </c>
      <c r="D16" s="45" t="inlineStr">
        <is>
          <t>Vigor alto y moderado (DN 4 y DN 5)</t>
        </is>
      </c>
      <c r="E16" s="45" t="inlineStr">
        <is>
          <t>Sobre umbral 0.4976</t>
        </is>
      </c>
    </row>
    <row r="17" ht="30" customHeight="1">
      <c r="A17" s="45" t="inlineStr">
        <is>
          <t>Superficie BAJO umbral 0.4976 (ha) — brecha</t>
        </is>
      </c>
      <c r="B17" s="46">
        <f>SUM(B12:B14)</f>
        <v>56.0956</v>
      </c>
      <c r="C17" s="47">
        <f>ROUND(B17/B15*100,2)</f>
        <v>62.19</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90.2</v>
      </c>
      <c r="C18" s="48" t="inlineStr">
        <is>
          <t>—</t>
        </is>
      </c>
      <c r="D18" s="45" t="inlineStr">
        <is>
          <t>Desviación planimétrica frente al catálogo</t>
        </is>
      </c>
      <c r="E18" s="45" t="inlineStr">
        <is>
          <t>+0.00 %</t>
        </is>
      </c>
    </row>
    <row r="19">
      <c r="A19" s="16" t="inlineStr">
        <is>
          <t>MSAVI 2024 — MEDIA DEL BLOQUE</t>
        </is>
      </c>
      <c r="B19" s="17" t="n">
        <v>0.475342</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486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(0.4753)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33.4936</v>
      </c>
      <c r="C25" s="19" t="n">
        <v>37.12</v>
      </c>
      <c r="D25" s="11" t="inlineStr">
        <is>
          <t>Dosel continuo, matorral denso o mosaico agroforestal</t>
        </is>
      </c>
      <c r="E25" s="11" t="inlineStr"/>
    </row>
    <row r="26">
      <c r="A26" s="12" t="inlineStr">
        <is>
          <t>Vegetación mediana</t>
        </is>
      </c>
      <c r="B26" s="20" t="n">
        <v>46.6618</v>
      </c>
      <c r="C26" s="21" t="n">
        <v>51.72</v>
      </c>
      <c r="D26" s="13" t="inlineStr">
        <is>
          <t>Pastizal cultivado, matorral ralo, parcelas agrícolas</t>
        </is>
      </c>
      <c r="E26" s="13" t="inlineStr"/>
    </row>
    <row r="27">
      <c r="A27" s="7" t="inlineStr">
        <is>
          <t>Vegetación ligera</t>
        </is>
      </c>
      <c r="B27" s="18" t="n">
        <v>7.7934</v>
      </c>
      <c r="C27" s="19" t="n">
        <v>8.640000000000001</v>
      </c>
      <c r="D27" s="11" t="inlineStr">
        <is>
          <t>Cobertura discontinua, suelo parcialmente expuesto</t>
        </is>
      </c>
      <c r="E27" s="11" t="inlineStr"/>
    </row>
    <row r="28">
      <c r="A28" s="12" t="inlineStr">
        <is>
          <t>Tierra desnuda</t>
        </is>
      </c>
      <c r="B28" s="20" t="n">
        <v>2.2791</v>
      </c>
      <c r="C28" s="21" t="n">
        <v>2.53</v>
      </c>
      <c r="D28" s="13" t="inlineStr">
        <is>
          <t>Suelo desnudo, afloramientos, plataformas y taludes</t>
        </is>
      </c>
      <c r="E28" s="13" t="inlineStr"/>
    </row>
    <row r="29">
      <c r="A29" s="16" t="inlineStr">
        <is>
          <t>TOTAL CLASIFICADO</t>
        </is>
      </c>
      <c r="B29" s="22">
        <f>SUM(B25:B28)</f>
        <v>90.2279</v>
      </c>
      <c r="C29" s="23">
        <f>SUM(C25:C28)</f>
        <v>100.01</v>
      </c>
      <c r="D29" s="17" t="inlineStr"/>
      <c r="E29" s="17" t="inlineStr"/>
    </row>
    <row r="30">
      <c r="A30" s="24" t="inlineStr">
        <is>
          <t>Superficie de catálogo (V5/V6)</t>
        </is>
      </c>
      <c r="B30" s="25" t="n">
        <v>90.2</v>
      </c>
      <c r="C30" s="25" t="inlineStr">
        <is>
          <t>—</t>
        </is>
      </c>
      <c r="D30" s="25" t="inlineStr">
        <is>
          <t>Desviación planimétrica frente al catálogo</t>
        </is>
      </c>
      <c r="E30" s="25" t="inlineStr">
        <is>
          <t>+0.03 %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M28B2</t>
        </is>
      </c>
    </row>
    <row r="6" ht="24" customHeight="1">
      <c r="A6" s="4" t="inlineStr">
        <is>
          <t>Levantamiento del 2026-05-25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9426131</v>
      </c>
      <c r="E10" s="11" t="n">
        <v>9337.6</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2"/>
    <row r="13">
      <c r="A13" s="6" t="inlineStr">
        <is>
          <t>Centroide del bloque — UTM ESTE (m)</t>
        </is>
      </c>
      <c r="B13" s="7" t="n">
        <v>636249</v>
      </c>
      <c r="C13" s="6" t="inlineStr">
        <is>
          <t>Centroide del bloque — UTM NORTE (m)</t>
        </is>
      </c>
      <c r="D13" s="7" t="n">
        <v>9425665</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5"/>
    <row r="16" ht="132"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el distrito de Yamango a los CC.PP. Víctor Raúl y Flor de Agua; la camioneta se detuvo en el centro poblado, al pie del bloque sobre la vía afirmada. Se ingresó al bloque por la zona sureste, colindante a la vía. La vía afirmada cruza el bloque e intersecta los CC.PP. En el interior del bloque se evidenciaron actividades agrícolas (siembra de maíz y plátano) y presencia de tocones por extracción de leña. La zona próxima a la vía y al CC.PP. es la parte más degradada del bloque. También se evidenció presencia de ganado caprino.</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M28B2</t>
        </is>
      </c>
    </row>
    <row r="6" ht="24" customHeight="1">
      <c r="A6" s="4" t="inlineStr">
        <is>
          <t>Distrito de Yamango · Provincia de Morropon · Comparación de los bloques preliminares de intervención de la misma microcuenca</t>
        </is>
      </c>
    </row>
    <row r="7"/>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M28B4</t>
        </is>
      </c>
      <c r="B10" s="27" t="n">
        <v>283.43</v>
      </c>
      <c r="C10" s="19" t="n">
        <v>58.52</v>
      </c>
      <c r="D10" s="11" t="inlineStr">
        <is>
          <t>297 – 634</t>
        </is>
      </c>
      <c r="E10" s="11" t="n">
        <v>337</v>
      </c>
      <c r="F10" s="11" t="n">
        <v>13.75</v>
      </c>
      <c r="G10" s="18" t="n">
        <v>0.4275</v>
      </c>
      <c r="H10" s="19" t="n">
        <v>18.09</v>
      </c>
      <c r="I10" s="19" t="n">
        <v>74.81</v>
      </c>
    </row>
    <row r="11">
      <c r="A11" s="14" t="inlineStr">
        <is>
          <t>► M28B2</t>
        </is>
      </c>
      <c r="B11" s="28" t="n">
        <v>90.2</v>
      </c>
      <c r="C11" s="29" t="n">
        <v>18.62</v>
      </c>
      <c r="D11" s="15" t="inlineStr">
        <is>
          <t>754 – 1111</t>
        </is>
      </c>
      <c r="E11" s="15" t="n">
        <v>357</v>
      </c>
      <c r="F11" s="15" t="n">
        <v>20.65</v>
      </c>
      <c r="G11" s="30" t="n">
        <v>0.4753</v>
      </c>
      <c r="H11" s="29" t="n">
        <v>37.12</v>
      </c>
      <c r="I11" s="29" t="n">
        <v>62.19</v>
      </c>
    </row>
    <row r="12">
      <c r="A12" s="7" t="inlineStr">
        <is>
          <t>M28B3</t>
        </is>
      </c>
      <c r="B12" s="27" t="n">
        <v>58.29</v>
      </c>
      <c r="C12" s="19" t="n">
        <v>12.04</v>
      </c>
      <c r="D12" s="11" t="inlineStr">
        <is>
          <t>73 – 777</t>
        </is>
      </c>
      <c r="E12" s="11" t="n">
        <v>704</v>
      </c>
      <c r="F12" s="11" t="n">
        <v>22.13</v>
      </c>
      <c r="G12" s="18" t="n">
        <v>0.5075</v>
      </c>
      <c r="H12" s="19" t="n">
        <v>45.27</v>
      </c>
      <c r="I12" s="19" t="n">
        <v>49.67</v>
      </c>
    </row>
    <row r="13">
      <c r="A13" s="12" t="inlineStr">
        <is>
          <t>46</t>
        </is>
      </c>
      <c r="B13" s="31" t="n">
        <v>18.87</v>
      </c>
      <c r="C13" s="21" t="n">
        <v>3.9</v>
      </c>
      <c r="D13" s="13" t="inlineStr">
        <is>
          <t>1371 – 1655</t>
        </is>
      </c>
      <c r="E13" s="13" t="n">
        <v>284</v>
      </c>
      <c r="F13" s="13" t="n">
        <v>31.77</v>
      </c>
      <c r="G13" s="20" t="n">
        <v>0.7244</v>
      </c>
      <c r="H13" s="21" t="inlineStr">
        <is>
          <t>Por determinar</t>
        </is>
      </c>
      <c r="I13" s="13" t="inlineStr">
        <is>
          <t>s/d</t>
        </is>
      </c>
    </row>
    <row r="14">
      <c r="A14" s="7" t="inlineStr">
        <is>
          <t>49</t>
        </is>
      </c>
      <c r="B14" s="27" t="n">
        <v>15.84</v>
      </c>
      <c r="C14" s="19" t="n">
        <v>3.27</v>
      </c>
      <c r="D14" s="11" t="inlineStr">
        <is>
          <t>3065 – 3246</t>
        </is>
      </c>
      <c r="E14" s="11" t="n">
        <v>181</v>
      </c>
      <c r="F14" s="11" t="n">
        <v>25.96</v>
      </c>
      <c r="G14" s="18" t="n">
        <v>0.6860000000000001</v>
      </c>
      <c r="H14" s="19" t="n">
        <v>98.8</v>
      </c>
      <c r="I14" s="19" t="n">
        <v>3.64</v>
      </c>
    </row>
    <row r="15">
      <c r="A15" s="12" t="inlineStr">
        <is>
          <t>52</t>
        </is>
      </c>
      <c r="B15" s="31" t="n">
        <v>11.06</v>
      </c>
      <c r="C15" s="21" t="n">
        <v>2.28</v>
      </c>
      <c r="D15" s="13" t="inlineStr">
        <is>
          <t>3011 – 3164</t>
        </is>
      </c>
      <c r="E15" s="13" t="n">
        <v>153</v>
      </c>
      <c r="F15" s="13" t="n">
        <v>26.16</v>
      </c>
      <c r="G15" s="20" t="n">
        <v>0.6685</v>
      </c>
      <c r="H15" s="21" t="n">
        <v>97.31999999999999</v>
      </c>
      <c r="I15" s="21" t="n">
        <v>3.8</v>
      </c>
    </row>
    <row r="16">
      <c r="A16" s="7" t="inlineStr">
        <is>
          <t>48</t>
        </is>
      </c>
      <c r="B16" s="27" t="n">
        <v>5.75</v>
      </c>
      <c r="C16" s="19" t="n">
        <v>1.19</v>
      </c>
      <c r="D16" s="11" t="inlineStr">
        <is>
          <t>1458 – 1595</t>
        </is>
      </c>
      <c r="E16" s="11" t="n">
        <v>137</v>
      </c>
      <c r="F16" s="11" t="n">
        <v>33.6</v>
      </c>
      <c r="G16" s="18" t="n">
        <v>0.6978</v>
      </c>
      <c r="H16" s="19" t="inlineStr">
        <is>
          <t>Por determinar</t>
        </is>
      </c>
      <c r="I16" s="11" t="inlineStr">
        <is>
          <t>s/d</t>
        </is>
      </c>
    </row>
    <row r="17">
      <c r="A17" s="12" t="inlineStr">
        <is>
          <t>55</t>
        </is>
      </c>
      <c r="B17" s="31" t="n">
        <v>0.86</v>
      </c>
      <c r="C17" s="21" t="n">
        <v>0.18</v>
      </c>
      <c r="D17" s="13" t="inlineStr">
        <is>
          <t>3066 – 3131</t>
        </is>
      </c>
      <c r="E17" s="13" t="n">
        <v>65</v>
      </c>
      <c r="F17" s="13" t="n">
        <v>30.04</v>
      </c>
      <c r="G17" s="20" t="n">
        <v>0.63</v>
      </c>
      <c r="H17" s="21" t="n">
        <v>100</v>
      </c>
      <c r="I17" s="21" t="n">
        <v>1.76</v>
      </c>
    </row>
    <row r="18">
      <c r="A18" s="16" t="inlineStr">
        <is>
          <t>TOTAL / PROMEDIO</t>
        </is>
      </c>
      <c r="B18" s="32">
        <f>SUM(B10:B17)</f>
        <v>484.3</v>
      </c>
      <c r="C18" s="23">
        <f>SUM(C10:C17)</f>
        <v>100.0</v>
      </c>
      <c r="D18" s="17" t="inlineStr">
        <is>
          <t>73 – 3246</t>
        </is>
      </c>
      <c r="E18" s="17" t="inlineStr"/>
      <c r="F18" s="17">
        <f>ROUND(AVERAGE(F10:F17),2)</f>
        <v>25.51</v>
      </c>
      <c r="G18" s="22">
        <f>ROUND(AVERAGE(G10:G17),4)</f>
        <v>0.6021</v>
      </c>
      <c r="H18" s="23">
        <f>ROUND(AVERAGE(H10:H17),2)</f>
        <v>66.1</v>
      </c>
      <c r="I18" s="23">
        <f>ROUND(AVERAGE(I10:I17),2)</f>
        <v>32.65</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0" t="n"/>
      <c r="C19" s="40" t="n"/>
      <c r="D19" s="40" t="n"/>
      <c r="E19" s="40" t="n"/>
      <c r="F19" s="40" t="n"/>
      <c r="G19" s="40" t="n"/>
      <c r="H19" s="41" t="n"/>
    </row>
    <row r="20"/>
    <row r="21" ht="84" customHeight="1">
      <c r="A21" s="9" t="inlineStr">
        <is>
          <t>LECTURA INTRAMICROCUENCA. El bloque M28B2 ocupa el puesto 2 de 8 por superficie dentro de la microcuenca C1086-Q9575 (18.62 % de las 484.30 ha preliminares de la microcuenca). Su pendiente promedio (20.65 %, clase «15-25% (Fuert. inclinado)») es la 2.ª más baja de 8 y se sitúa por debajo del promedio de la microcuenca (25.51 %). Su MSAVI 2024 (0.4753) es el 7.º de 8 y queda por debajo del promedio local (0.6021). Amplitud altitudinal del bloque: 357 m (754–1111 msnm). El cuadro conserva todos los bloques catalogados en la microcuenca, incluidos los descartados en el tamizaje, para referencia del conjunto. Los bloques sin ficha DT figuran con sus parámetros de gabinete. BRECHA ESPECTRAL. El 62.19 % de la superficie del bloque (56.096 ha de 90.197 ha) se sitúa bajo el umbral MSAVI 0.4976, por encima del promedio local de la microcuenca (32.64 %) calculado sobre los bloques con dato MSAVI disponible.</t>
        </is>
      </c>
      <c r="B21" s="40" t="n"/>
      <c r="C21" s="40" t="n"/>
      <c r="D21" s="40" t="n"/>
      <c r="E21" s="40" t="n"/>
      <c r="F21" s="40" t="n"/>
      <c r="G21" s="40" t="n"/>
      <c r="H21" s="41" t="n"/>
    </row>
    <row r="22"/>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0" t="n"/>
      <c r="C23" s="40" t="n"/>
      <c r="D23" s="40" t="n"/>
      <c r="E23" s="40" t="n"/>
      <c r="F23" s="40" t="n"/>
      <c r="G23" s="40" t="n"/>
      <c r="H23" s="41" t="n"/>
    </row>
  </sheetData>
  <mergeCells count="10">
    <mergeCell ref="A1:I1"/>
    <mergeCell ref="A4:I4"/>
    <mergeCell ref="A3:I3"/>
    <mergeCell ref="A21:I21"/>
    <mergeCell ref="A2:I2"/>
    <mergeCell ref="A19:I19"/>
    <mergeCell ref="A5:I5"/>
    <mergeCell ref="A23:I23"/>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M28B2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«C1086-Q9575»</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9426131 N) dista 9,338 m del centroide de catálogo (636249 E / 9425665 N), distancia incompatible con la superficie del bloque (90.2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(90.228 ha) coincide con la de catálogo (90.2 ha) dentro del ±2 % (+0.03 %)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20.65 %,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Rango altitudinal / piso ecológico</t>
        </is>
      </c>
      <c r="C14" s="33" t="inlineStr">
        <is>
          <t>La ficha DT declara «1000-1500 m (Quechua baja)»; el MDE sitúa el bloque entre 754 y 1111 msnm, cuyo punto medio corresponde a «&lt;1000 m (Yunga)»</t>
        </is>
      </c>
      <c r="D14" s="15" t="inlineStr">
        <is>
          <t>NO SUSTANTIVA</t>
        </is>
      </c>
      <c r="E14" s="33" t="inlineStr">
        <is>
          <t>Se declara la divergencia. El bloque abarca más de un piso altitudinal cuando la amplitud supera el ancho de la clase; el registro de campo corresponde al sector recorrido.</t>
        </is>
      </c>
    </row>
    <row r="15" ht="48" customHeight="1">
      <c r="A15" s="35" t="inlineStr">
        <is>
          <t>D-06</t>
        </is>
      </c>
      <c r="B15" s="35" t="inlineStr">
        <is>
          <t>Elenco florístico</t>
        </is>
      </c>
      <c r="C15" s="35" t="inlineStr">
        <is>
          <t>La ficha registra 4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«Flor de Agua»; el cruce INEI-Bloques V5 identifica 2 centro(s) poblado(s) en el bloque: FLOR DE AGUA, VICTOR RAUL (EL CHECO)</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F-DT-01</t>
        </is>
      </c>
      <c r="C19" s="35" t="inlineStr">
        <is>
          <t>Las coordenadas declaradas (645 575 E / 9 426 131 N) corresponden al valor por defecto de ESTE de la plantilla y distan ~9.3 km del centroide del bloque en el catálogo (636 249 E / 9 425 660 N)</t>
        </is>
      </c>
      <c r="D19" s="36" t="inlineStr">
        <is>
          <t>SUSTANTIVA</t>
        </is>
      </c>
      <c r="E19" s="35" t="inlineStr">
        <is>
          <t>Se conserva la declaración de la ficha y se anota el centroide del catálogo; requiere ratificación del punto de muestreo</t>
        </is>
      </c>
    </row>
    <row r="20" ht="48" customHeight="1">
      <c r="A20" s="33" t="inlineStr">
        <is>
          <t>D-11</t>
        </is>
      </c>
      <c r="B20" s="33" t="inlineStr">
        <is>
          <t>F-DT-03</t>
        </is>
      </c>
      <c r="C20" s="33" t="inlineStr">
        <is>
          <t>Altura máxima declarada 8 m frente a Ceiba pentandra registrada con 12 m en la tabla florística</t>
        </is>
      </c>
      <c r="D20" s="36" t="inlineStr">
        <is>
          <t>SUSTANTIVA</t>
        </is>
      </c>
      <c r="E20" s="33" t="inlineStr">
        <is>
          <t>Se conservan ambos registros sin promediar; corresponde re-medición</t>
        </is>
      </c>
    </row>
    <row r="21" ht="48" customHeight="1">
      <c r="A21" s="35" t="inlineStr">
        <is>
          <t>D-12</t>
        </is>
      </c>
      <c r="B21" s="35" t="inlineStr">
        <is>
          <t>F-DT-03</t>
        </is>
      </c>
      <c r="C21" s="35" t="inlineStr">
        <is>
          <t>Sólo 4 taxones registrados frente a los 15 espacios del formato; sin parcela de muestreo ni dimensiones</t>
        </is>
      </c>
      <c r="D21" s="15" t="inlineStr">
        <is>
          <t>NO SUSTANTIVA</t>
        </is>
      </c>
      <c r="E21" s="35" t="inlineStr">
        <is>
          <t>Se declara como registro incompleto</t>
        </is>
      </c>
    </row>
    <row r="22" ht="48" customHeight="1">
      <c r="A22" s="33" t="inlineStr">
        <is>
          <t>D-13</t>
        </is>
      </c>
      <c r="B22" s="33" t="inlineStr">
        <is>
          <t>F-DT-03 / F-DT-04</t>
        </is>
      </c>
      <c r="C22" s="33" t="inlineStr">
        <is>
          <t>Suelo desnudo 20% en F-DT-03 frente a 15% en el indicador 2 del F-DT-04</t>
        </is>
      </c>
      <c r="D22" s="15" t="inlineStr">
        <is>
          <t>NO SUSTANTIVA</t>
        </is>
      </c>
      <c r="E22" s="33" t="inlineStr">
        <is>
          <t>Se conservan ambos valores con indicación de su sección de origen</t>
        </is>
      </c>
    </row>
    <row r="23" ht="48" customHeight="1">
      <c r="A23" s="35" t="inlineStr">
        <is>
          <t>D-14</t>
        </is>
      </c>
      <c r="B23" s="35" t="inlineStr">
        <is>
          <t>F-DT-04</t>
        </is>
      </c>
      <c r="C23" s="35" t="inlineStr">
        <is>
          <t>La causa 7 (cambio de uso a agricultura) tiene intensidad, extensión, antigüedad y evidencia consignadas pero la casilla de presencia quedó sin marcar</t>
        </is>
      </c>
      <c r="D23" s="15" t="inlineStr">
        <is>
          <t>NO SUSTANTIVA</t>
        </is>
      </c>
      <c r="E23" s="35" t="inlineStr">
        <is>
          <t>Se interpreta como presente por la evidencia consignada, declarando la omisión formal</t>
        </is>
      </c>
    </row>
    <row r="24" ht="48" customHeight="1">
      <c r="A24" s="33" t="inlineStr">
        <is>
          <t>D-15</t>
        </is>
      </c>
      <c r="B24" s="33" t="inlineStr">
        <is>
          <t>F-DT-04</t>
        </is>
      </c>
      <c r="C24" s="33" t="inlineStr">
        <is>
          <t>Indicadores 3, 4, 6 y 7 sin valor consignado</t>
        </is>
      </c>
      <c r="D24" s="15" t="inlineStr">
        <is>
          <t>NO SUSTANTIVA</t>
        </is>
      </c>
      <c r="E24" s="33" t="inlineStr">
        <is>
          <t>Sin registro en ficha; POR DETERMINAR</t>
        </is>
      </c>
    </row>
    <row r="25" ht="48" customHeight="1">
      <c r="A25" s="35" t="inlineStr">
        <is>
          <t>D-16</t>
        </is>
      </c>
      <c r="B25" s="35" t="inlineStr">
        <is>
          <t>F-DT-05</t>
        </is>
      </c>
      <c r="C25" s="35" t="inlineStr">
        <is>
          <t>Inventario de fuentes de agua vacío; no se consignó distancia a captación ni JASS</t>
        </is>
      </c>
      <c r="D25" s="15" t="inlineStr">
        <is>
          <t>NO SUSTANTIVA</t>
        </is>
      </c>
      <c r="E25" s="35" t="inlineStr">
        <is>
          <t>Evaluación en época seca; requiere verificación en época húmeda</t>
        </is>
      </c>
    </row>
    <row r="26" ht="48" customHeight="1">
      <c r="A26" s="35" t="inlineStr">
        <is>
          <t>D-17</t>
        </is>
      </c>
      <c r="B26" s="35" t="inlineStr">
        <is>
          <t>Distribución areal MSAVI 2024</t>
        </is>
      </c>
      <c r="C26" s="35" t="inlineStr">
        <is>
          <t>La distribución por clase de MSAVI no figuraba en los insumos del entregable y se consignaba «Por determinar»; se incorpora la estadística zonal del ráster MSAVI clasificado (486 polígonos, 90.197 ha)</t>
        </is>
      </c>
      <c r="D26" s="15" t="inlineStr">
        <is>
          <t>CORREGIDO</t>
        </is>
      </c>
      <c r="E26"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5" t="inlineStr">
        <is>
          <t>D-18</t>
        </is>
      </c>
      <c r="B27" s="35" t="inlineStr">
        <is>
          <t>Superficie MSAVI vs. catálogo</t>
        </is>
      </c>
      <c r="C27" s="35" t="inlineStr">
        <is>
          <t>La superficie total clasificada por el MSAVI 2024 (90.197 ha) frente a la de catálogo V5/V6 (90.200 ha): desviación de +0.00 %</t>
        </is>
      </c>
      <c r="D27" s="15" t="inlineStr">
        <is>
          <t>CONFORME</t>
        </is>
      </c>
      <c r="E27" s="35" t="inlineStr">
        <is>
          <t>Sin acción: la segmentación del ráster valida la geometría del bloque dentro del ±2 %.</t>
        </is>
      </c>
    </row>
    <row r="28" ht="48" customHeight="1">
      <c r="A28" s="35" t="inlineStr">
        <is>
          <t>D-19</t>
        </is>
      </c>
      <c r="B28" s="35" t="inlineStr">
        <is>
          <t>Media MSAVI vs. clase DN dominante</t>
        </is>
      </c>
      <c r="C28" s="35" t="inlineStr">
        <is>
          <t>La media del bloque (0.4753) cae en la clase «DN 3 · 0.3813 - 0.4976 (Vigor bajo)»; la clase de mayor superficie es «DN 3 · 0.3813 - 0.4976 (Vigor bajo)», con 51.97 % del bloque. Superficie bajo el umbral 0.4976: 56.096 ha (62.19 %)</t>
        </is>
      </c>
      <c r="D28" s="15" t="inlineStr">
        <is>
          <t>CONFORME</t>
        </is>
      </c>
      <c r="E28" s="35" t="inlineStr">
        <is>
          <t>Sin acción: la media del bloque y la clase de mayor superficie coinciden.</t>
        </is>
      </c>
    </row>
    <row r="29"/>
    <row r="30">
      <c r="A30" s="16" t="inlineStr">
        <is>
          <t>RESUMEN</t>
        </is>
      </c>
      <c r="B30" s="17" t="inlineStr">
        <is>
          <t>19 verificaciones</t>
        </is>
      </c>
      <c r="C30" s="17" t="inlineStr">
        <is>
          <t>CONFORME: 5 · CORREGIDO: 1 · NO SUSTANTIVA: 7 · SUSTANTIVA: 6</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0" t="n"/>
      <c r="C32" s="40" t="n"/>
      <c r="D32" s="40" t="n"/>
      <c r="E32" s="41"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M28B2 — IN Piura</dc:title>
  <dc:subject>Diagnóstico Territorial por bloque de intervención</dc:subject>
  <dcterms:created xsi:type="dcterms:W3CDTF">2026-09-08T03:39:58Z</dcterms:created>
  <dcterms:modified xsi:type="dcterms:W3CDTF">2026-09-10T00:28:31Z</dcterms:modified>
</cp:coreProperties>
</file>