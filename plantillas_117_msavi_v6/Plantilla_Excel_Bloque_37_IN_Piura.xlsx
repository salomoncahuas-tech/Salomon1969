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37</t>
        </is>
      </c>
      <c r="C9" s="6" t="inlineStr">
        <is>
          <t>Microcuenca (catálogo)</t>
        </is>
      </c>
      <c r="D9" s="7" t="inlineStr">
        <is>
          <t>C1081-Q9591</t>
        </is>
      </c>
      <c r="E9" s="8" t="n"/>
      <c r="F9" s="8" t="n"/>
    </row>
    <row r="10">
      <c r="A10" s="6" t="inlineStr">
        <is>
          <t>Zona de planificación</t>
        </is>
      </c>
      <c r="B10" s="7" t="inlineStr">
        <is>
          <t>Z10</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El Papayo</t>
        </is>
      </c>
      <c r="C13" s="6" t="inlineStr">
        <is>
          <t>Comunidad campesina</t>
        </is>
      </c>
      <c r="D13" s="7" t="inlineStr">
        <is>
          <t>Por verificar</t>
        </is>
      </c>
      <c r="E13" s="8" t="n"/>
      <c r="F13" s="8" t="n"/>
    </row>
    <row r="14">
      <c r="A14" s="6" t="inlineStr">
        <is>
          <t>Superficie de catálogo (V5/V6), ha</t>
        </is>
      </c>
      <c r="B14" s="7" t="n">
        <v>35.49</v>
      </c>
      <c r="C14" s="6" t="inlineStr">
        <is>
          <t>Fuente de superficie</t>
        </is>
      </c>
      <c r="D14" s="7" t="inlineStr">
        <is>
          <t>Catálogo maestro Bloques V5/V6</t>
        </is>
      </c>
      <c r="E14" s="8" t="n"/>
      <c r="F14" s="8" t="n"/>
    </row>
    <row r="15">
      <c r="A15" s="6" t="inlineStr">
        <is>
          <t>Centroide UTM ESTE (m)</t>
        </is>
      </c>
      <c r="B15" s="7" t="n">
        <v>649081</v>
      </c>
      <c r="C15" s="6" t="inlineStr">
        <is>
          <t>Centroide UTM NORTE (m)</t>
        </is>
      </c>
      <c r="D15" s="7" t="n">
        <v>9424506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1184</v>
      </c>
      <c r="C19" s="6" t="inlineStr">
        <is>
          <t>Altitud máxima (msnm)</t>
        </is>
      </c>
      <c r="D19" s="7" t="n">
        <v>1455</v>
      </c>
      <c r="E19" s="8" t="n"/>
      <c r="F19" s="8" t="n"/>
    </row>
    <row r="20">
      <c r="A20" s="6" t="inlineStr">
        <is>
          <t>Amplitud altitudinal (m)</t>
        </is>
      </c>
      <c r="B20" s="7" t="n">
        <v>271</v>
      </c>
      <c r="C20" s="6" t="inlineStr">
        <is>
          <t>Piso altitudinal dominante</t>
        </is>
      </c>
      <c r="D20" s="7" t="inlineStr">
        <is>
          <t>1000-1500 m (Quechua baja)</t>
        </is>
      </c>
      <c r="E20" s="8" t="n"/>
      <c r="F20" s="8" t="n"/>
    </row>
    <row r="21">
      <c r="A21" s="6" t="inlineStr">
        <is>
          <t>Pendiente promedio (%)</t>
        </is>
      </c>
      <c r="B21" s="7" t="n">
        <v>23.59</v>
      </c>
      <c r="C21" s="6" t="inlineStr">
        <is>
          <t>Pendiente promedio (grados)</t>
        </is>
      </c>
      <c r="D21" s="7" t="n">
        <v>13.3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Por verificar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0.6588000000000001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(98.02 %)</t>
        </is>
      </c>
      <c r="E29" s="8" t="n"/>
      <c r="F29" s="8" t="n"/>
    </row>
    <row r="30">
      <c r="A30" s="6" t="inlineStr">
        <is>
          <t>Superficie clasificada NDVI 2025 (ha)</t>
        </is>
      </c>
      <c r="B30" s="7" t="n">
        <v>35.5</v>
      </c>
      <c r="C30" s="6" t="inlineStr">
        <is>
          <t>Desviación frente al catálogo (%)</t>
        </is>
      </c>
      <c r="D30" s="7" t="n">
        <v>0.03</v>
      </c>
      <c r="E30" s="8" t="n"/>
      <c r="F30" s="8" t="n"/>
    </row>
    <row r="31">
      <c r="A31" s="6" t="inlineStr">
        <is>
          <t>Superficie clasificada MSAVI 2024 (ha)</t>
        </is>
      </c>
      <c r="B31" s="38" t="n">
        <v>35.491</v>
      </c>
      <c r="C31" s="6" t="inlineStr">
        <is>
          <t>Desviación MSAVI frente al catálogo (%)</t>
        </is>
      </c>
      <c r="D31" s="39" t="n">
        <v>0</v>
      </c>
      <c r="E31" s="8" t="n"/>
      <c r="F31" s="8" t="n"/>
    </row>
    <row r="32">
      <c r="A32" s="6" t="inlineStr">
        <is>
          <t>Superficie bajo umbral MSAVI 0.4976 (ha)</t>
        </is>
      </c>
      <c r="B32" s="38" t="n">
        <v>0.68</v>
      </c>
      <c r="C32" s="6" t="inlineStr">
        <is>
          <t>% del bloque bajo umbral (brecha espectral)</t>
        </is>
      </c>
      <c r="D32" s="39" t="n">
        <v>1.92</v>
      </c>
      <c r="E32" s="8" t="n"/>
      <c r="F32" s="8" t="n"/>
    </row>
    <row r="33">
      <c r="A33" s="6" t="inlineStr">
        <is>
          <t>Clase DN dominante (MSAVI 2024)</t>
        </is>
      </c>
      <c r="B33" s="7" t="inlineStr">
        <is>
          <t>DN 5 · &gt; 0.6139 (Vigor alto)</t>
        </is>
      </c>
      <c r="C33" s="6" t="inlineStr">
        <is>
          <t>N.° de polígonos MSAVI del bloque</t>
        </is>
      </c>
      <c r="D33" s="40" t="n">
        <v>83</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Matorral andino 21.29 ha (60%) + Zona agrícola 14.20 ha (40%); total 35.49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80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2026-07-16</t>
        </is>
      </c>
      <c r="E44" s="8" t="n"/>
      <c r="F44" s="8" t="n"/>
    </row>
    <row r="45">
      <c r="A45" s="6" t="inlineStr">
        <is>
          <t>Hora de registro</t>
        </is>
      </c>
      <c r="B45" s="7" t="inlineStr">
        <is>
          <t>13:35 - 15:21 h</t>
        </is>
      </c>
      <c r="C45" s="6" t="inlineStr">
        <is>
          <t>Correlativo de ficha</t>
        </is>
      </c>
      <c r="D45" s="7"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antrópica sostenida sobre laderas de fuerte pendiente, sin prácticas de conservación de suelos, asociada al caserío y a la trocha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26.7643</v>
      </c>
      <c r="C10" s="31">
        <f>ROUND(B10/$B$15*100,2)</f>
        <v>75.41</v>
      </c>
      <c r="D10" s="12" t="inlineStr">
        <is>
          <t>Vigor alto</t>
        </is>
      </c>
      <c r="E10" s="12" t="inlineStr">
        <is>
          <t>Sobre umbral</t>
        </is>
      </c>
    </row>
    <row r="11">
      <c r="A11" s="13" t="inlineStr">
        <is>
          <t>0.4976 - 0.6139 · DN 4</t>
        </is>
      </c>
      <c r="B11" s="20" t="n">
        <v>8.0466</v>
      </c>
      <c r="C11" s="21">
        <f>ROUND(B11/$B$15*100,2)</f>
        <v>22.67</v>
      </c>
      <c r="D11" s="14" t="inlineStr">
        <is>
          <t>Vigor moderado</t>
        </is>
      </c>
      <c r="E11" s="14" t="inlineStr">
        <is>
          <t>Sobre umbral</t>
        </is>
      </c>
    </row>
    <row r="12">
      <c r="A12" s="7" t="inlineStr">
        <is>
          <t>0.3813 - 0.4976 · DN 3</t>
        </is>
      </c>
      <c r="B12" s="18" t="n">
        <v>0.6802</v>
      </c>
      <c r="C12" s="19">
        <f>ROUND(B12/$B$15*100,2)</f>
        <v>1.92</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35.4911</v>
      </c>
      <c r="C15" s="45">
        <f>SUM(C10:C14)</f>
        <v>100.0</v>
      </c>
      <c r="D15" s="43" t="inlineStr">
        <is>
          <t>Suma de la distribución areal · 83 polígonos</t>
        </is>
      </c>
      <c r="E15" s="43" t="inlineStr">
        <is>
          <t>—</t>
        </is>
      </c>
    </row>
    <row r="16" ht="30" customHeight="1">
      <c r="A16" s="46" t="inlineStr">
        <is>
          <t>Superficie SOBRE umbral 0.4976 (ha)</t>
        </is>
      </c>
      <c r="B16" s="47">
        <f>SUM(B10:B11)</f>
        <v>34.8109</v>
      </c>
      <c r="C16" s="48">
        <f>ROUND(B16/B15*100,2)</f>
        <v>98.08</v>
      </c>
      <c r="D16" s="46" t="inlineStr">
        <is>
          <t>Vigor alto y moderado (DN 4 y DN 5)</t>
        </is>
      </c>
      <c r="E16" s="46" t="inlineStr">
        <is>
          <t>Sobre umbral 0.4976</t>
        </is>
      </c>
    </row>
    <row r="17" ht="30" customHeight="1">
      <c r="A17" s="46" t="inlineStr">
        <is>
          <t>Superficie BAJO umbral 0.4976 (ha) — brecha</t>
        </is>
      </c>
      <c r="B17" s="47">
        <f>SUM(B12:B14)</f>
        <v>0.6802</v>
      </c>
      <c r="C17" s="48">
        <f>ROUND(B17/B15*100,2)</f>
        <v>1.92</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35.49</v>
      </c>
      <c r="C18" s="49" t="inlineStr">
        <is>
          <t>—</t>
        </is>
      </c>
      <c r="D18" s="46" t="inlineStr">
        <is>
          <t>Desviación planimétrica frente al catálogo</t>
        </is>
      </c>
      <c r="E18" s="46" t="inlineStr">
        <is>
          <t>+0.00 %</t>
        </is>
      </c>
    </row>
    <row r="19">
      <c r="A19" s="16" t="inlineStr">
        <is>
          <t>MSAVI 2024 — MEDIA DEL BLOQUE</t>
        </is>
      </c>
      <c r="B19" s="17" t="n">
        <v>0.658846</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(0.6588)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34.798</v>
      </c>
      <c r="C25" s="19" t="n">
        <v>98.02</v>
      </c>
      <c r="D25" s="15" t="inlineStr">
        <is>
          <t>Dosel continuo, matorral denso o mosaico agroforestal</t>
        </is>
      </c>
      <c r="E25" s="15" t="inlineStr"/>
    </row>
    <row r="26">
      <c r="A26" s="13" t="inlineStr">
        <is>
          <t>Vegetación mediana</t>
        </is>
      </c>
      <c r="B26" s="20" t="n">
        <v>0.7019</v>
      </c>
      <c r="C26" s="21" t="n">
        <v>1.98</v>
      </c>
      <c r="D26" s="14" t="inlineStr">
        <is>
          <t>Pastizal cultivado, matorral ralo, parcelas agrícolas</t>
        </is>
      </c>
      <c r="E26" s="14" t="inlineStr"/>
    </row>
    <row r="27">
      <c r="A27" s="16" t="inlineStr">
        <is>
          <t>TOTAL CLASIFICADO</t>
        </is>
      </c>
      <c r="B27" s="22">
        <f>SUM(B25:B26)</f>
        <v>35.4999</v>
      </c>
      <c r="C27" s="23">
        <f>SUM(C25:C26)</f>
        <v>100.0</v>
      </c>
      <c r="D27" s="17" t="inlineStr"/>
      <c r="E27" s="17" t="inlineStr"/>
    </row>
    <row r="28">
      <c r="A28" s="24" t="inlineStr">
        <is>
          <t>Superficie de catálogo (V5/V6)</t>
        </is>
      </c>
      <c r="B28" s="25" t="n">
        <v>35.49</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98.02 % del polígono clasificado como «Vegetación alta» por el NDVI 2025; la observación de campo corresponde a una parcela o recorrido puntual y no es estadísticamente representativa de las 35.490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37</t>
        </is>
      </c>
    </row>
    <row r="6" ht="24" customHeight="1">
      <c r="A6" s="4" t="inlineStr">
        <is>
          <t>Levantamiento del 2026-07-16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31203.6</v>
      </c>
      <c r="F10" s="15" t="inlineStr"/>
      <c r="G10" s="15" t="inlineStr">
        <is>
          <t>Coordenada consignada en F-DT-01</t>
        </is>
      </c>
    </row>
    <row r="11">
      <c r="A11" s="13" t="inlineStr">
        <is>
          <t>E-01</t>
        </is>
      </c>
      <c r="B11" s="14" t="inlineStr">
        <is>
          <t>Rasgo erosivo — Por determinar</t>
        </is>
      </c>
      <c r="C11" s="27" t="n">
        <v>649395</v>
      </c>
      <c r="D11" s="27" t="n">
        <v>9424549</v>
      </c>
      <c r="E11" s="14" t="n">
        <v>316.9</v>
      </c>
      <c r="F11" s="14" t="inlineStr">
        <is>
          <t>Activa</t>
        </is>
      </c>
      <c r="G11" s="14" t="inlineStr">
        <is>
          <t>Concentración natural de escorrentía</t>
        </is>
      </c>
    </row>
    <row r="12">
      <c r="A12" s="7" t="inlineStr">
        <is>
          <t>E-02</t>
        </is>
      </c>
      <c r="B12" s="15" t="inlineStr">
        <is>
          <t>Rasgo erosivo — Por determinar</t>
        </is>
      </c>
      <c r="C12" s="26" t="n">
        <v>649354</v>
      </c>
      <c r="D12" s="26" t="n">
        <v>9424357</v>
      </c>
      <c r="E12" s="15" t="n">
        <v>311</v>
      </c>
      <c r="F12" s="15" t="inlineStr">
        <is>
          <t>Activa</t>
        </is>
      </c>
      <c r="G12" s="15" t="inlineStr">
        <is>
          <t>Caminos / huellas de ganado</t>
        </is>
      </c>
    </row>
    <row r="13">
      <c r="A13" s="13" t="inlineStr">
        <is>
          <t>H-01</t>
        </is>
      </c>
      <c r="B13" s="14" t="inlineStr">
        <is>
          <t>Fuente de agua — Quebrada permanente</t>
        </is>
      </c>
      <c r="C13" s="27" t="n">
        <v>649413</v>
      </c>
      <c r="D13" s="27" t="n">
        <v>9424887</v>
      </c>
      <c r="E13" s="14" t="n">
        <v>505.4</v>
      </c>
      <c r="F13" s="14" t="inlineStr">
        <is>
          <t>Permanente</t>
        </is>
      </c>
      <c r="G13" s="14" t="inlineStr">
        <is>
          <t>Quebrada tributaria</t>
        </is>
      </c>
    </row>
    <row r="14">
      <c r="A14" s="7" t="inlineStr">
        <is>
          <t>B-03</t>
        </is>
      </c>
      <c r="B14" s="15" t="inlineStr">
        <is>
          <t>Especie clave — Piper sp. (Matico)</t>
        </is>
      </c>
      <c r="C14" s="26" t="n">
        <v>649453</v>
      </c>
      <c r="D14" s="26" t="n">
        <v>9424486</v>
      </c>
      <c r="E14" s="15" t="n">
        <v>372.5</v>
      </c>
      <c r="F14" s="15" t="inlineStr">
        <is>
          <t>Clave cultural</t>
        </is>
      </c>
      <c r="G14" s="15" t="inlineStr">
        <is>
          <t>NE</t>
        </is>
      </c>
    </row>
    <row r="15">
      <c r="A15" s="16" t="inlineStr">
        <is>
          <t>TOTAL: 5 puntos</t>
        </is>
      </c>
      <c r="B15" s="17" t="inlineStr"/>
      <c r="C15" s="17" t="inlineStr"/>
      <c r="D15" s="17" t="inlineStr"/>
      <c r="E15" s="17" t="inlineStr"/>
      <c r="F15" s="17" t="inlineStr"/>
      <c r="G15" s="17" t="inlineStr"/>
    </row>
    <row r="16"/>
    <row r="17">
      <c r="A17" s="6" t="inlineStr">
        <is>
          <t>Centroide del bloque — UTM ESTE (m)</t>
        </is>
      </c>
      <c r="B17" s="7" t="n">
        <v>649081</v>
      </c>
      <c r="C17" s="6" t="inlineStr">
        <is>
          <t>Centroide del bloque — UTM NORTE (m)</t>
        </is>
      </c>
      <c r="D17" s="7" t="n">
        <v>9424506</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19"/>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reconocimiento (16/07/2026). Las coordenadas del punto consignado corresponden a un punto representativo del recorrido; el bloque se caracterizó por transecto con múltiples waypoints. Centroide del bloque: 649081 E · 9424506 N. Altitud GPS no registrada en los rótulos; el perfil Google Earth indica un rango ≈1191-1431 msnm. Exposición dominante, reptación y deslizamientos antiguos: por verificar.</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37</t>
        </is>
      </c>
    </row>
    <row r="6" ht="24" customHeight="1">
      <c r="A6" s="4" t="inlineStr">
        <is>
          <t>Distrito de Lalaquiz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1" t="inlineStr">
        <is>
          <t>► 37</t>
        </is>
      </c>
      <c r="B17" s="30" t="n">
        <v>35.49</v>
      </c>
      <c r="C17" s="31" t="n">
        <v>6.43</v>
      </c>
      <c r="D17" s="12" t="inlineStr">
        <is>
          <t>1184 – 1455</t>
        </is>
      </c>
      <c r="E17" s="12" t="n">
        <v>271</v>
      </c>
      <c r="F17" s="12" t="n">
        <v>23.59</v>
      </c>
      <c r="G17" s="32" t="n">
        <v>0.6588000000000001</v>
      </c>
      <c r="H17" s="31" t="n">
        <v>98.02</v>
      </c>
      <c r="I17" s="3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552.18</v>
      </c>
      <c r="C20" s="23">
        <f>SUM(C10:C19)</f>
        <v>99.98</v>
      </c>
      <c r="D20" s="17" t="inlineStr">
        <is>
          <t>1171 – 2651</t>
        </is>
      </c>
      <c r="E20" s="17" t="inlineStr"/>
      <c r="F20" s="17">
        <f>ROUND(AVERAGE(F10:F19),2)</f>
        <v>29.09</v>
      </c>
      <c r="G20" s="22">
        <f>ROUND(AVERAGE(G10:G19),4)</f>
        <v>0.6292</v>
      </c>
      <c r="H20" s="23">
        <f>ROUND(AVERAGE(H10:H19),2)</f>
        <v>93.19</v>
      </c>
      <c r="I20" s="23">
        <f>ROUND(AVERAGE(I10:I19),2)</f>
        <v>9.85</v>
      </c>
    </row>
    <row r="21"/>
    <row r="22" ht="84" customHeight="1">
      <c r="A22" s="9" t="inlineStr">
        <is>
          <t>LECTURA INTRAMICROCUENCA. El bloque 37 ocupa el puesto 8 de 10 por superficie dentro de la microcuenca C1081-Q9591 (6.43 % de las 552.18 ha preliminares de la microcuenca). Su pendiente promedio (23.59 %, clase «15-25% (Fuert. inclinado)») es la 2.ª más baja de 10 y se sitúa por debajo del promedio de la microcuenca (29.09 %). Su MSAVI 2024 (0.6588) es el 4.º de 10 y queda por encima del promedio local (0.6292). Amplitud altitudinal del bloque: 271 m (1184–1455 msnm). El cuadro conserva todos los bloques catalogados en la microcuenca, incluidos los descartados en el tamizaje, para referencia del conjunto. Los bloques sin ficha DT figuran con sus parámetros de gabinete. BRECHA ESPECTRAL. El 1.92 % de la superficie del bloque (0.680 ha de 35.491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31,204 m del centroide de catálogo (649081 E / 9424506 N), distancia incompatible con la superficie del bloque (35.49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(35.500 ha) coincide con la de catálogo (35.49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23.59 %, que corresponde a la clase «15-25% (Fuert. inclinado)»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80 % de cobertura vegetal en campo; el NDVI mediana 2025 clasifica 100.00 % del polígono en clases de vegetación</t>
        </is>
      </c>
      <c r="D14" s="12"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Altitud GPS del punto de muestreo</t>
        </is>
      </c>
      <c r="C15" s="36" t="inlineStr">
        <is>
          <t>La aplicación de captura no registró altitud GPS en campo</t>
        </is>
      </c>
      <c r="D15" s="12" t="inlineStr">
        <is>
          <t>NO SUSTANTIVA</t>
        </is>
      </c>
      <c r="E15" s="36" t="inlineStr">
        <is>
          <t>El rango altitudinal del bloque (1184–1455 msnm) y la pendiente promedio (23.59 %) se toman de la estadística zonal sobre el MDE, no de medición de campo. Se declara la fuente.</t>
        </is>
      </c>
    </row>
    <row r="16" ht="48" customHeight="1">
      <c r="A16" s="34" t="inlineStr">
        <is>
          <t>D-07</t>
        </is>
      </c>
      <c r="B16" s="34" t="inlineStr">
        <is>
          <t>Dimensiones del inventario de cárcavas</t>
        </is>
      </c>
      <c r="C16" s="34" t="inlineStr">
        <is>
          <t>Se registran 2 rasgos erosivos, pero longitud, profundidad y ancho no fueron medidos instrumentalmente</t>
        </is>
      </c>
      <c r="D16" s="12" t="inlineStr">
        <is>
          <t>NO SUSTANTIVA</t>
        </is>
      </c>
      <c r="E16" s="34" t="inlineStr">
        <is>
          <t>El conteo registrado no debe usarse para calcular densidad de cárcavas por hectárea. Pendiente de levantamiento con GPS submétrico.</t>
        </is>
      </c>
    </row>
    <row r="17" ht="48" customHeight="1">
      <c r="A17" s="36" t="inlineStr">
        <is>
          <t>D-08</t>
        </is>
      </c>
      <c r="B17" s="36" t="inlineStr">
        <is>
          <t>Elenco florístico</t>
        </is>
      </c>
      <c r="C17" s="36" t="inlineStr">
        <is>
          <t>La ficha registra 13 taxones, por debajo del mínimo de 15 que exige el formato V5</t>
        </is>
      </c>
      <c r="D17" s="37" t="inlineStr">
        <is>
          <t>SUSTANTIVA</t>
        </is>
      </c>
      <c r="E17" s="36" t="inlineStr">
        <is>
          <t>Registro florístico preliminar, sin colecta ni determinación botánica formal. Debe cerrarse con colecta botánica en la siguiente campaña.</t>
        </is>
      </c>
    </row>
    <row r="18" ht="48" customHeight="1">
      <c r="A18" s="34" t="inlineStr">
        <is>
          <t>D-09</t>
        </is>
      </c>
      <c r="B18" s="34" t="inlineStr">
        <is>
          <t>Centro poblado asociado</t>
        </is>
      </c>
      <c r="C18" s="34" t="inlineStr">
        <is>
          <t>La ficha DT declara «El Papayo»; el cruce INEI-Bloques V5 identifica 1 centro(s) poblado(s) en el bloque: EL PAPAYO</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ht="48" customHeight="1">
      <c r="A20" s="36" t="inlineStr">
        <is>
          <t>D-11</t>
        </is>
      </c>
      <c r="B20" s="36" t="inlineStr">
        <is>
          <t>Distribución areal MSAVI 2024</t>
        </is>
      </c>
      <c r="C20" s="36" t="inlineStr">
        <is>
          <t>La distribución por clase de MSAVI no figuraba en los insumos del entregable y se consignaba «Por determinar»; se incorpora la estadística zonal del ráster MSAVI clasificado (83 polígonos, 35.491 ha)</t>
        </is>
      </c>
      <c r="D20" s="37" t="inlineStr">
        <is>
          <t>CORREGIDO</t>
        </is>
      </c>
      <c r="E20"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1" ht="48" customHeight="1">
      <c r="A21" s="36" t="inlineStr">
        <is>
          <t>D-12</t>
        </is>
      </c>
      <c r="B21" s="36" t="inlineStr">
        <is>
          <t>Superficie MSAVI vs. catálogo</t>
        </is>
      </c>
      <c r="C21" s="36" t="inlineStr">
        <is>
          <t>La superficie total clasificada por el MSAVI 2024 (35.491 ha) frente a la de catálogo V5/V6 (35.490 ha): desviación de +0.00 %</t>
        </is>
      </c>
      <c r="D21" s="37" t="inlineStr">
        <is>
          <t>CONFORME</t>
        </is>
      </c>
      <c r="E21" s="36" t="inlineStr">
        <is>
          <t>Sin acción: la segmentación del ráster valida la geometría del bloque dentro del ±2 %.</t>
        </is>
      </c>
    </row>
    <row r="22" ht="48" customHeight="1">
      <c r="A22" s="36" t="inlineStr">
        <is>
          <t>D-13</t>
        </is>
      </c>
      <c r="B22" s="36" t="inlineStr">
        <is>
          <t>Media MSAVI vs. clase DN dominante</t>
        </is>
      </c>
      <c r="C22" s="36" t="inlineStr">
        <is>
          <t>La media del bloque (0.6588) cae en la clase «DN 5 · &gt; 0.6139 (Vigor alto)»; la clase de mayor superficie es «DN 5 · &gt; 0.6139 (Vigor alto)», con 75.41 % del bloque. Superficie bajo el umbral 0.4976: 0.680 ha (1.92 %)</t>
        </is>
      </c>
      <c r="D22" s="37" t="inlineStr">
        <is>
          <t>CONFORME</t>
        </is>
      </c>
      <c r="E22" s="36" t="inlineStr">
        <is>
          <t>Sin acción: la media del bloque y la clase de mayor superficie coinciden.</t>
        </is>
      </c>
    </row>
    <row r="23"/>
    <row r="24">
      <c r="A24" s="16" t="inlineStr">
        <is>
          <t>RESUMEN</t>
        </is>
      </c>
      <c r="B24" s="17" t="inlineStr">
        <is>
          <t>13 verificaciones</t>
        </is>
      </c>
      <c r="C24" s="17" t="inlineStr">
        <is>
          <t>CONFORME: 5 · CORREGIDO: 1 · NO SUSTANTIVA: 4 · SUSTANTIVA: 3</t>
        </is>
      </c>
      <c r="D24" s="17" t="inlineStr"/>
      <c r="E24" s="17" t="inlineStr"/>
    </row>
    <row r="25"/>
    <row r="26" ht="60" customHeight="1">
      <c r="A2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6" s="41" t="n"/>
      <c r="C26" s="41" t="n"/>
      <c r="D26" s="41" t="n"/>
      <c r="E26" s="42" t="n"/>
    </row>
  </sheetData>
  <mergeCells count="8">
    <mergeCell ref="A4:E4"/>
    <mergeCell ref="A26:E26"/>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37 — IN Piura</dc:title>
  <dc:subject>Diagnóstico Territorial por bloque de intervención</dc:subject>
  <dcterms:created xsi:type="dcterms:W3CDTF">2026-09-08T03:39:54Z</dcterms:created>
  <dcterms:modified xsi:type="dcterms:W3CDTF">2026-09-10T00:28:27Z</dcterms:modified>
</cp:coreProperties>
</file>