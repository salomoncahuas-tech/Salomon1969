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38</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Ullma (646 976 E · 9 428 519 N; 157 hab.) — a ≈0.93 km al N del centroide</t>
        </is>
      </c>
      <c r="C13" s="6" t="inlineStr">
        <is>
          <t>Comunidad campesina</t>
        </is>
      </c>
      <c r="D13" s="7" t="inlineStr">
        <is>
          <t>Por verificar</t>
        </is>
      </c>
      <c r="E13" s="8" t="n"/>
      <c r="F13" s="8" t="n"/>
    </row>
    <row r="14">
      <c r="A14" s="6" t="inlineStr">
        <is>
          <t>Superficie de catálogo (V5/V6), ha</t>
        </is>
      </c>
      <c r="B14" s="7" t="n">
        <v>44.2</v>
      </c>
      <c r="C14" s="6" t="inlineStr">
        <is>
          <t>Fuente de superficie</t>
        </is>
      </c>
      <c r="D14" s="7" t="inlineStr">
        <is>
          <t>Catálogo maestro Bloques V5/V6</t>
        </is>
      </c>
      <c r="E14" s="8" t="n"/>
      <c r="F14" s="8" t="n"/>
    </row>
    <row r="15">
      <c r="A15" s="6" t="inlineStr">
        <is>
          <t>Centroide UTM ESTE (m)</t>
        </is>
      </c>
      <c r="B15" s="7" t="n">
        <v>647123</v>
      </c>
      <c r="C15" s="6" t="inlineStr">
        <is>
          <t>Centroide UTM NORTE (m)</t>
        </is>
      </c>
      <c r="D15" s="7" t="n">
        <v>9427602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1302</v>
      </c>
      <c r="C19" s="6" t="inlineStr">
        <is>
          <t>Altitud máxima (msnm)</t>
        </is>
      </c>
      <c r="D19" s="7" t="n">
        <v>1533</v>
      </c>
      <c r="E19" s="8" t="n"/>
      <c r="F19" s="8" t="n"/>
    </row>
    <row r="20">
      <c r="A20" s="6" t="inlineStr">
        <is>
          <t>Amplitud altitudinal (m)</t>
        </is>
      </c>
      <c r="B20" s="7" t="n">
        <v>231</v>
      </c>
      <c r="C20" s="6" t="inlineStr">
        <is>
          <t>Piso altitudinal dominante</t>
        </is>
      </c>
      <c r="D20" s="7" t="inlineStr">
        <is>
          <t>1000-1500 m (Quechua baja)</t>
        </is>
      </c>
      <c r="E20" s="8" t="n"/>
      <c r="F20" s="8" t="n"/>
    </row>
    <row r="21">
      <c r="A21" s="6" t="inlineStr">
        <is>
          <t>Pendiente promedio (%)</t>
        </is>
      </c>
      <c r="B21" s="7" t="n">
        <v>24.25</v>
      </c>
      <c r="C21" s="6" t="inlineStr">
        <is>
          <t>Pendiente promedio (grados)</t>
        </is>
      </c>
      <c r="D21" s="7" t="n">
        <v>13.6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0.6725</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(99.30 %)</t>
        </is>
      </c>
      <c r="E29" s="8" t="n"/>
      <c r="F29" s="8" t="n"/>
    </row>
    <row r="30">
      <c r="A30" s="6" t="inlineStr">
        <is>
          <t>Superficie clasificada NDVI 2025 (ha)</t>
        </is>
      </c>
      <c r="B30" s="7" t="n">
        <v>44.212</v>
      </c>
      <c r="C30" s="6" t="inlineStr">
        <is>
          <t>Desviación frente al catálogo (%)</t>
        </is>
      </c>
      <c r="D30" s="7" t="n">
        <v>0.03</v>
      </c>
      <c r="E30" s="8" t="n"/>
      <c r="F30" s="8" t="n"/>
    </row>
    <row r="31">
      <c r="A31" s="6" t="inlineStr">
        <is>
          <t>Superficie clasificada MSAVI 2024 (ha)</t>
        </is>
      </c>
      <c r="B31" s="38" t="n">
        <v>44.201</v>
      </c>
      <c r="C31" s="6" t="inlineStr">
        <is>
          <t>Desviación MSAVI frente al catálogo (%)</t>
        </is>
      </c>
      <c r="D31" s="39" t="n">
        <v>0</v>
      </c>
      <c r="E31" s="8" t="n"/>
      <c r="F31" s="8" t="n"/>
    </row>
    <row r="32">
      <c r="A32" s="6" t="inlineStr">
        <is>
          <t>Superficie bajo umbral MSAVI 0.4976 (ha)</t>
        </is>
      </c>
      <c r="B32" s="38" t="n">
        <v>0.181</v>
      </c>
      <c r="C32" s="6" t="inlineStr">
        <is>
          <t>% del bloque bajo umbral (brecha espectral)</t>
        </is>
      </c>
      <c r="D32" s="39" t="n">
        <v>0.41</v>
      </c>
      <c r="E32" s="8" t="n"/>
      <c r="F32" s="8" t="n"/>
    </row>
    <row r="33">
      <c r="A33" s="6" t="inlineStr">
        <is>
          <t>Clase DN dominante (MSAVI 2024)</t>
        </is>
      </c>
      <c r="B33" s="7" t="inlineStr">
        <is>
          <t>DN 5 · &gt; 0.6139 (Vigor alto)</t>
        </is>
      </c>
      <c r="C33" s="6" t="inlineStr">
        <is>
          <t>N.° de polígonos MSAVI del bloque</t>
        </is>
      </c>
      <c r="D33" s="40" t="n">
        <v>51</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44.20 ha totales — Zona agrícola 39.69 ha (89.8%); Bes-cm 3.89 ha (8.8%); Matorral andino 0.62 ha (1.4%)</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90</v>
      </c>
      <c r="E38" s="8" t="n"/>
      <c r="F38" s="8" t="n"/>
    </row>
    <row r="39">
      <c r="A39" s="6" t="inlineStr">
        <is>
          <t>Suelo desnudo — campo (%)</t>
        </is>
      </c>
      <c r="B39" s="7" t="n">
        <v>8</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2026-07-08</t>
        </is>
      </c>
      <c r="E44" s="8" t="n"/>
      <c r="F44" s="8" t="n"/>
    </row>
    <row r="45">
      <c r="A45" s="6" t="inlineStr">
        <is>
          <t>Hora de registro</t>
        </is>
      </c>
      <c r="B45" s="7" t="inlineStr">
        <is>
          <t>08:55 - 10:03 h</t>
        </is>
      </c>
      <c r="C45" s="6" t="inlineStr">
        <is>
          <t>Correlativo de ficha</t>
        </is>
      </c>
      <c r="D45" s="7" t="inlineStr">
        <is>
          <t>F-DT-01/B38/2026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(reconocimiento perimetral)</t>
        </is>
      </c>
      <c r="E47" s="8" t="n"/>
      <c r="F47" s="8" t="n"/>
    </row>
    <row r="48">
      <c r="A48" s="6" t="inlineStr">
        <is>
          <t>Estaciones fotográficas georreferenciadas</t>
        </is>
      </c>
      <c r="B48" s="7" t="n">
        <v>10</v>
      </c>
      <c r="C48" s="6" t="inlineStr">
        <is>
          <t>Modalidad de acceso</t>
        </is>
      </c>
      <c r="D48" s="7" t="inlineStr">
        <is>
          <t>Perimetral: vehicular + camino de herradura (Vehicular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agropecuaria de subsistencia sobre laderas de fuerte inclinación sin prácticas de conservación de suelo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0" t="n">
        <v>32.4772</v>
      </c>
      <c r="C10" s="29">
        <f>ROUND(B10/$B$15*100,2)</f>
        <v>73.48</v>
      </c>
      <c r="D10" s="12" t="inlineStr">
        <is>
          <t>Vigor alto</t>
        </is>
      </c>
      <c r="E10" s="12" t="inlineStr">
        <is>
          <t>Sobre umbral</t>
        </is>
      </c>
    </row>
    <row r="11">
      <c r="A11" s="13" t="inlineStr">
        <is>
          <t>0.4976 - 0.6139 · DN 4</t>
        </is>
      </c>
      <c r="B11" s="20" t="n">
        <v>11.5427</v>
      </c>
      <c r="C11" s="21">
        <f>ROUND(B11/$B$15*100,2)</f>
        <v>26.11</v>
      </c>
      <c r="D11" s="14" t="inlineStr">
        <is>
          <t>Vigor moderado</t>
        </is>
      </c>
      <c r="E11" s="14" t="inlineStr">
        <is>
          <t>Sobre umbral</t>
        </is>
      </c>
    </row>
    <row r="12">
      <c r="A12" s="7" t="inlineStr">
        <is>
          <t>0.3813 - 0.4976 · DN 3</t>
        </is>
      </c>
      <c r="B12" s="18" t="n">
        <v>0.1807</v>
      </c>
      <c r="C12" s="19">
        <f>ROUND(B12/$B$15*100,2)</f>
        <v>0.41</v>
      </c>
      <c r="D12" s="15" t="inlineStr">
        <is>
          <t>Vigor bajo</t>
        </is>
      </c>
      <c r="E12" s="15" t="inlineStr">
        <is>
          <t>BAJO umbral 0.4976</t>
        </is>
      </c>
    </row>
    <row r="13">
      <c r="A13" s="13" t="inlineStr">
        <is>
          <t>0.2650 - 0.3813 · DN 2</t>
        </is>
      </c>
      <c r="B13" s="20" t="n">
        <v>0</v>
      </c>
      <c r="C13" s="21">
        <f>ROUND(B13/$B$15*100,2)</f>
        <v>0.0</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44.2006</v>
      </c>
      <c r="C15" s="45">
        <f>SUM(C10:C14)</f>
        <v>100.0</v>
      </c>
      <c r="D15" s="43" t="inlineStr">
        <is>
          <t>Suma de la distribución areal · 51 polígonos</t>
        </is>
      </c>
      <c r="E15" s="43" t="inlineStr">
        <is>
          <t>—</t>
        </is>
      </c>
    </row>
    <row r="16" ht="30" customHeight="1">
      <c r="A16" s="46" t="inlineStr">
        <is>
          <t>Superficie SOBRE umbral 0.4976 (ha)</t>
        </is>
      </c>
      <c r="B16" s="47">
        <f>SUM(B10:B11)</f>
        <v>44.0199</v>
      </c>
      <c r="C16" s="48">
        <f>ROUND(B16/B15*100,2)</f>
        <v>99.59</v>
      </c>
      <c r="D16" s="46" t="inlineStr">
        <is>
          <t>Vigor alto y moderado (DN 4 y DN 5)</t>
        </is>
      </c>
      <c r="E16" s="46" t="inlineStr">
        <is>
          <t>Sobre umbral 0.4976</t>
        </is>
      </c>
    </row>
    <row r="17" ht="30" customHeight="1">
      <c r="A17" s="46" t="inlineStr">
        <is>
          <t>Superficie BAJO umbral 0.4976 (ha) — brecha</t>
        </is>
      </c>
      <c r="B17" s="47">
        <f>SUM(B12:B14)</f>
        <v>0.1807</v>
      </c>
      <c r="C17" s="48">
        <f>ROUND(B17/B15*100,2)</f>
        <v>0.41</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44.2</v>
      </c>
      <c r="C18" s="49" t="inlineStr">
        <is>
          <t>—</t>
        </is>
      </c>
      <c r="D18" s="46" t="inlineStr">
        <is>
          <t>Desviación planimétrica frente al catálogo</t>
        </is>
      </c>
      <c r="E18" s="46" t="inlineStr">
        <is>
          <t>+0.00 %</t>
        </is>
      </c>
    </row>
    <row r="19">
      <c r="A19" s="16" t="inlineStr">
        <is>
          <t>MSAVI 2024 — MEDIA DEL BLOQUE</t>
        </is>
      </c>
      <c r="B19" s="17" t="n">
        <v>0.6724869999999999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51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(0.6725)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43.9024</v>
      </c>
      <c r="C25" s="19" t="n">
        <v>99.3</v>
      </c>
      <c r="D25" s="15" t="inlineStr">
        <is>
          <t>Dosel continuo, matorral denso o mosaico agroforestal</t>
        </is>
      </c>
      <c r="E25" s="15" t="inlineStr"/>
    </row>
    <row r="26">
      <c r="A26" s="13" t="inlineStr">
        <is>
          <t>Vegetación mediana</t>
        </is>
      </c>
      <c r="B26" s="20" t="n">
        <v>0.3099</v>
      </c>
      <c r="C26" s="21" t="n">
        <v>0.7</v>
      </c>
      <c r="D26" s="14" t="inlineStr">
        <is>
          <t>Pastizal cultivado, matorral ralo, parcelas agrícolas</t>
        </is>
      </c>
      <c r="E26" s="14" t="inlineStr"/>
    </row>
    <row r="27">
      <c r="A27" s="16" t="inlineStr">
        <is>
          <t>TOTAL CLASIFICADO</t>
        </is>
      </c>
      <c r="B27" s="22">
        <f>SUM(B25:B26)</f>
        <v>44.2123</v>
      </c>
      <c r="C27" s="23">
        <f>SUM(C25:C26)</f>
        <v>100.0</v>
      </c>
      <c r="D27" s="17" t="inlineStr"/>
      <c r="E27" s="17" t="inlineStr"/>
    </row>
    <row r="28">
      <c r="A28" s="24" t="inlineStr">
        <is>
          <t>Superficie de catálogo (V5/V6)</t>
        </is>
      </c>
      <c r="B28" s="25" t="n">
        <v>44.2</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99.30 % del polígono clasificado como «Vegetación alta» por el NDVI 2025; la observación de campo corresponde a una parcela o recorrido puntual y no es estadísticamente representativa de las 44.200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38</t>
        </is>
      </c>
    </row>
    <row r="6" ht="24" customHeight="1">
      <c r="A6" s="4" t="inlineStr">
        <is>
          <t>Levantamiento del 2026-07-08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647123</v>
      </c>
      <c r="D10" s="26" t="n">
        <v>9427602</v>
      </c>
      <c r="E10" s="15" t="n">
        <v>0</v>
      </c>
      <c r="F10" s="15" t="inlineStr"/>
      <c r="G10" s="15" t="inlineStr">
        <is>
          <t>Coordenada consignada en F-DT-01</t>
        </is>
      </c>
    </row>
    <row r="11">
      <c r="A11" s="13" t="inlineStr">
        <is>
          <t>F-01</t>
        </is>
      </c>
      <c r="B11" s="14" t="inlineStr">
        <is>
          <t>Estación fotográfica</t>
        </is>
      </c>
      <c r="C11" s="27" t="n">
        <v>646833</v>
      </c>
      <c r="D11" s="27" t="n">
        <v>9426997</v>
      </c>
      <c r="E11" s="14" t="n">
        <v>670.9</v>
      </c>
      <c r="F11" s="14" t="inlineStr"/>
      <c r="G11" s="14" t="inlineStr">
        <is>
          <t>Registro fotográfico georreferenciado</t>
        </is>
      </c>
    </row>
    <row r="12">
      <c r="A12" s="7" t="inlineStr">
        <is>
          <t>F-02</t>
        </is>
      </c>
      <c r="B12" s="15" t="inlineStr">
        <is>
          <t>Estación fotográfica</t>
        </is>
      </c>
      <c r="C12" s="26" t="n">
        <v>646751</v>
      </c>
      <c r="D12" s="26" t="n">
        <v>9427128</v>
      </c>
      <c r="E12" s="15" t="n">
        <v>602.5</v>
      </c>
      <c r="F12" s="15" t="inlineStr"/>
      <c r="G12" s="15" t="inlineStr">
        <is>
          <t>Registro fotográfico georreferenciado</t>
        </is>
      </c>
    </row>
    <row r="13">
      <c r="A13" s="13" t="inlineStr">
        <is>
          <t>F-03</t>
        </is>
      </c>
      <c r="B13" s="14" t="inlineStr">
        <is>
          <t>Estación fotográfica</t>
        </is>
      </c>
      <c r="C13" s="27" t="n">
        <v>647606</v>
      </c>
      <c r="D13" s="27" t="n">
        <v>9427393</v>
      </c>
      <c r="E13" s="14" t="n">
        <v>526.3</v>
      </c>
      <c r="F13" s="14" t="inlineStr"/>
      <c r="G13" s="14" t="inlineStr">
        <is>
          <t>Registro fotográfico georreferenciado</t>
        </is>
      </c>
    </row>
    <row r="14">
      <c r="A14" s="7" t="inlineStr">
        <is>
          <t>F-04</t>
        </is>
      </c>
      <c r="B14" s="15" t="inlineStr">
        <is>
          <t>Estación fotográfica</t>
        </is>
      </c>
      <c r="C14" s="26" t="n">
        <v>647574</v>
      </c>
      <c r="D14" s="26" t="n">
        <v>9427474</v>
      </c>
      <c r="E14" s="15" t="n">
        <v>468.8</v>
      </c>
      <c r="F14" s="15" t="inlineStr"/>
      <c r="G14" s="15" t="inlineStr">
        <is>
          <t>Registro fotográfico georreferenciado</t>
        </is>
      </c>
    </row>
    <row r="15">
      <c r="A15" s="13" t="inlineStr">
        <is>
          <t>F-05</t>
        </is>
      </c>
      <c r="B15" s="14" t="inlineStr">
        <is>
          <t>Estación fotográfica</t>
        </is>
      </c>
      <c r="C15" s="27" t="n">
        <v>647571</v>
      </c>
      <c r="D15" s="27" t="n">
        <v>9427474</v>
      </c>
      <c r="E15" s="14" t="n">
        <v>465.9</v>
      </c>
      <c r="F15" s="14" t="inlineStr"/>
      <c r="G15" s="14" t="inlineStr">
        <is>
          <t>Registro fotográfico georreferenciado</t>
        </is>
      </c>
    </row>
    <row r="16">
      <c r="A16" s="7" t="inlineStr">
        <is>
          <t>F-06</t>
        </is>
      </c>
      <c r="B16" s="15" t="inlineStr">
        <is>
          <t>Estación fotográfica</t>
        </is>
      </c>
      <c r="C16" s="26" t="n">
        <v>647569</v>
      </c>
      <c r="D16" s="26" t="n">
        <v>9427482</v>
      </c>
      <c r="E16" s="15" t="n">
        <v>461.9</v>
      </c>
      <c r="F16" s="15" t="inlineStr"/>
      <c r="G16" s="15" t="inlineStr">
        <is>
          <t>Registro fotográfico georreferenciado</t>
        </is>
      </c>
    </row>
    <row r="17">
      <c r="A17" s="13" t="inlineStr">
        <is>
          <t>F-07</t>
        </is>
      </c>
      <c r="B17" s="14" t="inlineStr">
        <is>
          <t>Estación fotográfica</t>
        </is>
      </c>
      <c r="C17" s="27" t="n">
        <v>647428</v>
      </c>
      <c r="D17" s="27" t="n">
        <v>9427512</v>
      </c>
      <c r="E17" s="14" t="n">
        <v>318</v>
      </c>
      <c r="F17" s="14" t="inlineStr"/>
      <c r="G17" s="14" t="inlineStr">
        <is>
          <t>Registro fotográfico georreferenciado</t>
        </is>
      </c>
    </row>
    <row r="18">
      <c r="A18" s="7" t="inlineStr">
        <is>
          <t>F-08</t>
        </is>
      </c>
      <c r="B18" s="15" t="inlineStr">
        <is>
          <t>Estación fotográfica</t>
        </is>
      </c>
      <c r="C18" s="26" t="n">
        <v>647197</v>
      </c>
      <c r="D18" s="26" t="n">
        <v>9427275</v>
      </c>
      <c r="E18" s="15" t="n">
        <v>335.3</v>
      </c>
      <c r="F18" s="15" t="inlineStr"/>
      <c r="G18" s="15" t="inlineStr">
        <is>
          <t>Registro fotográfico georreferenciado</t>
        </is>
      </c>
    </row>
    <row r="19">
      <c r="A19" s="13" t="inlineStr">
        <is>
          <t>F-09</t>
        </is>
      </c>
      <c r="B19" s="14" t="inlineStr">
        <is>
          <t>Estación fotográfica</t>
        </is>
      </c>
      <c r="C19" s="27" t="n">
        <v>647147</v>
      </c>
      <c r="D19" s="27" t="n">
        <v>9427248</v>
      </c>
      <c r="E19" s="14" t="n">
        <v>354.8</v>
      </c>
      <c r="F19" s="14" t="inlineStr"/>
      <c r="G19" s="14" t="inlineStr">
        <is>
          <t>Registro fotográfico georreferenciado</t>
        </is>
      </c>
    </row>
    <row r="20">
      <c r="A20" s="7" t="inlineStr">
        <is>
          <t>F-10</t>
        </is>
      </c>
      <c r="B20" s="15" t="inlineStr">
        <is>
          <t>Estación fotográfica</t>
        </is>
      </c>
      <c r="C20" s="26" t="n">
        <v>647117</v>
      </c>
      <c r="D20" s="26" t="n">
        <v>9427226</v>
      </c>
      <c r="E20" s="15" t="n">
        <v>376</v>
      </c>
      <c r="F20" s="15" t="inlineStr"/>
      <c r="G20" s="15" t="inlineStr">
        <is>
          <t>Registro fotográfico georreferenciado</t>
        </is>
      </c>
    </row>
    <row r="21">
      <c r="A21" s="13" t="inlineStr">
        <is>
          <t>R-01</t>
        </is>
      </c>
      <c r="B21" s="14" t="inlineStr">
        <is>
          <t>Rasgo erosivo — Surco (&lt;30 cm)</t>
        </is>
      </c>
      <c r="C21" s="27" t="n">
        <v>646833</v>
      </c>
      <c r="D21" s="27" t="n">
        <v>9426997</v>
      </c>
      <c r="E21" s="14" t="n">
        <v>670.9</v>
      </c>
      <c r="F21" s="14" t="inlineStr">
        <is>
          <t>Activa</t>
        </is>
      </c>
      <c r="G21" s="14" t="inlineStr">
        <is>
          <t>Caminos / huellas de ganado</t>
        </is>
      </c>
    </row>
    <row r="22">
      <c r="A22" s="7" t="inlineStr">
        <is>
          <t>R-02</t>
        </is>
      </c>
      <c r="B22" s="15" t="inlineStr">
        <is>
          <t>Rasgo erosivo — Surco (&lt;30 cm)</t>
        </is>
      </c>
      <c r="C22" s="26" t="n">
        <v>647571</v>
      </c>
      <c r="D22" s="26" t="n">
        <v>9427474</v>
      </c>
      <c r="E22" s="15" t="n">
        <v>465.9</v>
      </c>
      <c r="F22" s="15" t="inlineStr">
        <is>
          <t>Activa</t>
        </is>
      </c>
      <c r="G22" s="15" t="inlineStr">
        <is>
          <t>Caminos / huellas de ganado</t>
        </is>
      </c>
    </row>
    <row r="23">
      <c r="A23" s="13" t="inlineStr">
        <is>
          <t>R-03</t>
        </is>
      </c>
      <c r="B23" s="14" t="inlineStr">
        <is>
          <t>Rasgo erosivo — Cárcava somera (0.5-2 m)</t>
        </is>
      </c>
      <c r="C23" s="27" t="n">
        <v>647201</v>
      </c>
      <c r="D23" s="27" t="n">
        <v>9427237</v>
      </c>
      <c r="E23" s="14" t="n">
        <v>373.2</v>
      </c>
      <c r="F23" s="14" t="inlineStr">
        <is>
          <t>Activa</t>
        </is>
      </c>
      <c r="G23" s="14" t="inlineStr">
        <is>
          <t>Socavamiento de cauce</t>
        </is>
      </c>
    </row>
    <row r="24">
      <c r="A24" s="7" t="inlineStr">
        <is>
          <t>H-01</t>
        </is>
      </c>
      <c r="B24" s="15" t="inlineStr">
        <is>
          <t>Fuente de agua — Quebrada permanente</t>
        </is>
      </c>
      <c r="C24" s="26" t="n">
        <v>647201</v>
      </c>
      <c r="D24" s="26" t="n">
        <v>9427237</v>
      </c>
      <c r="E24" s="15" t="n">
        <v>373.2</v>
      </c>
      <c r="F24" s="15" t="inlineStr">
        <is>
          <t>Permanente</t>
        </is>
      </c>
      <c r="G24" s="15" t="inlineStr">
        <is>
          <t>Delimita el flanco SE</t>
        </is>
      </c>
    </row>
    <row r="25">
      <c r="A25" s="16" t="inlineStr">
        <is>
          <t>TOTAL: 15 puntos</t>
        </is>
      </c>
      <c r="B25" s="17" t="inlineStr"/>
      <c r="C25" s="17" t="inlineStr"/>
      <c r="D25" s="17" t="inlineStr"/>
      <c r="E25" s="17" t="inlineStr"/>
      <c r="F25" s="17" t="inlineStr"/>
      <c r="G25" s="17" t="inlineStr"/>
    </row>
    <row r="26"/>
    <row r="27">
      <c r="A27" s="6" t="inlineStr">
        <is>
          <t>Centroide del bloque — UTM ESTE (m)</t>
        </is>
      </c>
      <c r="B27" s="7" t="n">
        <v>647123</v>
      </c>
      <c r="C27" s="6" t="inlineStr">
        <is>
          <t>Centroide del bloque — UTM NORTE (m)</t>
        </is>
      </c>
      <c r="D27" s="7" t="n">
        <v>9427602</v>
      </c>
      <c r="E27" s="8" t="n"/>
      <c r="F27" s="8" t="n"/>
      <c r="G27" s="8" t="n"/>
      <c r="H27" s="8" t="n"/>
    </row>
    <row r="28">
      <c r="A28" s="6" t="inlineStr">
        <is>
          <t>N.° de estaciones fotográficas declaradas</t>
        </is>
      </c>
      <c r="B28" s="7" t="n">
        <v>10</v>
      </c>
      <c r="C28" s="6" t="inlineStr">
        <is>
          <t>Estaciones dentro del polígono</t>
        </is>
      </c>
      <c r="D28" s="7" t="n">
        <v>0</v>
      </c>
      <c r="E28" s="8" t="n"/>
      <c r="F28" s="8" t="n"/>
      <c r="G28" s="8" t="n"/>
      <c r="H28" s="8" t="n"/>
    </row>
    <row r="29"/>
    <row r="30" ht="120" customHeight="1">
      <c r="A3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PERIMETRAL. Las 10 estaciones fotográficas del 08-07-2026 se ubican entre 17 y 146 m POR FUERA del polígono (control geométrico sobre la cartografía MSAVI georreferenciada); el interior no fue recorrido. El punto de muestreo corresponde al CENTROIDE de catálogo, no a un punto GPS de campo. ALTITUD GPS NO REGISTRADA: el rango 1302-1533 msnm y la pendiente 24.25% provienen de estadística zonal del MDE. Escarpes activos se consignan por los taludes de corte de la trocha y las márgenes encajonadas de la quebrada.</t>
        </is>
      </c>
      <c r="B30" s="41" t="n"/>
      <c r="C30" s="41" t="n"/>
      <c r="D30" s="41" t="n"/>
      <c r="E30" s="41" t="n"/>
      <c r="F30" s="41" t="n"/>
      <c r="G30" s="42" t="n"/>
    </row>
  </sheetData>
  <mergeCells count="8">
    <mergeCell ref="A1:G1"/>
    <mergeCell ref="A8:G8"/>
    <mergeCell ref="A3:G3"/>
    <mergeCell ref="A6:G6"/>
    <mergeCell ref="A4:G4"/>
    <mergeCell ref="A30:G3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38</t>
        </is>
      </c>
    </row>
    <row r="6" ht="24" customHeight="1">
      <c r="A6" s="4" t="inlineStr">
        <is>
          <t>Distrito de Lalaquiz · Provincia de Huancabamba · Comparación de los bloques preliminares de intervención de la misma microcuenca</t>
        </is>
      </c>
    </row>
    <row r="7"/>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1" t="inlineStr">
        <is>
          <t>► 38</t>
        </is>
      </c>
      <c r="B10" s="28" t="n">
        <v>44.2</v>
      </c>
      <c r="C10" s="29" t="n">
        <v>29.78</v>
      </c>
      <c r="D10" s="12" t="inlineStr">
        <is>
          <t>1302 – 1533</t>
        </is>
      </c>
      <c r="E10" s="12" t="n">
        <v>231</v>
      </c>
      <c r="F10" s="12" t="n">
        <v>24.25</v>
      </c>
      <c r="G10" s="30" t="n">
        <v>0.6725</v>
      </c>
      <c r="H10" s="29" t="n">
        <v>99.3</v>
      </c>
      <c r="I10" s="29" t="n">
        <v>0.41</v>
      </c>
    </row>
    <row r="11">
      <c r="A11" s="13" t="inlineStr">
        <is>
          <t>33</t>
        </is>
      </c>
      <c r="B11" s="31" t="n">
        <v>29.68</v>
      </c>
      <c r="C11" s="21" t="n">
        <v>20</v>
      </c>
      <c r="D11" s="14" t="inlineStr">
        <is>
          <t>1841 – 2226</t>
        </is>
      </c>
      <c r="E11" s="14" t="n">
        <v>385</v>
      </c>
      <c r="F11" s="14" t="n">
        <v>36.6</v>
      </c>
      <c r="G11" s="20" t="n">
        <v>0.7192</v>
      </c>
      <c r="H11" s="21" t="inlineStr">
        <is>
          <t>Por determinar</t>
        </is>
      </c>
      <c r="I11" s="14" t="inlineStr">
        <is>
          <t>s/d</t>
        </is>
      </c>
    </row>
    <row r="12">
      <c r="A12" s="7" t="inlineStr">
        <is>
          <t>34</t>
        </is>
      </c>
      <c r="B12" s="32" t="n">
        <v>28.45</v>
      </c>
      <c r="C12" s="19" t="n">
        <v>19.17</v>
      </c>
      <c r="D12" s="15" t="inlineStr">
        <is>
          <t>1286 – 1514</t>
        </is>
      </c>
      <c r="E12" s="15" t="n">
        <v>228</v>
      </c>
      <c r="F12" s="15" t="n">
        <v>26.78</v>
      </c>
      <c r="G12" s="18" t="n">
        <v>0.649</v>
      </c>
      <c r="H12" s="19" t="n">
        <v>99.42</v>
      </c>
      <c r="I12" s="19" t="n">
        <v>0.17</v>
      </c>
    </row>
    <row r="13">
      <c r="A13" s="13" t="inlineStr">
        <is>
          <t>61</t>
        </is>
      </c>
      <c r="B13" s="31" t="n">
        <v>26.83</v>
      </c>
      <c r="C13" s="21" t="n">
        <v>18.08</v>
      </c>
      <c r="D13" s="14" t="inlineStr">
        <is>
          <t>1098 – 1336</t>
        </is>
      </c>
      <c r="E13" s="14" t="n">
        <v>238</v>
      </c>
      <c r="F13" s="14" t="n">
        <v>22.61</v>
      </c>
      <c r="G13" s="20" t="n">
        <v>0.6112</v>
      </c>
      <c r="H13" s="21" t="n">
        <v>80.15000000000001</v>
      </c>
      <c r="I13" s="21" t="n">
        <v>21.1</v>
      </c>
    </row>
    <row r="14">
      <c r="A14" s="7" t="inlineStr">
        <is>
          <t>50</t>
        </is>
      </c>
      <c r="B14" s="32" t="n">
        <v>19.27</v>
      </c>
      <c r="C14" s="19" t="n">
        <v>12.98</v>
      </c>
      <c r="D14" s="15" t="inlineStr">
        <is>
          <t>1468 – 1725</t>
        </is>
      </c>
      <c r="E14" s="15" t="n">
        <v>257</v>
      </c>
      <c r="F14" s="15" t="n">
        <v>30.47</v>
      </c>
      <c r="G14" s="18" t="n">
        <v>0.6831</v>
      </c>
      <c r="H14" s="19" t="n">
        <v>99.56999999999999</v>
      </c>
      <c r="I14" s="19" t="n">
        <v>0.36</v>
      </c>
    </row>
    <row r="15">
      <c r="A15" s="16" t="inlineStr">
        <is>
          <t>TOTAL / PROMEDIO</t>
        </is>
      </c>
      <c r="B15" s="33">
        <f>SUM(B10:B14)</f>
        <v>148.43</v>
      </c>
      <c r="C15" s="23">
        <f>SUM(C10:C14)</f>
        <v>100.01</v>
      </c>
      <c r="D15" s="17" t="inlineStr">
        <is>
          <t>1098 – 2226</t>
        </is>
      </c>
      <c r="E15" s="17" t="inlineStr"/>
      <c r="F15" s="17">
        <f>ROUND(AVERAGE(F10:F14),2)</f>
        <v>28.14</v>
      </c>
      <c r="G15" s="22">
        <f>ROUND(AVERAGE(G10:G14),4)</f>
        <v>0.667</v>
      </c>
      <c r="H15" s="23">
        <f>ROUND(AVERAGE(H10:H14),2)</f>
        <v>94.61</v>
      </c>
      <c r="I15" s="23">
        <f>ROUND(AVERAGE(I10:I14),2)</f>
        <v>5.51</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1" t="n"/>
      <c r="C16" s="41" t="n"/>
      <c r="D16" s="41" t="n"/>
      <c r="E16" s="41" t="n"/>
      <c r="F16" s="41" t="n"/>
      <c r="G16" s="41" t="n"/>
      <c r="H16" s="42" t="n"/>
    </row>
    <row r="17"/>
    <row r="18" ht="84" customHeight="1">
      <c r="A18" s="9" t="inlineStr">
        <is>
          <t>LECTURA INTRAMICROCUENCA. El bloque 38 ocupa el puesto 1 de 5 por superficie dentro de la microcuenca C1081-Q9590 (29.78 % de las 148.43 ha preliminares de la microcuenca). Su pendiente promedio (24.25 %, clase «15-25% (Fuert. inclinado)») es la 2.ª más baja de 5 y se sitúa por debajo del promedio de la microcuenca (28.14 %). Su MSAVI 2024 (0.6725) es el 3.º de 5 y queda por encima del promedio local (0.6670). Amplitud altitudinal del bloque: 231 m (1302–1533 msnm). El cuadro conserva todos los bloques catalogados en la microcuenca, incluidos los descartados en el tamizaje, para referencia del conjunto. Los bloques sin ficha DT figuran con sus parámetros de gabinete. BRECHA ESPECTRAL. El 0.41 % de la superficie del bloque (0.181 ha de 44.201 ha) se sitúa bajo el umbral MSAVI 0.4976, por debajo del promedio local de la microcuenca (5.51 %) calculado sobre los bloques con dato MSAVI disponible.</t>
        </is>
      </c>
      <c r="B18" s="41" t="n"/>
      <c r="C18" s="41" t="n"/>
      <c r="D18" s="41" t="n"/>
      <c r="E18" s="41" t="n"/>
      <c r="F18" s="41" t="n"/>
      <c r="G18" s="41" t="n"/>
      <c r="H18" s="42"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1" t="n"/>
      <c r="C20" s="41" t="n"/>
      <c r="D20" s="41" t="n"/>
      <c r="E20" s="41" t="n"/>
      <c r="F20" s="41" t="n"/>
      <c r="G20" s="41" t="n"/>
      <c r="H20" s="42"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«C1081-Q9590»</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(44.212 ha) coincide con la de catálogo (44.2 ha) dentro del ±2 % (+0.03 %)</t>
        </is>
      </c>
      <c r="D12" s="37"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3 rasgos erosivos, pero longitud, profundidad y ancho no fueron medidos instrumentalmente</t>
        </is>
      </c>
      <c r="D13" s="12"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5"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«Ullma (646 976 E · 9 428 519 N; 157 hab.) — a ≈0.93 km al N del centroide»; el cruce INEI-Bloques V5 identifica 1 centro(s) poblado(s) en el bloque: ULLMA</t>
        </is>
      </c>
      <c r="D15" s="37"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(51 polígonos, 44.201 ha)</t>
        </is>
      </c>
      <c r="D17" s="35"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(44.201 ha) frente a la de catálogo V5/V6 (44.200 ha): desviación de +0.00 %</t>
        </is>
      </c>
      <c r="D18" s="35"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(0.6725) cae en la clase «DN 5 · &gt; 0.6139 (Vigor alto)»; la clase de mayor superficie es «DN 5 · &gt; 0.6139 (Vigor alto)», con 73.48 % del bloque. Superficie bajo el umbral 0.4976: 0.181 ha (0.41 %)</t>
        </is>
      </c>
      <c r="D19" s="35"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5 · CORREGIDO: 1 · NO SUSTANTIVA: 1 · SUSTANTIVA: 3</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38 — IN Piura</dc:title>
  <dc:subject>Diagnóstico Territorial por bloque de intervención</dc:subject>
  <dcterms:created xsi:type="dcterms:W3CDTF">2026-09-08T03:39:54Z</dcterms:created>
  <dcterms:modified xsi:type="dcterms:W3CDTF">2026-09-10T00:28:27Z</dcterms:modified>
</cp:coreProperties>
</file>