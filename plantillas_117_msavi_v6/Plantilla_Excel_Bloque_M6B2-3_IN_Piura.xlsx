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M6B2-3</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Caserío Pedregal</t>
        </is>
      </c>
      <c r="C13" s="6" t="inlineStr">
        <is>
          <t>Comunidad campesina</t>
        </is>
      </c>
      <c r="D13" s="7" t="inlineStr">
        <is>
          <t>Sin registro en ficha</t>
        </is>
      </c>
      <c r="E13" s="8" t="n"/>
      <c r="F13" s="8" t="n"/>
    </row>
    <row r="14">
      <c r="A14" s="6" t="inlineStr">
        <is>
          <t>Superficie de catálogo (V5/V6), ha</t>
        </is>
      </c>
      <c r="B14" s="7" t="n">
        <v>160.98</v>
      </c>
      <c r="C14" s="6" t="inlineStr">
        <is>
          <t>Fuente de superficie</t>
        </is>
      </c>
      <c r="D14" s="7" t="inlineStr">
        <is>
          <t>Catálogo maestro Bloques V5/V6</t>
        </is>
      </c>
      <c r="E14" s="8" t="n"/>
      <c r="F14" s="8" t="n"/>
    </row>
    <row r="15">
      <c r="A15" s="6" t="inlineStr">
        <is>
          <t>Centroide UTM ESTE (m)</t>
        </is>
      </c>
      <c r="B15" s="7" t="n">
        <v>611305</v>
      </c>
      <c r="C15" s="6" t="inlineStr">
        <is>
          <t>Centroide UTM NORTE (m)</t>
        </is>
      </c>
      <c r="D15" s="7" t="n">
        <v>9419274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166</v>
      </c>
      <c r="C19" s="6" t="inlineStr">
        <is>
          <t>Altitud máxima (msnm)</t>
        </is>
      </c>
      <c r="D19" s="7" t="n">
        <v>557</v>
      </c>
      <c r="E19" s="8" t="n"/>
      <c r="F19" s="8" t="n"/>
    </row>
    <row r="20">
      <c r="A20" s="6" t="inlineStr">
        <is>
          <t>Amplitud altitudinal (m)</t>
        </is>
      </c>
      <c r="B20" s="7" t="n">
        <v>391</v>
      </c>
      <c r="C20" s="6" t="inlineStr">
        <is>
          <t>Piso altitudinal dominante</t>
        </is>
      </c>
      <c r="D20" s="7" t="inlineStr">
        <is>
          <t>&lt;1000 m (Yunga)</t>
        </is>
      </c>
      <c r="E20" s="8" t="n"/>
      <c r="F20" s="8" t="n"/>
    </row>
    <row r="21">
      <c r="A21" s="6" t="inlineStr">
        <is>
          <t>Pendiente promedio (%)</t>
        </is>
      </c>
      <c r="B21" s="7" t="n">
        <v>19.78</v>
      </c>
      <c r="C21" s="6" t="inlineStr">
        <is>
          <t>Pendiente promedio (grados)</t>
        </is>
      </c>
      <c r="D21" s="7" t="n">
        <v>11.2</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Noreste</t>
        </is>
      </c>
      <c r="C24" s="6" t="inlineStr">
        <is>
          <t>Afloramientos rocosos</t>
        </is>
      </c>
      <c r="D24" s="7" t="inlineStr">
        <is>
          <t>Sí</t>
        </is>
      </c>
      <c r="E24" s="8" t="n"/>
      <c r="F24" s="8" t="n"/>
    </row>
    <row r="25">
      <c r="A25" s="6" t="inlineStr">
        <is>
          <t>Escarpes activos</t>
        </is>
      </c>
      <c r="B25" s="7" t="inlineStr">
        <is>
          <t>Por verificar (indicios no concluyentes)</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0.4063</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(60.25 %)</t>
        </is>
      </c>
      <c r="E29" s="8" t="n"/>
      <c r="F29" s="8" t="n"/>
    </row>
    <row r="30">
      <c r="A30" s="6" t="inlineStr">
        <is>
          <t>Superficie clasificada NDVI 2025 (ha)</t>
        </is>
      </c>
      <c r="B30" s="7" t="n">
        <v>161.058</v>
      </c>
      <c r="C30" s="6" t="inlineStr">
        <is>
          <t>Desviación frente al catálogo (%)</t>
        </is>
      </c>
      <c r="D30" s="7" t="n">
        <v>0.05</v>
      </c>
      <c r="E30" s="8" t="n"/>
      <c r="F30" s="8" t="n"/>
    </row>
    <row r="31">
      <c r="A31" s="6" t="inlineStr">
        <is>
          <t>Superficie clasificada MSAVI 2024 (ha)</t>
        </is>
      </c>
      <c r="B31" s="39" t="n">
        <v>160.978</v>
      </c>
      <c r="C31" s="6" t="inlineStr">
        <is>
          <t>Desviación MSAVI frente al catálogo (%)</t>
        </is>
      </c>
      <c r="D31" s="40" t="n">
        <v>0</v>
      </c>
      <c r="E31" s="8" t="n"/>
      <c r="F31" s="8" t="n"/>
    </row>
    <row r="32">
      <c r="A32" s="6" t="inlineStr">
        <is>
          <t>Superficie bajo umbral MSAVI 0.4976 (ha)</t>
        </is>
      </c>
      <c r="B32" s="39" t="n">
        <v>145.674</v>
      </c>
      <c r="C32" s="6" t="inlineStr">
        <is>
          <t>% del bloque bajo umbral (brecha espectral)</t>
        </is>
      </c>
      <c r="D32" s="40" t="n">
        <v>90.48999999999999</v>
      </c>
      <c r="E32" s="8" t="n"/>
      <c r="F32" s="8" t="n"/>
    </row>
    <row r="33">
      <c r="A33" s="6" t="inlineStr">
        <is>
          <t>Clase DN dominante (MSAVI 2024)</t>
        </is>
      </c>
      <c r="B33" s="7" t="inlineStr">
        <is>
          <t>DN 3 · 0.3813 - 0.4976 (Vigor bajo)</t>
        </is>
      </c>
      <c r="C33" s="6" t="inlineStr">
        <is>
          <t>N.° de polígonos MSAVI del bloque</t>
        </is>
      </c>
      <c r="D33" s="41" t="n">
        <v>399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160.98 ha (100% del bloque, por dominancia)</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inlineStr">
        <is>
          <t>55 - 85</t>
        </is>
      </c>
      <c r="E38" s="8" t="n"/>
      <c r="F38" s="8" t="n"/>
    </row>
    <row r="39">
      <c r="A39" s="6" t="inlineStr">
        <is>
          <t>Suelo desnudo — campo (%)</t>
        </is>
      </c>
      <c r="B39" s="7" t="inlineStr">
        <is>
          <t>15 - 30</t>
        </is>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t>
        </is>
      </c>
      <c r="C44" s="6" t="inlineStr">
        <is>
          <t>Fecha de evaluación</t>
        </is>
      </c>
      <c r="D44" s="7" t="inlineStr">
        <is>
          <t>2026-05-18</t>
        </is>
      </c>
      <c r="E44" s="8" t="n"/>
      <c r="F44" s="8" t="n"/>
    </row>
    <row r="45">
      <c r="A45" s="6" t="inlineStr">
        <is>
          <t>Hora de registro</t>
        </is>
      </c>
      <c r="B45" s="7" t="inlineStr">
        <is>
          <t>14:30 h</t>
        </is>
      </c>
      <c r="C45" s="6" t="inlineStr">
        <is>
          <t>Correlativo de ficha</t>
        </is>
      </c>
      <c r="D45" s="7" t="inlineStr">
        <is>
          <t>F-DT/M6B2-3/2026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formal)</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de pastoreo extensivo sin manejo sobre un bosque seco frágil, agravada por la estacionalidad climática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0.3761</v>
      </c>
      <c r="C10" s="19">
        <f>ROUND(B10/$B$15*100,2)</f>
        <v>0.23</v>
      </c>
      <c r="D10" s="11" t="inlineStr">
        <is>
          <t>Vigor alto</t>
        </is>
      </c>
      <c r="E10" s="11" t="inlineStr">
        <is>
          <t>Sobre umbral</t>
        </is>
      </c>
    </row>
    <row r="11">
      <c r="A11" s="12" t="inlineStr">
        <is>
          <t>0.4976 - 0.6139 · DN 4</t>
        </is>
      </c>
      <c r="B11" s="20" t="n">
        <v>14.9282</v>
      </c>
      <c r="C11" s="21">
        <f>ROUND(B11/$B$15*100,2)</f>
        <v>9.27</v>
      </c>
      <c r="D11" s="13" t="inlineStr">
        <is>
          <t>Vigor moderado</t>
        </is>
      </c>
      <c r="E11" s="13" t="inlineStr">
        <is>
          <t>Sobre umbral</t>
        </is>
      </c>
    </row>
    <row r="12">
      <c r="A12" s="14" t="inlineStr">
        <is>
          <t>0.3813 - 0.4976 · DN 3</t>
        </is>
      </c>
      <c r="B12" s="32" t="n">
        <v>87.13630000000001</v>
      </c>
      <c r="C12" s="31">
        <f>ROUND(B12/$B$15*100,2)</f>
        <v>54.13</v>
      </c>
      <c r="D12" s="15" t="inlineStr">
        <is>
          <t>Vigor bajo</t>
        </is>
      </c>
      <c r="E12" s="15" t="inlineStr">
        <is>
          <t>BAJO umbral 0.4976</t>
        </is>
      </c>
    </row>
    <row r="13">
      <c r="A13" s="12" t="inlineStr">
        <is>
          <t>0.2650 - 0.3813 · DN 2</t>
        </is>
      </c>
      <c r="B13" s="20" t="n">
        <v>53.8538</v>
      </c>
      <c r="C13" s="21">
        <f>ROUND(B13/$B$15*100,2)</f>
        <v>33.45</v>
      </c>
      <c r="D13" s="13" t="inlineStr">
        <is>
          <t>Vigor muy bajo</t>
        </is>
      </c>
      <c r="E13" s="13" t="inlineStr">
        <is>
          <t>BAJO umbral 0.4976</t>
        </is>
      </c>
    </row>
    <row r="14">
      <c r="A14" s="7" t="inlineStr">
        <is>
          <t>&lt;= 0.2650 · DN 1</t>
        </is>
      </c>
      <c r="B14" s="18" t="n">
        <v>4.6841</v>
      </c>
      <c r="C14" s="19">
        <f>ROUND(B14/$B$15*100,2)</f>
        <v>2.91</v>
      </c>
      <c r="D14" s="11" t="inlineStr">
        <is>
          <t>Suelo desnudo / no vegetal</t>
        </is>
      </c>
      <c r="E14" s="11" t="inlineStr">
        <is>
          <t>BAJO umbral 0.4976</t>
        </is>
      </c>
    </row>
    <row r="15" ht="30" customHeight="1">
      <c r="A15" s="44" t="inlineStr">
        <is>
          <t>TOTAL CLASIFICADO MSAVI 2024</t>
        </is>
      </c>
      <c r="B15" s="45">
        <f>SUM(B10:B14)</f>
        <v>160.9785</v>
      </c>
      <c r="C15" s="46">
        <f>SUM(C10:C14)</f>
        <v>99.99</v>
      </c>
      <c r="D15" s="44" t="inlineStr">
        <is>
          <t>Suma de la distribución areal · 399 polígonos</t>
        </is>
      </c>
      <c r="E15" s="44" t="inlineStr">
        <is>
          <t>—</t>
        </is>
      </c>
    </row>
    <row r="16" ht="30" customHeight="1">
      <c r="A16" s="47" t="inlineStr">
        <is>
          <t>Superficie SOBRE umbral 0.4976 (ha)</t>
        </is>
      </c>
      <c r="B16" s="48">
        <f>SUM(B10:B11)</f>
        <v>15.3043</v>
      </c>
      <c r="C16" s="49">
        <f>ROUND(B16/B15*100,2)</f>
        <v>9.51</v>
      </c>
      <c r="D16" s="47" t="inlineStr">
        <is>
          <t>Vigor alto y moderado (DN 4 y DN 5)</t>
        </is>
      </c>
      <c r="E16" s="47" t="inlineStr">
        <is>
          <t>Sobre umbral 0.4976</t>
        </is>
      </c>
    </row>
    <row r="17" ht="30" customHeight="1">
      <c r="A17" s="47" t="inlineStr">
        <is>
          <t>Superficie BAJO umbral 0.4976 (ha) — brecha</t>
        </is>
      </c>
      <c r="B17" s="48">
        <f>SUM(B12:B14)</f>
        <v>145.6742</v>
      </c>
      <c r="C17" s="49">
        <f>ROUND(B17/B15*100,2)</f>
        <v>90.49</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160.98</v>
      </c>
      <c r="C18" s="50" t="inlineStr">
        <is>
          <t>—</t>
        </is>
      </c>
      <c r="D18" s="47" t="inlineStr">
        <is>
          <t>Desviación planimétrica frente al catálogo</t>
        </is>
      </c>
      <c r="E18" s="47" t="inlineStr">
        <is>
          <t>+0.00 %</t>
        </is>
      </c>
    </row>
    <row r="19">
      <c r="A19" s="16" t="inlineStr">
        <is>
          <t>MSAVI 2024 — MEDIA DEL BLOQUE</t>
        </is>
      </c>
      <c r="B19" s="17" t="n">
        <v>0.406259</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399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(0.4063)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7.9284</v>
      </c>
      <c r="C25" s="19" t="n">
        <v>4.92</v>
      </c>
      <c r="D25" s="11" t="inlineStr">
        <is>
          <t>Dosel continuo, matorral denso o mosaico agroforestal</t>
        </is>
      </c>
      <c r="E25" s="11" t="inlineStr"/>
    </row>
    <row r="26">
      <c r="A26" s="12" t="inlineStr">
        <is>
          <t>Vegetación mediana</t>
        </is>
      </c>
      <c r="B26" s="20" t="n">
        <v>97.033</v>
      </c>
      <c r="C26" s="21" t="n">
        <v>60.25</v>
      </c>
      <c r="D26" s="13" t="inlineStr">
        <is>
          <t>Pastizal cultivado, matorral ralo, parcelas agrícolas</t>
        </is>
      </c>
      <c r="E26" s="13" t="inlineStr"/>
    </row>
    <row r="27">
      <c r="A27" s="7" t="inlineStr">
        <is>
          <t>Vegetación ligera</t>
        </is>
      </c>
      <c r="B27" s="18" t="n">
        <v>55.2152</v>
      </c>
      <c r="C27" s="19" t="n">
        <v>34.28</v>
      </c>
      <c r="D27" s="11" t="inlineStr">
        <is>
          <t>Cobertura discontinua, suelo parcialmente expuesto</t>
        </is>
      </c>
      <c r="E27" s="11" t="inlineStr"/>
    </row>
    <row r="28">
      <c r="A28" s="12" t="inlineStr">
        <is>
          <t>Tierra desnuda</t>
        </is>
      </c>
      <c r="B28" s="20" t="n">
        <v>0.8812</v>
      </c>
      <c r="C28" s="21" t="n">
        <v>0.55</v>
      </c>
      <c r="D28" s="13" t="inlineStr">
        <is>
          <t>Suelo desnudo, afloramientos, plataformas y taludes</t>
        </is>
      </c>
      <c r="E28" s="13" t="inlineStr"/>
    </row>
    <row r="29">
      <c r="A29" s="16" t="inlineStr">
        <is>
          <t>TOTAL CLASIFICADO</t>
        </is>
      </c>
      <c r="B29" s="22">
        <f>SUM(B25:B28)</f>
        <v>161.0578</v>
      </c>
      <c r="C29" s="23">
        <f>SUM(C25:C28)</f>
        <v>100.0</v>
      </c>
      <c r="D29" s="17" t="inlineStr"/>
      <c r="E29" s="17" t="inlineStr"/>
    </row>
    <row r="30">
      <c r="A30" s="24" t="inlineStr">
        <is>
          <t>Superficie de catálogo (V5/V6)</t>
        </is>
      </c>
      <c r="B30" s="25" t="n">
        <v>160.98</v>
      </c>
      <c r="C30" s="25" t="inlineStr">
        <is>
          <t>—</t>
        </is>
      </c>
      <c r="D30" s="25" t="inlineStr">
        <is>
          <t>Desviación planimétrica frente al catálogo</t>
        </is>
      </c>
      <c r="E30" s="25" t="inlineStr">
        <is>
          <t>+0.05 %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M6B2-3</t>
        </is>
      </c>
    </row>
    <row r="6" ht="24" customHeight="1">
      <c r="A6" s="4" t="inlineStr">
        <is>
          <t>Levantamiento del 2026-05-18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611500</v>
      </c>
      <c r="D10" s="26" t="n">
        <v>9419250</v>
      </c>
      <c r="E10" s="11" t="n">
        <v>196.5</v>
      </c>
      <c r="F10" s="11" t="inlineStr"/>
      <c r="G10" s="11" t="inlineStr">
        <is>
          <t>Coordenada consignada en F-DT-01</t>
        </is>
      </c>
    </row>
    <row r="11">
      <c r="A11" s="12" t="inlineStr">
        <is>
          <t>H-01</t>
        </is>
      </c>
      <c r="B11" s="13" t="inlineStr">
        <is>
          <t>Fuente de agua — Quebrada estacional</t>
        </is>
      </c>
      <c r="C11" s="27" t="n">
        <v>611200</v>
      </c>
      <c r="D11" s="27" t="n">
        <v>9419600</v>
      </c>
      <c r="E11" s="13" t="n">
        <v>342.5</v>
      </c>
      <c r="F11" s="13" t="inlineStr">
        <is>
          <t>Intermitente</t>
        </is>
      </c>
      <c r="G11" s="13" t="inlineStr">
        <is>
          <t>Cauce central del bloque</t>
        </is>
      </c>
    </row>
    <row r="12">
      <c r="A12" s="7" t="inlineStr">
        <is>
          <t>H-02</t>
        </is>
      </c>
      <c r="B12" s="11" t="inlineStr">
        <is>
          <t>Fuente de agua — Quebrada estacional</t>
        </is>
      </c>
      <c r="C12" s="26" t="n">
        <v>611600</v>
      </c>
      <c r="D12" s="26" t="n">
        <v>9419750</v>
      </c>
      <c r="E12" s="11" t="n">
        <v>560</v>
      </c>
      <c r="F12" s="11" t="inlineStr">
        <is>
          <t>Intermitente</t>
        </is>
      </c>
      <c r="G12" s="11" t="inlineStr">
        <is>
          <t>Drenaje secundario en el sector NE</t>
        </is>
      </c>
    </row>
    <row r="13">
      <c r="A13" s="16" t="inlineStr">
        <is>
          <t>TOTAL: 3 puntos</t>
        </is>
      </c>
      <c r="B13" s="17" t="inlineStr"/>
      <c r="C13" s="17" t="inlineStr"/>
      <c r="D13" s="17" t="inlineStr"/>
      <c r="E13" s="17" t="inlineStr"/>
      <c r="F13" s="17" t="inlineStr"/>
      <c r="G13" s="17" t="inlineStr"/>
    </row>
    <row r="14"/>
    <row r="15">
      <c r="A15" s="6" t="inlineStr">
        <is>
          <t>Centroide del bloque — UTM ESTE (m)</t>
        </is>
      </c>
      <c r="B15" s="7" t="n">
        <v>611305</v>
      </c>
      <c r="C15" s="6" t="inlineStr">
        <is>
          <t>Centroide del bloque — UTM NORTE (m)</t>
        </is>
      </c>
      <c r="D15" s="7" t="n">
        <v>9419274</v>
      </c>
      <c r="E15" s="8" t="n"/>
      <c r="F15" s="8" t="n"/>
      <c r="G15" s="8" t="n"/>
      <c r="H15" s="8" t="n"/>
    </row>
    <row r="16">
      <c r="A16" s="6" t="inlineStr">
        <is>
          <t>N.° de estaciones fotográficas declaradas</t>
        </is>
      </c>
      <c r="B16" s="7" t="n">
        <v>0</v>
      </c>
      <c r="C16" s="6" t="inlineStr">
        <is>
          <t>Estaciones dentro del polígono</t>
        </is>
      </c>
      <c r="D16" s="7" t="n">
        <v>0</v>
      </c>
      <c r="E16" s="8" t="n"/>
      <c r="F16" s="8" t="n"/>
      <c r="G16" s="8" t="n"/>
      <c r="H16" s="8" t="n"/>
    </row>
    <row r="17"/>
    <row r="18" ht="144" customHeight="1">
      <c r="A18"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AL BLOQUE DIFICULTOSO desde la capital distrital de Buenos Aires; ruta viable identificada por el Caserío Pedregal (NE), ATRAVESANDO PREDIOS CERCADOS CON AUTORIZACIÓN PREVIA DE TITULARES. LA PARTE ALTA (relictos de bosque seco mejor conservado, &gt;450 msnm) NO FUE ACCESIBLE por pendiente &gt;40% y ausencia de senderos. CONSISTENCIA: microcuenca y área se autocompletan desde Bloques V4 (C1077-Q9566; 160.98 ha); EL DATO PRELIMINAR DE CAMPO REGISTRABA «M6» Y 214.6 ha. Coordenadas = punto de muestreo (611 500 E · 9 419 250 N); centroide maestro 611 305 E · 9 419 274 N. POR VERIFICAR: escarpes activos, reptación de suelo (indicios no concluyentes) y evidencia de deslizamientos antiguos.</t>
        </is>
      </c>
      <c r="B18" s="42" t="n"/>
      <c r="C18" s="42" t="n"/>
      <c r="D18" s="42" t="n"/>
      <c r="E18" s="42" t="n"/>
      <c r="F18" s="42" t="n"/>
      <c r="G18" s="43" t="n"/>
    </row>
  </sheetData>
  <mergeCells count="8">
    <mergeCell ref="A1:G1"/>
    <mergeCell ref="A18:G18"/>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M6B2-3</t>
        </is>
      </c>
    </row>
    <row r="6" ht="24" customHeight="1">
      <c r="A6" s="4" t="inlineStr">
        <is>
          <t>Distrito de Buenos Aires · Provincia de Morropon · Comparación de los bloques preliminares de intervención de la misma microcuenca</t>
        </is>
      </c>
    </row>
    <row r="7"/>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M6B2-1</t>
        </is>
      </c>
      <c r="B10" s="28" t="n">
        <v>514.36</v>
      </c>
      <c r="C10" s="19" t="n">
        <v>33.1</v>
      </c>
      <c r="D10" s="11" t="inlineStr">
        <is>
          <t>181 – 504</t>
        </is>
      </c>
      <c r="E10" s="11" t="n">
        <v>323</v>
      </c>
      <c r="F10" s="11" t="n">
        <v>16.84</v>
      </c>
      <c r="G10" s="18" t="n">
        <v>0.3381</v>
      </c>
      <c r="H10" s="19" t="n">
        <v>0.98</v>
      </c>
      <c r="I10" s="19" t="n">
        <v>98.98999999999999</v>
      </c>
    </row>
    <row r="11">
      <c r="A11" s="12" t="inlineStr">
        <is>
          <t>M6B2-2</t>
        </is>
      </c>
      <c r="B11" s="29" t="n">
        <v>333.01</v>
      </c>
      <c r="C11" s="21" t="n">
        <v>21.43</v>
      </c>
      <c r="D11" s="13" t="inlineStr">
        <is>
          <t>195 – 440</t>
        </is>
      </c>
      <c r="E11" s="13" t="n">
        <v>245</v>
      </c>
      <c r="F11" s="13" t="n">
        <v>14.33</v>
      </c>
      <c r="G11" s="20" t="n">
        <v>0.3026</v>
      </c>
      <c r="H11" s="21" t="n">
        <v>0.68</v>
      </c>
      <c r="I11" s="21" t="n">
        <v>99</v>
      </c>
    </row>
    <row r="12">
      <c r="A12" s="7" t="inlineStr">
        <is>
          <t>5</t>
        </is>
      </c>
      <c r="B12" s="28" t="n">
        <v>295.73</v>
      </c>
      <c r="C12" s="19" t="n">
        <v>19.03</v>
      </c>
      <c r="D12" s="11" t="inlineStr">
        <is>
          <t>150 – 377</t>
        </is>
      </c>
      <c r="E12" s="11" t="n">
        <v>227</v>
      </c>
      <c r="F12" s="11" t="n">
        <v>18.57</v>
      </c>
      <c r="G12" s="18" t="n">
        <v>0.3394</v>
      </c>
      <c r="H12" s="19" t="n">
        <v>5.59</v>
      </c>
      <c r="I12" s="19" t="n">
        <v>99.84999999999999</v>
      </c>
    </row>
    <row r="13">
      <c r="A13" s="12" t="inlineStr">
        <is>
          <t>M6B10</t>
        </is>
      </c>
      <c r="B13" s="29" t="n">
        <v>249.89</v>
      </c>
      <c r="C13" s="21" t="n">
        <v>16.08</v>
      </c>
      <c r="D13" s="13" t="inlineStr">
        <is>
          <t>158 – 537</t>
        </is>
      </c>
      <c r="E13" s="13" t="n">
        <v>379</v>
      </c>
      <c r="F13" s="13" t="n">
        <v>20.6</v>
      </c>
      <c r="G13" s="20" t="n">
        <v>0.3099</v>
      </c>
      <c r="H13" s="21" t="n">
        <v>0.08</v>
      </c>
      <c r="I13" s="21" t="n">
        <v>99.83</v>
      </c>
    </row>
    <row r="14">
      <c r="A14" s="14" t="inlineStr">
        <is>
          <t>► M6B2-3</t>
        </is>
      </c>
      <c r="B14" s="30" t="n">
        <v>160.98</v>
      </c>
      <c r="C14" s="31" t="n">
        <v>10.36</v>
      </c>
      <c r="D14" s="15" t="inlineStr">
        <is>
          <t>166 – 557</t>
        </is>
      </c>
      <c r="E14" s="15" t="n">
        <v>391</v>
      </c>
      <c r="F14" s="15" t="n">
        <v>19.78</v>
      </c>
      <c r="G14" s="32" t="n">
        <v>0.4063</v>
      </c>
      <c r="H14" s="31" t="n">
        <v>4.92</v>
      </c>
      <c r="I14" s="31" t="n">
        <v>90.48999999999999</v>
      </c>
    </row>
    <row r="15">
      <c r="A15" s="16" t="inlineStr">
        <is>
          <t>TOTAL / PROMEDIO</t>
        </is>
      </c>
      <c r="B15" s="33">
        <f>SUM(B10:B14)</f>
        <v>1553.97</v>
      </c>
      <c r="C15" s="23">
        <f>SUM(C10:C14)</f>
        <v>100.0</v>
      </c>
      <c r="D15" s="17" t="inlineStr">
        <is>
          <t>150 – 557</t>
        </is>
      </c>
      <c r="E15" s="17" t="inlineStr"/>
      <c r="F15" s="17">
        <f>ROUND(AVERAGE(F10:F14),2)</f>
        <v>18.02</v>
      </c>
      <c r="G15" s="22">
        <f>ROUND(AVERAGE(G10:G14),4)</f>
        <v>0.3393</v>
      </c>
      <c r="H15" s="23">
        <f>ROUND(AVERAGE(H10:H14),2)</f>
        <v>2.45</v>
      </c>
      <c r="I15" s="23">
        <f>ROUND(AVERAGE(I10:I14),2)</f>
        <v>97.63</v>
      </c>
    </row>
    <row r="16"/>
    <row r="17" ht="84" customHeight="1">
      <c r="A17" s="9" t="inlineStr">
        <is>
          <t>LECTURA INTRAMICROCUENCA. El bloque M6B2-3 ocupa el puesto 5 de 5 por superficie dentro de la microcuenca C1077-Q9566 (10.36 % de las 1553.97 ha preliminares de la microcuenca). Su pendiente promedio (19.78 %, clase «15-25% (Fuert. inclinado)») es la 4.ª más baja de 5 y se sitúa por encima del promedio de la microcuenca (18.02 %). Su MSAVI 2024 (0.4063) es el 1.º de 5 y queda por encima del promedio local (0.3393). Amplitud altitudinal del bloque: 391 m (166–557 msnm). El cuadro conserva todos los bloques catalogados en la microcuenca, incluidos los descartados en el tamizaje, para referencia del conjunto. Los bloques sin ficha DT figuran con sus parámetros de gabinete. BRECHA ESPECTRAL. El 90.49 % de la superficie del bloque (145.674 ha de 160.978 ha) se sitúa bajo el umbral MSAVI 0.4976, por debajo del promedio local de la microcuenca (97.63 %) calculado sobre los bloques con dato MSAVI disponible.</t>
        </is>
      </c>
      <c r="B17" s="42" t="n"/>
      <c r="C17" s="42" t="n"/>
      <c r="D17" s="42" t="n"/>
      <c r="E17" s="42" t="n"/>
      <c r="F17" s="42" t="n"/>
      <c r="G17" s="42" t="n"/>
      <c r="H17" s="43" t="n"/>
    </row>
    <row r="18"/>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2" t="n"/>
      <c r="C19" s="42" t="n"/>
      <c r="D19" s="42" t="n"/>
      <c r="E19" s="42" t="n"/>
      <c r="F19" s="42" t="n"/>
      <c r="G19" s="42" t="n"/>
      <c r="H19" s="43" t="n"/>
    </row>
  </sheetData>
  <mergeCells count="9">
    <mergeCell ref="A1:I1"/>
    <mergeCell ref="A4:I4"/>
    <mergeCell ref="A3:I3"/>
    <mergeCell ref="A2:I2"/>
    <mergeCell ref="A19:I19"/>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M6B2-3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«C1077-Q9566»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196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(161.058 ha) coincide con la de catálogo (160.98 ha) dentro del ±2 % (+0.05 %)</t>
        </is>
      </c>
      <c r="D12" s="35" t="inlineStr">
        <is>
          <t>CONFORME</t>
        </is>
      </c>
      <c r="E12" s="34" t="inlineStr">
        <is>
          <t>Sin acción: la segmentación valida la geometría del bloque.</t>
        </is>
      </c>
    </row>
    <row r="13" ht="48" customHeight="1">
      <c r="A13" s="36" t="inlineStr">
        <is>
          <t>D-04</t>
        </is>
      </c>
      <c r="B13" s="36" t="inlineStr">
        <is>
          <t>Elenco florístico</t>
        </is>
      </c>
      <c r="C13" s="36" t="inlineStr">
        <is>
          <t>La ficha registra 12 taxones, por debajo del mínimo de 15 que exige el formato V5</t>
        </is>
      </c>
      <c r="D13" s="37" t="inlineStr">
        <is>
          <t>SUSTANTIVA</t>
        </is>
      </c>
      <c r="E13" s="36" t="inlineStr">
        <is>
          <t>Registro florístico preliminar, sin colecta ni determinación botánica formal. Debe cerrarse con colecta botánica en la siguiente campaña.</t>
        </is>
      </c>
    </row>
    <row r="14" ht="48" customHeight="1">
      <c r="A14" s="34" t="inlineStr">
        <is>
          <t>D-05</t>
        </is>
      </c>
      <c r="B14" s="34" t="inlineStr">
        <is>
          <t>Representatividad del levantamiento</t>
        </is>
      </c>
      <c r="C14" s="34" t="inlineStr">
        <is>
          <t>Ninguna de las estaciones fotográficas georreferenciadas se localiza dentro del polígono del bloque</t>
        </is>
      </c>
      <c r="D14" s="37" t="inlineStr">
        <is>
          <t>SUSTANTIVA</t>
        </is>
      </c>
      <c r="E14" s="34" t="inlineStr">
        <is>
          <t>La verificación documenta el perímetro y la vista panorámica del bloque, no su interior. Los parámetros que exigen recorrido interno se consignan «Por determinar».</t>
        </is>
      </c>
    </row>
    <row r="15" ht="48" customHeight="1">
      <c r="A15" s="36" t="inlineStr">
        <is>
          <t>D-06</t>
        </is>
      </c>
      <c r="B15" s="36" t="inlineStr">
        <is>
          <t>Centro poblado asociado</t>
        </is>
      </c>
      <c r="C15" s="36" t="inlineStr">
        <is>
          <t>La ficha DT declara «Caserío Pedregal»; el cruce INEI-Bloques V5 identifica 2 centro(s) poblado(s) en el bloque: PEDREGAL, PUEBLO NUEVO</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Plan de Ingreso</t>
        </is>
      </c>
      <c r="C17" s="36" t="inlineStr">
        <is>
          <t>Altitud = 0 msnm (captura por defecto del aplicativo)</t>
        </is>
      </c>
      <c r="D17" s="38" t="inlineStr">
        <is>
          <t>CORREGIDO</t>
        </is>
      </c>
      <c r="E17" s="36" t="inlineStr">
        <is>
          <t>Se reemplaza por la altitud GPS de campo (340 msnm)</t>
        </is>
      </c>
    </row>
    <row r="18" ht="48" customHeight="1">
      <c r="A18" s="34" t="inlineStr">
        <is>
          <t>D-09</t>
        </is>
      </c>
      <c r="B18" s="34" t="inlineStr">
        <is>
          <t>F-DT-01</t>
        </is>
      </c>
      <c r="C18" s="34" t="inlineStr">
        <is>
          <t>El dato preliminar de campo registraba «M6» y 214.6 ha frente a C1077-Q9566 y 160.98 ha del catálogo</t>
        </is>
      </c>
      <c r="D18" s="15" t="inlineStr">
        <is>
          <t>NO SUSTANTIVA</t>
        </is>
      </c>
      <c r="E18" s="34" t="inlineStr">
        <is>
          <t>Se conserva el valor del catálogo; declarado en la propia ficha</t>
        </is>
      </c>
    </row>
    <row r="19" ht="48" customHeight="1">
      <c r="A19" s="36" t="inlineStr">
        <is>
          <t>D-10</t>
        </is>
      </c>
      <c r="B19" s="36" t="inlineStr">
        <is>
          <t>F-DT-01</t>
        </is>
      </c>
      <c r="C19" s="36" t="inlineStr">
        <is>
          <t>La parte alta (&gt;450 msnm), con los relictos de bosque mejor conservados, NO fue accesible</t>
        </is>
      </c>
      <c r="D19" s="37" t="inlineStr">
        <is>
          <t>SUSTANTIVA</t>
        </is>
      </c>
      <c r="E19" s="36" t="inlineStr">
        <is>
          <t>Caracterización del sector alto pendiente</t>
        </is>
      </c>
    </row>
    <row r="20" ht="48" customHeight="1">
      <c r="A20" s="34" t="inlineStr">
        <is>
          <t>D-11</t>
        </is>
      </c>
      <c r="B20" s="34" t="inlineStr">
        <is>
          <t>F-DT-01</t>
        </is>
      </c>
      <c r="C20" s="34" t="inlineStr">
        <is>
          <t>Escarpes activos, reptación y deslizamientos antiguos con indicios no concluyentes</t>
        </is>
      </c>
      <c r="D20" s="37" t="inlineStr">
        <is>
          <t>SUSTANTIVA</t>
        </is>
      </c>
      <c r="E20" s="34" t="inlineStr">
        <is>
          <t>Verificación pendiente</t>
        </is>
      </c>
    </row>
    <row r="21" ht="48" customHeight="1">
      <c r="A21" s="36" t="inlineStr">
        <is>
          <t>D-12</t>
        </is>
      </c>
      <c r="B21" s="36" t="inlineStr">
        <is>
          <t>F-DT-03</t>
        </is>
      </c>
      <c r="C21" s="36" t="inlineStr">
        <is>
          <t>Inventario florístico preliminar (12 especies) sin colecta ni confirmación de herbario</t>
        </is>
      </c>
      <c r="D21" s="37" t="inlineStr">
        <is>
          <t>SUSTANTIVA</t>
        </is>
      </c>
      <c r="E21" s="36" t="inlineStr">
        <is>
          <t>Determinación botánica pendiente</t>
        </is>
      </c>
    </row>
    <row r="22" ht="48" customHeight="1">
      <c r="A22" s="34" t="inlineStr">
        <is>
          <t>D-13</t>
        </is>
      </c>
      <c r="B22" s="34" t="inlineStr">
        <is>
          <t>F-DT-03</t>
        </is>
      </c>
      <c r="C22" s="34" t="inlineStr">
        <is>
          <t>La mayoría de parámetros estructurales se expresan como rangos y no como valores puntuales</t>
        </is>
      </c>
      <c r="D22" s="15" t="inlineStr">
        <is>
          <t>NO SUSTANTIVA</t>
        </is>
      </c>
      <c r="E22" s="34" t="inlineStr">
        <is>
          <t>Normalizar el registro</t>
        </is>
      </c>
    </row>
    <row r="23" ht="48" customHeight="1">
      <c r="A23" s="36" t="inlineStr">
        <is>
          <t>D-14</t>
        </is>
      </c>
      <c r="B23" s="36" t="inlineStr">
        <is>
          <t>F-DT-04</t>
        </is>
      </c>
      <c r="C23" s="36" t="inlineStr">
        <is>
          <t>Cobertura vegetal total 55-85% calificada «Bajo», incompatible con el umbral de la propia ficha</t>
        </is>
      </c>
      <c r="D23" s="37" t="inlineStr">
        <is>
          <t>SUSTANTIVA</t>
        </is>
      </c>
      <c r="E23" s="36" t="inlineStr">
        <is>
          <t>Recalificar</t>
        </is>
      </c>
    </row>
    <row r="24" ht="48" customHeight="1">
      <c r="A24" s="34" t="inlineStr">
        <is>
          <t>D-15</t>
        </is>
      </c>
      <c r="B24" s="34" t="inlineStr">
        <is>
          <t>F-DT-04</t>
        </is>
      </c>
      <c r="C24" s="34" t="inlineStr">
        <is>
          <t>Carga ganadera y distancia a vía vecinal sin valor; extensiones y antigüedades de las causas sin cuantificar</t>
        </is>
      </c>
      <c r="D24" s="37" t="inlineStr">
        <is>
          <t>SUSTANTIVA</t>
        </is>
      </c>
      <c r="E24" s="34" t="inlineStr">
        <is>
          <t>Cuantificación pendiente</t>
        </is>
      </c>
    </row>
    <row r="25" ht="48" customHeight="1">
      <c r="A25" s="36" t="inlineStr">
        <is>
          <t>D-16</t>
        </is>
      </c>
      <c r="B25" s="36" t="inlineStr">
        <is>
          <t>F-DT-05</t>
        </is>
      </c>
      <c r="C25" s="36" t="inlineStr">
        <is>
          <t>Predios privados cercados que requieren autorización de titulares para el ingreso</t>
        </is>
      </c>
      <c r="D25" s="37" t="inlineStr">
        <is>
          <t>SUSTANTIVA</t>
        </is>
      </c>
      <c r="E25" s="36" t="inlineStr">
        <is>
          <t>Gestión predial previa indispensable</t>
        </is>
      </c>
    </row>
    <row r="26" ht="48" customHeight="1">
      <c r="A26" s="34" t="inlineStr">
        <is>
          <t>D-17</t>
        </is>
      </c>
      <c r="B26" s="34" t="inlineStr">
        <is>
          <t>F-DT-05</t>
        </is>
      </c>
      <c r="C26" s="34" t="inlineStr">
        <is>
          <t>La quebrada central drena hacia el Caserío Pedregal y la planicie agrícola: conectividad de riesgo ALTA</t>
        </is>
      </c>
      <c r="D26" s="37" t="inlineStr">
        <is>
          <t>SUSTANTIVA</t>
        </is>
      </c>
      <c r="E26" s="34" t="inlineStr">
        <is>
          <t>Elemento expuesto: incorporar al análisis de riesgo</t>
        </is>
      </c>
    </row>
    <row r="27" ht="48" customHeight="1">
      <c r="A27" s="34" t="inlineStr">
        <is>
          <t>D-18</t>
        </is>
      </c>
      <c r="B27" s="34" t="inlineStr">
        <is>
          <t>Distribución areal MSAVI 2024</t>
        </is>
      </c>
      <c r="C27" s="34" t="inlineStr">
        <is>
          <t>La distribución por clase de MSAVI no figuraba en los insumos del entregable y se consignaba «Por determinar»; se incorpora la estadística zonal del ráster MSAVI clasificado (399 polígonos, 160.978 ha)</t>
        </is>
      </c>
      <c r="D27" s="37" t="inlineStr">
        <is>
          <t>CORREGIDO</t>
        </is>
      </c>
      <c r="E2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8" ht="48" customHeight="1">
      <c r="A28" s="34" t="inlineStr">
        <is>
          <t>D-19</t>
        </is>
      </c>
      <c r="B28" s="34" t="inlineStr">
        <is>
          <t>Superficie MSAVI vs. catálogo</t>
        </is>
      </c>
      <c r="C28" s="34" t="inlineStr">
        <is>
          <t>La superficie total clasificada por el MSAVI 2024 (160.978 ha) frente a la de catálogo V5/V6 (160.980 ha): desviación de +0.00 %</t>
        </is>
      </c>
      <c r="D28" s="37" t="inlineStr">
        <is>
          <t>CONFORME</t>
        </is>
      </c>
      <c r="E28" s="34" t="inlineStr">
        <is>
          <t>Sin acción: la segmentación del ráster valida la geometría del bloque dentro del ±2 %.</t>
        </is>
      </c>
    </row>
    <row r="29" ht="48" customHeight="1">
      <c r="A29" s="34" t="inlineStr">
        <is>
          <t>D-20</t>
        </is>
      </c>
      <c r="B29" s="34" t="inlineStr">
        <is>
          <t>Media MSAVI vs. clase DN dominante</t>
        </is>
      </c>
      <c r="C29" s="34" t="inlineStr">
        <is>
          <t>La media del bloque (0.4063) cae en la clase «DN 3 · 0.3813 - 0.4976 (Vigor bajo)»; la clase de mayor superficie es «DN 3 · 0.3813 - 0.4976 (Vigor bajo)», con 54.13 % del bloque. Superficie bajo el umbral 0.4976: 145.674 ha (90.49 %)</t>
        </is>
      </c>
      <c r="D29" s="37" t="inlineStr">
        <is>
          <t>CONFORME</t>
        </is>
      </c>
      <c r="E29" s="34" t="inlineStr">
        <is>
          <t>Sin acción: la media del bloque y la clase de mayor superficie coinciden.</t>
        </is>
      </c>
    </row>
    <row r="30"/>
    <row r="31">
      <c r="A31" s="16" t="inlineStr">
        <is>
          <t>RESUMEN</t>
        </is>
      </c>
      <c r="B31" s="17" t="inlineStr">
        <is>
          <t>20 verificaciones</t>
        </is>
      </c>
      <c r="C31" s="17" t="inlineStr">
        <is>
          <t>CONFORME: 6 · CORREGIDO: 2 · NO SUSTANTIVA: 2 · SUSTANTIVA: 10</t>
        </is>
      </c>
      <c r="D31" s="17" t="inlineStr"/>
      <c r="E31" s="17" t="inlineStr"/>
    </row>
    <row r="32"/>
    <row r="33" ht="60" customHeight="1">
      <c r="A3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3" s="42" t="n"/>
      <c r="C33" s="42" t="n"/>
      <c r="D33" s="42" t="n"/>
      <c r="E33" s="43" t="n"/>
    </row>
  </sheetData>
  <mergeCells count="8">
    <mergeCell ref="A4:E4"/>
    <mergeCell ref="A2:E2"/>
    <mergeCell ref="A33:E33"/>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M6B2-3 — IN Piura</dc:title>
  <dc:subject>Diagnóstico Territorial por bloque de intervención</dc:subject>
  <dcterms:created xsi:type="dcterms:W3CDTF">2026-09-08T03:39:54Z</dcterms:created>
  <dcterms:modified xsi:type="dcterms:W3CDTF">2026-09-10T00:28:33Z</dcterms:modified>
</cp:coreProperties>
</file>