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81</t>
        </is>
      </c>
      <c r="C9" s="6" t="inlineStr">
        <is>
          <t>Microcuenca (catálogo)</t>
        </is>
      </c>
      <c r="D9" s="7" t="inlineStr">
        <is>
          <t>C1076-Q9585</t>
        </is>
      </c>
      <c r="E9" s="8" t="n"/>
      <c r="F9" s="8" t="n"/>
    </row>
    <row r="10">
      <c r="A10" s="6" t="inlineStr">
        <is>
          <t>Zona de planificación</t>
        </is>
      </c>
      <c r="B10" s="7" t="inlineStr">
        <is>
          <t>Z11</t>
        </is>
      </c>
      <c r="C10" s="6" t="inlineStr">
        <is>
          <t>Microcuenca declarada en ficha DT</t>
        </is>
      </c>
      <c r="D10" s="7" t="inlineStr">
        <is>
          <t>C1076-Q9585</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Hualtacal</t>
        </is>
      </c>
      <c r="C13" s="6" t="inlineStr">
        <is>
          <t>Comunidad campesina</t>
        </is>
      </c>
      <c r="D13" s="7" t="inlineStr">
        <is>
          <t>Por verificar</t>
        </is>
      </c>
      <c r="E13" s="8" t="n"/>
      <c r="F13" s="8" t="n"/>
    </row>
    <row r="14">
      <c r="A14" s="6" t="inlineStr">
        <is>
          <t>Superficie de catálogo (V5/V6), ha</t>
        </is>
      </c>
      <c r="B14" s="7" t="n">
        <v>8.93</v>
      </c>
      <c r="C14" s="6" t="inlineStr">
        <is>
          <t>Fuente de superficie</t>
        </is>
      </c>
      <c r="D14" s="7" t="inlineStr">
        <is>
          <t>Catálogo maestro Bloques V5/V6</t>
        </is>
      </c>
      <c r="E14" s="8" t="n"/>
      <c r="F14" s="8" t="n"/>
    </row>
    <row r="15">
      <c r="A15" s="6" t="inlineStr">
        <is>
          <t>Centroide UTM ESTE (m)</t>
        </is>
      </c>
      <c r="B15" s="7" t="n">
        <v>641538</v>
      </c>
      <c r="C15" s="6" t="inlineStr">
        <is>
          <t>Centroide UTM NORTE (m)</t>
        </is>
      </c>
      <c r="D15" s="7" t="n">
        <v>9401360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272</v>
      </c>
      <c r="C19" s="6" t="inlineStr">
        <is>
          <t>Altitud máxima (msnm)</t>
        </is>
      </c>
      <c r="D19" s="7" t="n">
        <v>371</v>
      </c>
      <c r="E19" s="8" t="n"/>
      <c r="F19" s="8" t="n"/>
    </row>
    <row r="20">
      <c r="A20" s="6" t="inlineStr">
        <is>
          <t>Amplitud altitudinal (m)</t>
        </is>
      </c>
      <c r="B20" s="7" t="n">
        <v>99</v>
      </c>
      <c r="C20" s="6" t="inlineStr">
        <is>
          <t>Piso altitudinal dominante</t>
        </is>
      </c>
      <c r="D20" s="7" t="inlineStr">
        <is>
          <t>&lt;1000 m (Yunga)</t>
        </is>
      </c>
      <c r="E20" s="8" t="n"/>
      <c r="F20" s="8" t="n"/>
    </row>
    <row r="21">
      <c r="A21" s="6" t="inlineStr">
        <is>
          <t>Pendiente promedio (%)</t>
        </is>
      </c>
      <c r="B21" s="7" t="n">
        <v>16.05</v>
      </c>
      <c r="C21" s="6" t="inlineStr">
        <is>
          <t>Pendiente promedio (grados)</t>
        </is>
      </c>
      <c r="D21" s="7" t="n">
        <v>9.1</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0.2747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(75.21 %)</t>
        </is>
      </c>
      <c r="E29" s="8" t="n"/>
      <c r="F29" s="8" t="n"/>
    </row>
    <row r="30">
      <c r="A30" s="6" t="inlineStr">
        <is>
          <t>Superficie clasificada NDVI 2025 (ha)</t>
        </is>
      </c>
      <c r="B30" s="7" t="n">
        <v>8.930999999999999</v>
      </c>
      <c r="C30" s="6" t="inlineStr">
        <is>
          <t>Desviación frente al catálogo (%)</t>
        </is>
      </c>
      <c r="D30" s="7" t="n">
        <v>0.02</v>
      </c>
      <c r="E30" s="8" t="n"/>
      <c r="F30" s="8" t="n"/>
    </row>
    <row r="31">
      <c r="A31" s="6" t="inlineStr">
        <is>
          <t>Superficie clasificada MSAVI 2024 (ha)</t>
        </is>
      </c>
      <c r="B31" s="37" t="n">
        <v>8.929</v>
      </c>
      <c r="C31" s="6" t="inlineStr">
        <is>
          <t>Desviación MSAVI frente al catálogo (%)</t>
        </is>
      </c>
      <c r="D31" s="38" t="n">
        <v>-0.01</v>
      </c>
      <c r="E31" s="8" t="n"/>
      <c r="F31" s="8" t="n"/>
    </row>
    <row r="32">
      <c r="A32" s="6" t="inlineStr">
        <is>
          <t>Superficie bajo umbral MSAVI 0.4976 (ha)</t>
        </is>
      </c>
      <c r="B32" s="37" t="n">
        <v>8.929</v>
      </c>
      <c r="C32" s="6" t="inlineStr">
        <is>
          <t>% del bloque bajo umbral (brecha espectral)</t>
        </is>
      </c>
      <c r="D32" s="38" t="n">
        <v>100</v>
      </c>
      <c r="E32" s="8" t="n"/>
      <c r="F32" s="8" t="n"/>
    </row>
    <row r="33">
      <c r="A33" s="6" t="inlineStr">
        <is>
          <t>Clase DN dominante (MSAVI 2024)</t>
        </is>
      </c>
      <c r="B33" s="7" t="inlineStr">
        <is>
          <t>DN 2 · 0.2650 - 0.3813 (Vigor muy bajo)</t>
        </is>
      </c>
      <c r="C33" s="6" t="inlineStr">
        <is>
          <t>N.° de polígonos MSAVI del bloque</t>
        </is>
      </c>
      <c r="D33" s="39" t="n">
        <v>52</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8.93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2026-07-20</t>
        </is>
      </c>
      <c r="E44" s="8" t="n"/>
      <c r="F44" s="8" t="n"/>
    </row>
    <row r="45">
      <c r="A45" s="6" t="inlineStr">
        <is>
          <t>Hora de registro</t>
        </is>
      </c>
      <c r="B45" s="7" t="inlineStr">
        <is>
          <t>11:43-12:15</t>
        </is>
      </c>
      <c r="C45" s="6" t="inlineStr">
        <is>
          <t>Correlativo de ficha</t>
        </is>
      </c>
      <c r="D45" s="7"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consignada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Demanda de leña y presión agropecuaria comunal sobre el bosque seco, sin prácticas de manejo y conservación</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v>
      </c>
      <c r="C11" s="21">
        <f>ROUND(B11/$B$15*100,2)</f>
        <v/>
      </c>
      <c r="D11" s="13" t="inlineStr">
        <is>
          <t>Vigor moderado</t>
        </is>
      </c>
      <c r="E11" s="13" t="inlineStr">
        <is>
          <t>Sobre umbral</t>
        </is>
      </c>
    </row>
    <row r="12">
      <c r="A12" s="7" t="inlineStr">
        <is>
          <t>0.3813 - 0.4976 · DN 3</t>
        </is>
      </c>
      <c r="B12" s="18" t="n">
        <v>0.1365</v>
      </c>
      <c r="C12" s="19">
        <f>ROUND(B12/$B$15*100,2)</f>
        <v/>
      </c>
      <c r="D12" s="11" t="inlineStr">
        <is>
          <t>Vigor bajo</t>
        </is>
      </c>
      <c r="E12" s="11" t="inlineStr">
        <is>
          <t>BAJO umbral 0.4976</t>
        </is>
      </c>
    </row>
    <row r="13">
      <c r="A13" s="14" t="inlineStr">
        <is>
          <t>0.2650 - 0.3813 · DN 2</t>
        </is>
      </c>
      <c r="B13" s="31" t="n">
        <v>4.8342</v>
      </c>
      <c r="C13" s="30">
        <f>ROUND(B13/$B$15*100,2)</f>
        <v/>
      </c>
      <c r="D13" s="15" t="inlineStr">
        <is>
          <t>Vigor muy bajo</t>
        </is>
      </c>
      <c r="E13" s="15" t="inlineStr">
        <is>
          <t>BAJO umbral 0.4976</t>
        </is>
      </c>
    </row>
    <row r="14">
      <c r="A14" s="7" t="inlineStr">
        <is>
          <t>&lt;= 0.2650 · DN 1</t>
        </is>
      </c>
      <c r="B14" s="18" t="n">
        <v>3.958</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52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8.93</v>
      </c>
      <c r="C18" s="48" t="inlineStr">
        <is>
          <t>—</t>
        </is>
      </c>
      <c r="D18" s="45" t="inlineStr">
        <is>
          <t>Desviación planimétrica frente al catálogo</t>
        </is>
      </c>
      <c r="E18" s="45" t="inlineStr">
        <is>
          <t>-0.01 %</t>
        </is>
      </c>
    </row>
    <row r="19">
      <c r="A19" s="16" t="inlineStr">
        <is>
          <t>MSAVI 2024 — MEDIA DEL BLOQUE</t>
        </is>
      </c>
      <c r="B19" s="17" t="n">
        <v>0.274714</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(0.2747)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1.2826</v>
      </c>
      <c r="C25" s="19" t="n">
        <v>14.36</v>
      </c>
      <c r="D25" s="11" t="inlineStr">
        <is>
          <t>Pastizal cultivado, matorral ralo, parcelas agrícolas</t>
        </is>
      </c>
      <c r="E25" s="11" t="inlineStr"/>
    </row>
    <row r="26">
      <c r="A26" s="12" t="inlineStr">
        <is>
          <t>Vegetación ligera</t>
        </is>
      </c>
      <c r="B26" s="20" t="n">
        <v>6.7175</v>
      </c>
      <c r="C26" s="21" t="n">
        <v>75.20999999999999</v>
      </c>
      <c r="D26" s="13" t="inlineStr">
        <is>
          <t>Cobertura discontinua, suelo parcialmente expuesto</t>
        </is>
      </c>
      <c r="E26" s="13" t="inlineStr"/>
    </row>
    <row r="27">
      <c r="A27" s="7" t="inlineStr">
        <is>
          <t>Tierra desnuda</t>
        </is>
      </c>
      <c r="B27" s="18" t="n">
        <v>0.9313</v>
      </c>
      <c r="C27" s="19" t="n">
        <v>10.43</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8.93</v>
      </c>
      <c r="C29" s="25" t="inlineStr">
        <is>
          <t>—</t>
        </is>
      </c>
      <c r="D29" s="25" t="inlineStr">
        <is>
          <t>Desviación planimétrica frente al catálogo</t>
        </is>
      </c>
      <c r="E29" s="25" t="inlineStr">
        <is>
          <t>+0.02 %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0.00 % del polígono clasificado como «Vegetación alta» por el NDVI 2025; la observación de campo corresponde a una parcela o recorrido puntual y no es estadísticamente representativa de las 8.930 ha del bloque.</t>
        </is>
      </c>
      <c r="B31" s="40" t="n"/>
      <c r="C31" s="40" t="n"/>
      <c r="D31" s="40" t="n"/>
      <c r="E31" s="41"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81</t>
        </is>
      </c>
    </row>
    <row r="6" ht="24" customHeight="1">
      <c r="A6" s="4" t="inlineStr">
        <is>
          <t>Levantamiento del 2026-07-20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E-01</t>
        </is>
      </c>
      <c r="B10" s="11" t="inlineStr">
        <is>
          <t>Rasgo erosivo — Surco/cárcava</t>
        </is>
      </c>
      <c r="C10" s="26" t="n">
        <v>641368</v>
      </c>
      <c r="D10" s="26" t="n">
        <v>9401094</v>
      </c>
      <c r="E10" s="11" t="n">
        <v>315.7</v>
      </c>
      <c r="F10" s="11" t="inlineStr">
        <is>
          <t>Activa</t>
        </is>
      </c>
      <c r="G10" s="11" t="inlineStr">
        <is>
          <t>Caminos / huellas de ganado</t>
        </is>
      </c>
    </row>
    <row r="11">
      <c r="A11" s="12" t="inlineStr">
        <is>
          <t>E-02</t>
        </is>
      </c>
      <c r="B11" s="13" t="inlineStr">
        <is>
          <t>Rasgo erosivo — Surco/cárcava</t>
        </is>
      </c>
      <c r="C11" s="27" t="n">
        <v>641365</v>
      </c>
      <c r="D11" s="27" t="n">
        <v>9401097</v>
      </c>
      <c r="E11" s="13" t="n">
        <v>314.8</v>
      </c>
      <c r="F11" s="13" t="inlineStr">
        <is>
          <t>Semi-activa</t>
        </is>
      </c>
      <c r="G11" s="13" t="inlineStr">
        <is>
          <t>Socavamiento de cauce</t>
        </is>
      </c>
    </row>
    <row r="12">
      <c r="A12" s="7" t="inlineStr">
        <is>
          <t>H-01</t>
        </is>
      </c>
      <c r="B12" s="11" t="inlineStr">
        <is>
          <t>Fuente de agua — Quebrada permanente</t>
        </is>
      </c>
      <c r="C12" s="26" t="n">
        <v>641365</v>
      </c>
      <c r="D12" s="26" t="n">
        <v>9401097</v>
      </c>
      <c r="E12" s="11" t="n">
        <v>314.8</v>
      </c>
      <c r="F12" s="11" t="inlineStr">
        <is>
          <t>Permanente</t>
        </is>
      </c>
      <c r="G12" s="11" t="inlineStr">
        <is>
          <t>Discurre por el borde</t>
        </is>
      </c>
    </row>
    <row r="13">
      <c r="A13" s="12" t="inlineStr">
        <is>
          <t>H-02</t>
        </is>
      </c>
      <c r="B13" s="13" t="inlineStr">
        <is>
          <t>Fuente de agua — Canal de riego</t>
        </is>
      </c>
      <c r="C13" s="27" t="n">
        <v>641626</v>
      </c>
      <c r="D13" s="27" t="n">
        <v>9401035</v>
      </c>
      <c r="E13" s="13" t="n">
        <v>336.7</v>
      </c>
      <c r="F13" s="13" t="inlineStr">
        <is>
          <t>Permanente</t>
        </is>
      </c>
      <c r="G13" s="13" t="inlineStr">
        <is>
          <t>Canal revestido en operación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641538</v>
      </c>
      <c r="C16" s="6" t="inlineStr">
        <is>
          <t>Centroide del bloque — UTM NORTE (m)</t>
        </is>
      </c>
      <c r="D16" s="7" t="n">
        <v>9401360</v>
      </c>
      <c r="E16" s="8" t="n"/>
      <c r="F16" s="8" t="n"/>
      <c r="G16" s="8" t="n"/>
      <c r="H16" s="8" t="n"/>
    </row>
    <row r="17">
      <c r="A17" s="6" t="inlineStr">
        <is>
          <t>N.° de estaciones fotográficas declaradas</t>
        </is>
      </c>
      <c r="B17" s="7" t="inlineStr">
        <is>
          <t>Sin registro en la ficha DT</t>
        </is>
      </c>
      <c r="C17" s="6" t="inlineStr">
        <is>
          <t>Estaciones dentro del polígono</t>
        </is>
      </c>
      <c r="D17" s="7" t="inlineStr">
        <is>
          <t>Por determinar</t>
        </is>
      </c>
      <c r="E17" s="8" t="n"/>
      <c r="F17" s="8" t="n"/>
      <c r="G17" s="8" t="n"/>
      <c r="H17" s="8" t="n"/>
    </row>
    <row r="19" ht="8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Terreno de la Comunidad Campesina de Andanjo. Opera el Vivero Forestal Hualtacal (Proyecto Pusmalca). Altitud GPS de campo por verificar.</t>
        </is>
      </c>
      <c r="B19" s="40" t="n"/>
      <c r="C19" s="40" t="n"/>
      <c r="D19" s="40" t="n"/>
      <c r="E19" s="40" t="n"/>
      <c r="F19" s="40" t="n"/>
      <c r="G19" s="41"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C1076-Q9585 — BLOQUE 81</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C1076-Q9585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M20B1</t>
        </is>
      </c>
      <c r="B10" s="28" t="n">
        <v>279.68</v>
      </c>
      <c r="C10" s="19" t="n">
        <v>96.91</v>
      </c>
      <c r="D10" s="11" t="inlineStr">
        <is>
          <t>249 – 525</t>
        </is>
      </c>
      <c r="E10" s="11" t="n">
        <v>276</v>
      </c>
      <c r="F10" s="11" t="n">
        <v>15.53</v>
      </c>
      <c r="G10" s="18" t="n">
        <v>0.3553</v>
      </c>
      <c r="H10" s="19" t="n">
        <v>8.960000000000001</v>
      </c>
      <c r="I10" s="19" t="n">
        <v>97.18000000000001</v>
      </c>
    </row>
    <row r="11">
      <c r="A11" s="14" t="inlineStr">
        <is>
          <t>► 81</t>
        </is>
      </c>
      <c r="B11" s="29" t="n">
        <v>8.93</v>
      </c>
      <c r="C11" s="30" t="n">
        <v>3.09</v>
      </c>
      <c r="D11" s="15" t="inlineStr">
        <is>
          <t>272 – 371</t>
        </is>
      </c>
      <c r="E11" s="15" t="n">
        <v>99</v>
      </c>
      <c r="F11" s="15" t="n">
        <v>16.05</v>
      </c>
      <c r="G11" s="31" t="n">
        <v>0.2747</v>
      </c>
      <c r="H11" s="30" t="n">
        <v>0</v>
      </c>
      <c r="I11" s="30" t="n">
        <v>100</v>
      </c>
    </row>
    <row r="12">
      <c r="A12" s="16" t="inlineStr">
        <is>
          <t>TOTAL / PROMEDIO</t>
        </is>
      </c>
      <c r="B12" s="32">
        <f>SUM(B10:B11)</f>
        <v/>
      </c>
      <c r="C12" s="23">
        <f>SUM(C10:C11)</f>
        <v/>
      </c>
      <c r="D12" s="17" t="inlineStr">
        <is>
          <t>249 – 525</t>
        </is>
      </c>
      <c r="E12" s="17" t="inlineStr"/>
      <c r="F12" s="17">
        <f>ROUND(AVERAGE(F10:F11),2)</f>
        <v/>
      </c>
      <c r="G12" s="22">
        <f>ROUND(AVERAGE(G10:G11),4)</f>
        <v/>
      </c>
      <c r="H12" s="23">
        <f>ROUND(AVERAGE(H10:H11),2)</f>
        <v/>
      </c>
      <c r="I12" s="23">
        <f>ROUND(AVERAGE(I10:I11),2)</f>
        <v/>
      </c>
    </row>
    <row r="13"/>
    <row r="14" ht="84" customHeight="1">
      <c r="A14" s="9" t="inlineStr">
        <is>
          <t>LECTURA INTRAMICROCUENCA. El bloque 81 ocupa el puesto 2 de 2 por superficie dentro de la microcuenca C1076-Q9585 (3.09 % de las 288.61 ha preliminares de la microcuenca). Su pendiente promedio (16.05 %, clase «15-25% (Fuert. inclinado)») es la 2.ª más baja de 2 y se sitúa por encima del promedio de la microcuenca (15.79 %). Su MSAVI 2024 (0.2747) es el 2.º de 2 y queda por debajo del promedio local (0.3150). Amplitud altitudinal del bloque: 99 m (272–371 msnm). El cuadro conserva todos los bloques catalogados en la microcuenca, incluidos los descartados en el tamizaje, para referencia del conjunto. Los bloques sin ficha DT figuran con sus parámetros de gabinete. BRECHA ESPECTRAL. El 100.00 % de la superficie del bloque (8.929 ha de 8.929 ha) se sitúa bajo el umbral MSAVI 0.4976, por encima del promedio local de la microcuenca (98.59 %) calculado sobre los bloques con dato MSAVI disponible.</t>
        </is>
      </c>
      <c r="B14" s="40" t="n"/>
      <c r="C14" s="40" t="n"/>
      <c r="D14" s="40" t="n"/>
      <c r="E14" s="40" t="n"/>
      <c r="F14" s="40" t="n"/>
      <c r="G14" s="40" t="n"/>
      <c r="H14" s="41"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1"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«C1076-Q9585»</t>
        </is>
      </c>
      <c r="D10" s="34" t="inlineStr">
        <is>
          <t>CONFORME</t>
        </is>
      </c>
      <c r="E10" s="33" t="inlineStr">
        <is>
          <t>Sin acción.</t>
        </is>
      </c>
    </row>
    <row r="11" ht="48" customHeight="1">
      <c r="A11" s="35" t="inlineStr">
        <is>
          <t>D-02</t>
        </is>
      </c>
      <c r="B11" s="35" t="inlineStr">
        <is>
          <t>UTM del punto de muestreo</t>
        </is>
      </c>
      <c r="C11" s="35" t="inlineStr">
        <is>
          <t>Las celdas de UTM ESTE / NORTE del punto de muestreo están vacías o incompletas en la ficha DT</t>
        </is>
      </c>
      <c r="D11" s="36" t="inlineStr">
        <is>
          <t>SUSTANTIVA</t>
        </is>
      </c>
      <c r="E11" s="35" t="inlineStr">
        <is>
          <t>No se sustituye por el centroide del catálogo. Se consigna «Por registrar en campo».</t>
        </is>
      </c>
    </row>
    <row r="12" ht="48" customHeight="1">
      <c r="A12" s="33" t="inlineStr">
        <is>
          <t>D-03</t>
        </is>
      </c>
      <c r="B12" s="33" t="inlineStr">
        <is>
          <t>Superficie del polígono</t>
        </is>
      </c>
      <c r="C12" s="33" t="inlineStr">
        <is>
          <t>La superficie clasificada por el NDVI 2025 (8.931 ha) coincide con la de catálogo (8.93 ha) dentro del ±2 % (+0.02 %)</t>
        </is>
      </c>
      <c r="D12" s="34" t="inlineStr">
        <is>
          <t>CONFORME</t>
        </is>
      </c>
      <c r="E12" s="33" t="inlineStr">
        <is>
          <t>Sin acción: la segmentación valida la geometría del bloque.</t>
        </is>
      </c>
    </row>
    <row r="13" ht="48" customHeight="1">
      <c r="A13" s="35" t="inlineStr">
        <is>
          <t>D-04</t>
        </is>
      </c>
      <c r="B13" s="35" t="inlineStr">
        <is>
          <t>Cobertura vegetal total</t>
        </is>
      </c>
      <c r="C13" s="35" t="inlineStr">
        <is>
          <t>La ficha DT estima 70 % de cobertura vegetal en campo; el NDVI mediana 2025 clasifica 89.57 % del polígono en clases de vegetación</t>
        </is>
      </c>
      <c r="D13" s="15" t="inlineStr">
        <is>
          <t>NO SUSTANTIVA</t>
        </is>
      </c>
      <c r="E13" s="35"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3" t="inlineStr">
        <is>
          <t>D-05</t>
        </is>
      </c>
      <c r="B14" s="33" t="inlineStr">
        <is>
          <t>Altitud GPS del punto de muestreo</t>
        </is>
      </c>
      <c r="C14" s="33" t="inlineStr">
        <is>
          <t>La aplicación de captura no registró altitud GPS en campo</t>
        </is>
      </c>
      <c r="D14" s="15" t="inlineStr">
        <is>
          <t>NO SUSTANTIVA</t>
        </is>
      </c>
      <c r="E14" s="33" t="inlineStr">
        <is>
          <t>El rango altitudinal del bloque (272–371 msnm) y la pendiente promedio (16.05 %) se toman de la estadística zonal sobre el MDE, no de medición de campo. Se declara la fuente.</t>
        </is>
      </c>
    </row>
    <row r="15" ht="48" customHeight="1">
      <c r="A15" s="35" t="inlineStr">
        <is>
          <t>D-06</t>
        </is>
      </c>
      <c r="B15" s="35" t="inlineStr">
        <is>
          <t>Dimensiones del inventario de cárcavas</t>
        </is>
      </c>
      <c r="C15" s="35" t="inlineStr">
        <is>
          <t>Se registran 2 rasgos erosivos, pero longitud, profundidad y ancho no fueron medidos instrumentalmente</t>
        </is>
      </c>
      <c r="D15" s="15" t="inlineStr">
        <is>
          <t>NO SUSTANTIVA</t>
        </is>
      </c>
      <c r="E15" s="35" t="inlineStr">
        <is>
          <t>El conteo registrado no debe usarse para calcular densidad de cárcavas por hectárea. Pendiente de levantamiento con GPS submétrico.</t>
        </is>
      </c>
    </row>
    <row r="16" ht="48" customHeight="1">
      <c r="A16" s="33" t="inlineStr">
        <is>
          <t>D-07</t>
        </is>
      </c>
      <c r="B16" s="33" t="inlineStr">
        <is>
          <t>Elenco florístico</t>
        </is>
      </c>
      <c r="C16" s="33" t="inlineStr">
        <is>
          <t>La ficha registra 14 taxones, por debajo del mínimo de 15 que exige el formato V5</t>
        </is>
      </c>
      <c r="D16" s="36" t="inlineStr">
        <is>
          <t>SUSTANTIVA</t>
        </is>
      </c>
      <c r="E16" s="33" t="inlineStr">
        <is>
          <t>Registro florístico preliminar, sin colecta ni determinación botánica formal. Debe cerrarse con colecta botánica en la siguiente campaña.</t>
        </is>
      </c>
    </row>
    <row r="17" ht="48" customHeight="1">
      <c r="A17" s="35" t="inlineStr">
        <is>
          <t>D-08</t>
        </is>
      </c>
      <c r="B17" s="35" t="inlineStr">
        <is>
          <t>Centro poblado asociado</t>
        </is>
      </c>
      <c r="C17" s="35" t="inlineStr">
        <is>
          <t>La ficha DT declara «Hualtacal»; el cruce INEI-Bloques V5 identifica 1 centro(s) poblado(s) en el bloque: HUALTACAL</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3" t="inlineStr">
        <is>
          <t>D-10</t>
        </is>
      </c>
      <c r="B19" s="33" t="inlineStr">
        <is>
          <t>Distribución areal MSAVI 2024</t>
        </is>
      </c>
      <c r="C19" s="33" t="inlineStr">
        <is>
          <t>La distribución por clase de MSAVI no figuraba en los insumos del entregable y se consignaba «Por determinar»; se incorpora la estadística zonal del ráster MSAVI clasificado (52 polígonos, 8.929 ha)</t>
        </is>
      </c>
      <c r="D19" s="36" t="inlineStr">
        <is>
          <t>CORREGIDO</t>
        </is>
      </c>
      <c r="E19" s="33"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3" t="inlineStr">
        <is>
          <t>D-11</t>
        </is>
      </c>
      <c r="B20" s="33" t="inlineStr">
        <is>
          <t>Superficie MSAVI vs. catálogo</t>
        </is>
      </c>
      <c r="C20" s="33" t="inlineStr">
        <is>
          <t>La superficie total clasificada por el MSAVI 2024 (8.929 ha) frente a la de catálogo V5/V6 (8.930 ha): desviación de -0.01 %</t>
        </is>
      </c>
      <c r="D20" s="36" t="inlineStr">
        <is>
          <t>CONFORME</t>
        </is>
      </c>
      <c r="E20" s="33" t="inlineStr">
        <is>
          <t>Sin acción: la segmentación del ráster valida la geometría del bloque dentro del ±2 %.</t>
        </is>
      </c>
    </row>
    <row r="21" ht="48" customHeight="1">
      <c r="A21" s="33" t="inlineStr">
        <is>
          <t>D-12</t>
        </is>
      </c>
      <c r="B21" s="33" t="inlineStr">
        <is>
          <t>Media MSAVI vs. clase DN dominante</t>
        </is>
      </c>
      <c r="C21" s="33" t="inlineStr">
        <is>
          <t>La media del bloque (0.2747) cae en la clase «DN 2 · 0.2650 - 0.3813 (Vigor muy bajo)»; la clase de mayor superficie es «DN 2 · 0.2650 - 0.3813 (Vigor muy bajo)», con 54.14 % del bloque. Superficie bajo el umbral 0.4976: 8.929 ha (100.00 %)</t>
        </is>
      </c>
      <c r="D21" s="36" t="inlineStr">
        <is>
          <t>CONFORME</t>
        </is>
      </c>
      <c r="E21" s="33" t="inlineStr">
        <is>
          <t>Sin acción: la media del bloque y la clase de mayor superficie coinciden.</t>
        </is>
      </c>
    </row>
    <row r="22"/>
    <row r="23">
      <c r="A23" s="16" t="inlineStr">
        <is>
          <t>RESUMEN</t>
        </is>
      </c>
      <c r="B23" s="17" t="inlineStr">
        <is>
          <t>12 verificaciones</t>
        </is>
      </c>
      <c r="C23" s="17" t="inlineStr">
        <is>
          <t>CONFORME: 5 · CORREGIDO: 1 · NO SUSTANTIVA: 3 · SUSTANTIVA: 3</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0" t="n"/>
      <c r="C25" s="40" t="n"/>
      <c r="D25" s="40" t="n"/>
      <c r="E25" s="41"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81 — IN Piura</dc:title>
  <dc:subject>Diagnóstico Territorial por bloque de intervención</dc:subject>
  <dcterms:created xsi:type="dcterms:W3CDTF">2026-09-08T03:39:54Z</dcterms:created>
  <dcterms:modified xsi:type="dcterms:W3CDTF">2026-09-09T23:30:53Z</dcterms:modified>
</cp:coreProperties>
</file>