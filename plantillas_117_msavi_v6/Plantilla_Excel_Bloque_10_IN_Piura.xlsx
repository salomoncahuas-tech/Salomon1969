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10</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10</t>
        </is>
      </c>
      <c r="C9" s="6" t="inlineStr">
        <is>
          <t>Microcuenca (catálogo)</t>
        </is>
      </c>
      <c r="D9" s="7" t="inlineStr">
        <is>
          <t>C1076-Q9593</t>
        </is>
      </c>
      <c r="E9" s="8" t="n"/>
      <c r="F9" s="8" t="n"/>
    </row>
    <row r="10">
      <c r="A10" s="6" t="inlineStr">
        <is>
          <t>Zona de planificación</t>
        </is>
      </c>
      <c r="B10" s="7" t="inlineStr">
        <is>
          <t>Z14</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La Peña · Peña Grande</t>
        </is>
      </c>
      <c r="C13" s="6" t="inlineStr">
        <is>
          <t>Comunidad campesina</t>
        </is>
      </c>
      <c r="D13" s="7" t="inlineStr">
        <is>
          <t>Por verificar</t>
        </is>
      </c>
      <c r="E13" s="8" t="n"/>
      <c r="F13" s="8" t="n"/>
    </row>
    <row r="14">
      <c r="A14" s="6" t="inlineStr">
        <is>
          <t>Superficie de catálogo (V5/V6), ha</t>
        </is>
      </c>
      <c r="B14" s="7" t="n">
        <v>150.21</v>
      </c>
      <c r="C14" s="6" t="inlineStr">
        <is>
          <t>Fuente de superficie</t>
        </is>
      </c>
      <c r="D14" s="7" t="inlineStr">
        <is>
          <t>Catálogo maestro Bloques V5/V6</t>
        </is>
      </c>
      <c r="E14" s="8" t="n"/>
      <c r="F14" s="8" t="n"/>
    </row>
    <row r="15">
      <c r="A15" s="6" t="inlineStr">
        <is>
          <t>Centroide UTM ESTE (m)</t>
        </is>
      </c>
      <c r="B15" s="7" t="n">
        <v>650830</v>
      </c>
      <c r="C15" s="6" t="inlineStr">
        <is>
          <t>Centroide UTM NORTE (m)</t>
        </is>
      </c>
      <c r="D15" s="7" t="n">
        <v>9382303</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912</v>
      </c>
      <c r="C19" s="6" t="inlineStr">
        <is>
          <t>Altitud máxima (msnm)</t>
        </is>
      </c>
      <c r="D19" s="7" t="n">
        <v>1510</v>
      </c>
      <c r="E19" s="8" t="n"/>
      <c r="F19" s="8" t="n"/>
    </row>
    <row r="20">
      <c r="A20" s="6" t="inlineStr">
        <is>
          <t>Amplitud altitudinal (m)</t>
        </is>
      </c>
      <c r="B20" s="7" t="n">
        <v>598</v>
      </c>
      <c r="C20" s="6" t="inlineStr">
        <is>
          <t>Piso altitudinal dominante</t>
        </is>
      </c>
      <c r="D20" s="7" t="inlineStr">
        <is>
          <t>1000-1500 m (Quechua baja)</t>
        </is>
      </c>
      <c r="E20" s="8" t="n"/>
      <c r="F20" s="8" t="n"/>
    </row>
    <row r="21">
      <c r="A21" s="6" t="inlineStr">
        <is>
          <t>Pendiente promedio (%)</t>
        </is>
      </c>
      <c r="B21" s="7" t="n">
        <v>27.39</v>
      </c>
      <c r="C21" s="6" t="inlineStr">
        <is>
          <t>Pendiente promedio (grados)</t>
        </is>
      </c>
      <c r="D21" s="7" t="n">
        <v>15.3</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0.5465</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(85.18 %)</t>
        </is>
      </c>
      <c r="E29" s="8" t="n"/>
      <c r="F29" s="8" t="n"/>
    </row>
    <row r="30">
      <c r="A30" s="6" t="inlineStr">
        <is>
          <t>Superficie clasificada NDVI 2025 (ha)</t>
        </is>
      </c>
      <c r="B30" s="7" t="n">
        <v>150.25</v>
      </c>
      <c r="C30" s="6" t="inlineStr">
        <is>
          <t>Desviación frente al catálogo (%)</t>
        </is>
      </c>
      <c r="D30" s="7" t="n">
        <v>0.03</v>
      </c>
      <c r="E30" s="8" t="n"/>
      <c r="F30" s="8" t="n"/>
    </row>
    <row r="31">
      <c r="A31" s="6" t="inlineStr">
        <is>
          <t>Superficie clasificada MSAVI 2024 (ha)</t>
        </is>
      </c>
      <c r="B31" s="38" t="n">
        <v>150.214</v>
      </c>
      <c r="C31" s="6" t="inlineStr">
        <is>
          <t>Desviación MSAVI frente al catálogo (%)</t>
        </is>
      </c>
      <c r="D31" s="39" t="n">
        <v>0</v>
      </c>
      <c r="E31" s="8" t="n"/>
      <c r="F31" s="8" t="n"/>
    </row>
    <row r="32">
      <c r="A32" s="6" t="inlineStr">
        <is>
          <t>Superficie bajo umbral MSAVI 0.4976 (ha)</t>
        </is>
      </c>
      <c r="B32" s="38" t="n">
        <v>42.83</v>
      </c>
      <c r="C32" s="6" t="inlineStr">
        <is>
          <t>% del bloque bajo umbral (brecha espectral)</t>
        </is>
      </c>
      <c r="D32" s="39" t="n">
        <v>28.51</v>
      </c>
      <c r="E32" s="8" t="n"/>
      <c r="F32" s="8" t="n"/>
    </row>
    <row r="33">
      <c r="A33" s="6" t="inlineStr">
        <is>
          <t>Clase DN dominante (MSAVI 2024)</t>
        </is>
      </c>
      <c r="B33" s="7" t="inlineStr">
        <is>
          <t>DN 4 · 0.4976 - 0.6139 (Vigor moderado)</t>
        </is>
      </c>
      <c r="C33" s="6" t="inlineStr">
        <is>
          <t>N.° de polígonos MSAVI del bloque</t>
        </is>
      </c>
      <c r="D33" s="40" t="n">
        <v>793</v>
      </c>
      <c r="E33" s="8" t="n"/>
      <c r="F33" s="8" t="n"/>
    </row>
    <row r="34"/>
    <row r="35" ht="18" customHeight="1">
      <c r="A35" s="5" t="inlineStr">
        <is>
          <t>4. ECOSISTEMA Y ESTADO DE CONSERVACIÓN</t>
        </is>
      </c>
    </row>
    <row r="36">
      <c r="A36" s="6" t="inlineStr">
        <is>
          <t>Tipo de ecosistema (UP)</t>
        </is>
      </c>
      <c r="B36" s="7" t="inlineStr">
        <is>
          <t>Bosque Estacionalmente Seco Colina/Montaña (Bes-cm)</t>
        </is>
      </c>
      <c r="C36" s="6" t="inlineStr">
        <is>
          <t>Superficie de ecosistema (ha)</t>
        </is>
      </c>
      <c r="D36" s="7" t="inlineStr">
        <is>
          <t>Por determinar</t>
        </is>
      </c>
      <c r="E36" s="8" t="n"/>
      <c r="F36" s="8" t="n"/>
    </row>
    <row r="37">
      <c r="A37" s="6" t="inlineStr">
        <is>
          <t>Estado de conservación</t>
        </is>
      </c>
      <c r="B37" s="7" t="inlineStr">
        <is>
          <t>Alterado (intervención marcada)</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inlineStr">
        <is>
          <t>Por determinar</t>
        </is>
      </c>
      <c r="E38" s="8" t="n"/>
      <c r="F38" s="8" t="n"/>
    </row>
    <row r="39">
      <c r="A39" s="6" t="inlineStr">
        <is>
          <t>Suelo desnudo — campo (%)</t>
        </is>
      </c>
      <c r="B39" s="7" t="inlineStr">
        <is>
          <t>Por determinar</t>
        </is>
      </c>
      <c r="C39" s="6" t="inlineStr">
        <is>
          <t>Regeneración natural</t>
        </is>
      </c>
      <c r="D39" s="7" t="inlineStr">
        <is>
          <t>Por determinar</t>
        </is>
      </c>
      <c r="E39" s="8" t="n"/>
      <c r="F39" s="8" t="n"/>
    </row>
    <row r="40">
      <c r="A40" s="6" t="inlineStr">
        <is>
          <t>Nivel general de erosión</t>
        </is>
      </c>
      <c r="B40" s="7" t="inlineStr">
        <is>
          <t>Moderada (surcos)</t>
        </is>
      </c>
      <c r="C40" s="6" t="inlineStr">
        <is>
          <t>N.° de cárcavas registradas</t>
        </is>
      </c>
      <c r="D40" s="7" t="inlineStr">
        <is>
          <t>Por determinar</t>
        </is>
      </c>
      <c r="E40" s="8" t="n"/>
      <c r="F40" s="8" t="n"/>
    </row>
    <row r="41">
      <c r="A41" s="6" t="inlineStr">
        <is>
          <t>Elenco florístico (n.° de taxones)</t>
        </is>
      </c>
      <c r="B41" s="7" t="n">
        <v>7</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Brigada SESDI – IN Piura</t>
        </is>
      </c>
      <c r="C44" s="6" t="inlineStr">
        <is>
          <t>Fecha de evaluación</t>
        </is>
      </c>
      <c r="D44" s="7" t="inlineStr">
        <is>
          <t>2026-08-12</t>
        </is>
      </c>
      <c r="E44" s="8" t="n"/>
      <c r="F44" s="8" t="n"/>
    </row>
    <row r="45">
      <c r="A45" s="6" t="inlineStr">
        <is>
          <t>Hora de registro</t>
        </is>
      </c>
      <c r="B45" s="7" t="inlineStr">
        <is>
          <t>12:40 - 14:22 h</t>
        </is>
      </c>
      <c r="C45" s="6" t="inlineStr">
        <is>
          <t>Correlativo de ficha</t>
        </is>
      </c>
      <c r="D45" s="7" t="inlineStr">
        <is>
          <t>F-DT-01-B10-2026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instalada</t>
        </is>
      </c>
      <c r="E47" s="8" t="n"/>
      <c r="F47" s="8" t="n"/>
    </row>
    <row r="48">
      <c r="A48" s="6" t="inlineStr">
        <is>
          <t>Estaciones fotográficas georreferenciadas</t>
        </is>
      </c>
      <c r="B48" s="7" t="n">
        <v>5</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Ocupación y habilitación vial del interior del bloque sin instrumento de manejo, sobre laderas con aptitud forestal</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10</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36.7229</v>
      </c>
      <c r="C10" s="19">
        <f>ROUND(B10/$B$15*100,2)</f>
        <v>24.45</v>
      </c>
      <c r="D10" s="11" t="inlineStr">
        <is>
          <t>Vigor alto</t>
        </is>
      </c>
      <c r="E10" s="11" t="inlineStr">
        <is>
          <t>Sobre umbral</t>
        </is>
      </c>
    </row>
    <row r="11">
      <c r="A11" s="12" t="inlineStr">
        <is>
          <t>0.4976 - 0.6139 · DN 4</t>
        </is>
      </c>
      <c r="B11" s="30" t="n">
        <v>70.6617</v>
      </c>
      <c r="C11" s="29">
        <f>ROUND(B11/$B$15*100,2)</f>
        <v>47.04</v>
      </c>
      <c r="D11" s="13" t="inlineStr">
        <is>
          <t>Vigor moderado</t>
        </is>
      </c>
      <c r="E11" s="13" t="inlineStr">
        <is>
          <t>Sobre umbral</t>
        </is>
      </c>
    </row>
    <row r="12">
      <c r="A12" s="7" t="inlineStr">
        <is>
          <t>0.3813 - 0.4976 · DN 3</t>
        </is>
      </c>
      <c r="B12" s="18" t="n">
        <v>35.7511</v>
      </c>
      <c r="C12" s="19">
        <f>ROUND(B12/$B$15*100,2)</f>
        <v>23.8</v>
      </c>
      <c r="D12" s="11" t="inlineStr">
        <is>
          <t>Vigor bajo</t>
        </is>
      </c>
      <c r="E12" s="11" t="inlineStr">
        <is>
          <t>BAJO umbral 0.4976</t>
        </is>
      </c>
    </row>
    <row r="13">
      <c r="A13" s="14" t="inlineStr">
        <is>
          <t>0.2650 - 0.3813 · DN 2</t>
        </is>
      </c>
      <c r="B13" s="20" t="n">
        <v>5.4455</v>
      </c>
      <c r="C13" s="21">
        <f>ROUND(B13/$B$15*100,2)</f>
        <v>3.63</v>
      </c>
      <c r="D13" s="15" t="inlineStr">
        <is>
          <t>Vigor muy bajo</t>
        </is>
      </c>
      <c r="E13" s="15" t="inlineStr">
        <is>
          <t>BAJO umbral 0.4976</t>
        </is>
      </c>
    </row>
    <row r="14">
      <c r="A14" s="7" t="inlineStr">
        <is>
          <t>&lt;= 0.2650 · DN 1</t>
        </is>
      </c>
      <c r="B14" s="18" t="n">
        <v>1.6331</v>
      </c>
      <c r="C14" s="19">
        <f>ROUND(B14/$B$15*100,2)</f>
        <v>1.09</v>
      </c>
      <c r="D14" s="11" t="inlineStr">
        <is>
          <t>Suelo desnudo / no vegetal</t>
        </is>
      </c>
      <c r="E14" s="11" t="inlineStr">
        <is>
          <t>BAJO umbral 0.4976</t>
        </is>
      </c>
    </row>
    <row r="15" ht="30" customHeight="1">
      <c r="A15" s="43" t="inlineStr">
        <is>
          <t>TOTAL CLASIFICADO MSAVI 2024</t>
        </is>
      </c>
      <c r="B15" s="44">
        <f>SUM(B10:B14)</f>
        <v>150.2143</v>
      </c>
      <c r="C15" s="45">
        <f>SUM(C10:C14)</f>
        <v>100.01</v>
      </c>
      <c r="D15" s="43" t="inlineStr">
        <is>
          <t>Suma de la distribución areal · 793 polígonos</t>
        </is>
      </c>
      <c r="E15" s="43" t="inlineStr">
        <is>
          <t>—</t>
        </is>
      </c>
    </row>
    <row r="16" ht="30" customHeight="1">
      <c r="A16" s="46" t="inlineStr">
        <is>
          <t>Superficie SOBRE umbral 0.4976 (ha)</t>
        </is>
      </c>
      <c r="B16" s="47">
        <f>SUM(B10:B11)</f>
        <v>107.3846</v>
      </c>
      <c r="C16" s="48">
        <f>ROUND(B16/B15*100,2)</f>
        <v>71.49</v>
      </c>
      <c r="D16" s="46" t="inlineStr">
        <is>
          <t>Vigor alto y moderado (DN 4 y DN 5)</t>
        </is>
      </c>
      <c r="E16" s="46" t="inlineStr">
        <is>
          <t>Sobre umbral 0.4976</t>
        </is>
      </c>
    </row>
    <row r="17" ht="30" customHeight="1">
      <c r="A17" s="46" t="inlineStr">
        <is>
          <t>Superficie BAJO umbral 0.4976 (ha) — brecha</t>
        </is>
      </c>
      <c r="B17" s="47">
        <f>SUM(B12:B14)</f>
        <v>42.8297</v>
      </c>
      <c r="C17" s="48">
        <f>ROUND(B17/B15*100,2)</f>
        <v>28.51</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150.21</v>
      </c>
      <c r="C18" s="49" t="inlineStr">
        <is>
          <t>—</t>
        </is>
      </c>
      <c r="D18" s="46" t="inlineStr">
        <is>
          <t>Desviación planimétrica frente al catálogo</t>
        </is>
      </c>
      <c r="E18" s="46" t="inlineStr">
        <is>
          <t>+0.00 %</t>
        </is>
      </c>
    </row>
    <row r="19">
      <c r="A19" s="16" t="inlineStr">
        <is>
          <t>MSAVI 2024 — MEDIA DEL BLOQUE</t>
        </is>
      </c>
      <c r="B19" s="17" t="n">
        <v>0.546492</v>
      </c>
      <c r="C19" s="17" t="inlineStr">
        <is>
          <t>—</t>
        </is>
      </c>
      <c r="D19" s="17" t="inlineStr">
        <is>
          <t>Vigor moderado · clase 0.4976 - 0.6139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793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(0.5465)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127.9822</v>
      </c>
      <c r="C25" s="19" t="n">
        <v>85.18000000000001</v>
      </c>
      <c r="D25" s="11" t="inlineStr">
        <is>
          <t>Dosel continuo, matorral denso o mosaico agroforestal</t>
        </is>
      </c>
      <c r="E25" s="11" t="inlineStr"/>
    </row>
    <row r="26">
      <c r="A26" s="14" t="inlineStr">
        <is>
          <t>Vegetación mediana</t>
        </is>
      </c>
      <c r="B26" s="20" t="n">
        <v>18.5976</v>
      </c>
      <c r="C26" s="21" t="n">
        <v>12.38</v>
      </c>
      <c r="D26" s="15" t="inlineStr">
        <is>
          <t>Pastizal cultivado, matorral ralo, parcelas agrícolas</t>
        </is>
      </c>
      <c r="E26" s="15" t="inlineStr"/>
    </row>
    <row r="27">
      <c r="A27" s="7" t="inlineStr">
        <is>
          <t>Vegetación ligera</t>
        </is>
      </c>
      <c r="B27" s="18" t="n">
        <v>2.5427</v>
      </c>
      <c r="C27" s="19" t="n">
        <v>1.69</v>
      </c>
      <c r="D27" s="11" t="inlineStr">
        <is>
          <t>Cobertura discontinua, suelo parcialmente expuesto</t>
        </is>
      </c>
      <c r="E27" s="11" t="inlineStr"/>
    </row>
    <row r="28">
      <c r="A28" s="14" t="inlineStr">
        <is>
          <t>Tierra desnuda</t>
        </is>
      </c>
      <c r="B28" s="20" t="n">
        <v>1.1271</v>
      </c>
      <c r="C28" s="21" t="n">
        <v>0.75</v>
      </c>
      <c r="D28" s="15" t="inlineStr">
        <is>
          <t>Suelo desnudo, afloramientos, plataformas y taludes</t>
        </is>
      </c>
      <c r="E28" s="15" t="inlineStr"/>
    </row>
    <row r="29">
      <c r="A29" s="16" t="inlineStr">
        <is>
          <t>TOTAL CLASIFICADO</t>
        </is>
      </c>
      <c r="B29" s="22">
        <f>SUM(B25:B28)</f>
        <v>150.2496</v>
      </c>
      <c r="C29" s="23">
        <f>SUM(C25:C28)</f>
        <v>100.0</v>
      </c>
      <c r="D29" s="17" t="inlineStr"/>
      <c r="E29" s="17" t="inlineStr"/>
    </row>
    <row r="30">
      <c r="A30" s="24" t="inlineStr">
        <is>
          <t>Superficie de catálogo (V5/V6)</t>
        </is>
      </c>
      <c r="B30" s="25" t="n">
        <v>150.21</v>
      </c>
      <c r="C30" s="25" t="inlineStr">
        <is>
          <t>—</t>
        </is>
      </c>
      <c r="D30" s="25" t="inlineStr">
        <is>
          <t>Desviación planimétrica frente al catálogo</t>
        </is>
      </c>
      <c r="E30" s="25" t="inlineStr">
        <is>
          <t>+0.03 %</t>
        </is>
      </c>
    </row>
    <row r="31"/>
    <row r="32" ht="72"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2" s="41" t="n"/>
      <c r="C32" s="41" t="n"/>
      <c r="D32" s="41" t="n"/>
      <c r="E32" s="42"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10</t>
        </is>
      </c>
    </row>
    <row r="6" ht="24" customHeight="1">
      <c r="A6" s="4" t="inlineStr">
        <is>
          <t>Levantamiento del 2026-08-12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651184</v>
      </c>
      <c r="D10" s="26" t="n">
        <v>9382309</v>
      </c>
      <c r="E10" s="11" t="n">
        <v>354.1</v>
      </c>
      <c r="F10" s="11" t="inlineStr"/>
      <c r="G10" s="11" t="inlineStr">
        <is>
          <t>Coordenada consignada en F-DT-01</t>
        </is>
      </c>
    </row>
    <row r="11">
      <c r="A11" s="14" t="inlineStr">
        <is>
          <t>H-01</t>
        </is>
      </c>
      <c r="B11" s="15" t="inlineStr">
        <is>
          <t>Fuente de agua — Quebrada estacional</t>
        </is>
      </c>
      <c r="C11" s="27" t="inlineStr">
        <is>
          <t>Por determinar</t>
        </is>
      </c>
      <c r="D11" s="27" t="inlineStr">
        <is>
          <t>Por determinar</t>
        </is>
      </c>
      <c r="E11" s="15" t="inlineStr"/>
      <c r="F11" s="15" t="inlineStr">
        <is>
          <t>Estacional</t>
        </is>
      </c>
      <c r="G11" s="15" t="inlineStr">
        <is>
          <t>Red de vaguadas tributarias</t>
        </is>
      </c>
    </row>
    <row r="12">
      <c r="A12" s="16" t="inlineStr">
        <is>
          <t>TOTAL: 2 puntos</t>
        </is>
      </c>
      <c r="B12" s="17" t="inlineStr"/>
      <c r="C12" s="17" t="inlineStr"/>
      <c r="D12" s="17" t="inlineStr"/>
      <c r="E12" s="17" t="inlineStr"/>
      <c r="F12" s="17" t="inlineStr"/>
      <c r="G12" s="17" t="inlineStr"/>
    </row>
    <row r="13"/>
    <row r="14">
      <c r="A14" s="6" t="inlineStr">
        <is>
          <t>Centroide del bloque — UTM ESTE (m)</t>
        </is>
      </c>
      <c r="B14" s="7" t="n">
        <v>650830</v>
      </c>
      <c r="C14" s="6" t="inlineStr">
        <is>
          <t>Centroide del bloque — UTM NORTE (m)</t>
        </is>
      </c>
      <c r="D14" s="7" t="n">
        <v>9382303</v>
      </c>
      <c r="E14" s="8" t="n"/>
      <c r="F14" s="8" t="n"/>
      <c r="G14" s="8" t="n"/>
      <c r="H14" s="8" t="n"/>
    </row>
    <row r="15">
      <c r="A15" s="6" t="inlineStr">
        <is>
          <t>N.° de estaciones fotográficas declaradas</t>
        </is>
      </c>
      <c r="B15" s="7" t="n">
        <v>5</v>
      </c>
      <c r="C15" s="6" t="inlineStr">
        <is>
          <t>Estaciones dentro del polígono</t>
        </is>
      </c>
      <c r="D15" s="7" t="n">
        <v>4</v>
      </c>
      <c r="E15" s="8" t="n"/>
      <c r="F15" s="8" t="n"/>
      <c r="G15" s="8" t="n"/>
      <c r="H15" s="8" t="n"/>
    </row>
    <row r="16"/>
    <row r="17" ht="96" customHeight="1">
      <c r="A1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PRELLENADO DE GABINETE. Reconocimiento del 12-08-2026 por recorrido vehicular con registro fotográfico georreferenciado; la ficha NO fue diligenciada en campo. Cuatro de las cinco estaciones se ubican DENTRO del polígono (249-302 m del borde); la restante a ~570 m al NE.</t>
        </is>
      </c>
      <c r="B17" s="41" t="n"/>
      <c r="C17" s="41" t="n"/>
      <c r="D17" s="41" t="n"/>
      <c r="E17" s="41" t="n"/>
      <c r="F17" s="41" t="n"/>
      <c r="G17" s="42" t="n"/>
    </row>
  </sheetData>
  <mergeCells count="8">
    <mergeCell ref="A1:G1"/>
    <mergeCell ref="A17:G1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2"/>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C1076-Q9593 — BLOQUE 10</t>
        </is>
      </c>
    </row>
    <row r="6" ht="24" customHeight="1">
      <c r="A6" s="4" t="inlineStr">
        <is>
          <t>Distrito de Huarmaca · Provincia de Huancabamba · Comparación de los bloques preliminares de intervención de la misma microcuenca</t>
        </is>
      </c>
    </row>
    <row r="7"/>
    <row r="8" ht="18" customHeight="1">
      <c r="A8" s="5" t="inlineStr">
        <is>
          <t>BLOQUES DE LA MICROCUENCA C1076-Q9593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2" t="inlineStr">
        <is>
          <t>► 10</t>
        </is>
      </c>
      <c r="B10" s="28" t="n">
        <v>150.21</v>
      </c>
      <c r="C10" s="29" t="n">
        <v>28.67</v>
      </c>
      <c r="D10" s="13" t="inlineStr">
        <is>
          <t>912 – 1510</t>
        </is>
      </c>
      <c r="E10" s="13" t="n">
        <v>598</v>
      </c>
      <c r="F10" s="13" t="n">
        <v>27.39</v>
      </c>
      <c r="G10" s="30" t="n">
        <v>0.5465</v>
      </c>
      <c r="H10" s="29" t="n">
        <v>85.18000000000001</v>
      </c>
      <c r="I10" s="29" t="n">
        <v>28.51</v>
      </c>
    </row>
    <row r="11">
      <c r="A11" s="14" t="inlineStr">
        <is>
          <t>8</t>
        </is>
      </c>
      <c r="B11" s="31" t="n">
        <v>126.95</v>
      </c>
      <c r="C11" s="21" t="n">
        <v>24.23</v>
      </c>
      <c r="D11" s="15" t="inlineStr">
        <is>
          <t>1504 – 1970</t>
        </is>
      </c>
      <c r="E11" s="15" t="n">
        <v>466</v>
      </c>
      <c r="F11" s="15" t="n">
        <v>29.85</v>
      </c>
      <c r="G11" s="20" t="n">
        <v>0.5548</v>
      </c>
      <c r="H11" s="21" t="n">
        <v>72.25</v>
      </c>
      <c r="I11" s="21" t="n">
        <v>28.4</v>
      </c>
    </row>
    <row r="12">
      <c r="A12" s="7" t="inlineStr">
        <is>
          <t>16</t>
        </is>
      </c>
      <c r="B12" s="32" t="n">
        <v>83.33</v>
      </c>
      <c r="C12" s="19" t="n">
        <v>15.91</v>
      </c>
      <c r="D12" s="11" t="inlineStr">
        <is>
          <t>1349 – 1746</t>
        </is>
      </c>
      <c r="E12" s="11" t="n">
        <v>397</v>
      </c>
      <c r="F12" s="11" t="n">
        <v>22.34</v>
      </c>
      <c r="G12" s="18" t="n">
        <v>0.6284</v>
      </c>
      <c r="H12" s="19" t="n">
        <v>94.13</v>
      </c>
      <c r="I12" s="19" t="n">
        <v>7.3</v>
      </c>
    </row>
    <row r="13">
      <c r="A13" s="14" t="inlineStr">
        <is>
          <t>20</t>
        </is>
      </c>
      <c r="B13" s="31" t="n">
        <v>81.33</v>
      </c>
      <c r="C13" s="21" t="n">
        <v>15.52</v>
      </c>
      <c r="D13" s="15" t="inlineStr">
        <is>
          <t>1217 – 1607</t>
        </is>
      </c>
      <c r="E13" s="15" t="n">
        <v>390</v>
      </c>
      <c r="F13" s="15" t="n">
        <v>24.54</v>
      </c>
      <c r="G13" s="20" t="n">
        <v>0.4851</v>
      </c>
      <c r="H13" s="21" t="n">
        <v>52.44</v>
      </c>
      <c r="I13" s="21" t="n">
        <v>59.23</v>
      </c>
    </row>
    <row r="14">
      <c r="A14" s="7" t="inlineStr">
        <is>
          <t>80</t>
        </is>
      </c>
      <c r="B14" s="32" t="n">
        <v>28.83</v>
      </c>
      <c r="C14" s="19" t="n">
        <v>5.5</v>
      </c>
      <c r="D14" s="11" t="inlineStr">
        <is>
          <t>2180 – 2491</t>
        </is>
      </c>
      <c r="E14" s="11" t="n">
        <v>311</v>
      </c>
      <c r="F14" s="11" t="n">
        <v>32.9</v>
      </c>
      <c r="G14" s="18" t="n">
        <v>0.5931</v>
      </c>
      <c r="H14" s="19" t="n">
        <v>78.73</v>
      </c>
      <c r="I14" s="19" t="n">
        <v>16.88</v>
      </c>
    </row>
    <row r="15">
      <c r="A15" s="14" t="inlineStr">
        <is>
          <t>51</t>
        </is>
      </c>
      <c r="B15" s="31" t="n">
        <v>22.93</v>
      </c>
      <c r="C15" s="21" t="n">
        <v>4.38</v>
      </c>
      <c r="D15" s="15" t="inlineStr">
        <is>
          <t>1734 – 2018</t>
        </is>
      </c>
      <c r="E15" s="15" t="n">
        <v>284</v>
      </c>
      <c r="F15" s="15" t="n">
        <v>31.74</v>
      </c>
      <c r="G15" s="20" t="n">
        <v>0.5238</v>
      </c>
      <c r="H15" s="21" t="n">
        <v>69.45999999999999</v>
      </c>
      <c r="I15" s="21" t="n">
        <v>34.63</v>
      </c>
    </row>
    <row r="16">
      <c r="A16" s="7" t="inlineStr">
        <is>
          <t>76</t>
        </is>
      </c>
      <c r="B16" s="32" t="n">
        <v>19.62</v>
      </c>
      <c r="C16" s="19" t="n">
        <v>3.75</v>
      </c>
      <c r="D16" s="11" t="inlineStr">
        <is>
          <t>1647 – 1838</t>
        </is>
      </c>
      <c r="E16" s="11" t="n">
        <v>191</v>
      </c>
      <c r="F16" s="11" t="n">
        <v>26.25</v>
      </c>
      <c r="G16" s="18" t="n">
        <v>0.4925</v>
      </c>
      <c r="H16" s="19" t="n">
        <v>46.27</v>
      </c>
      <c r="I16" s="19" t="n">
        <v>54.14</v>
      </c>
    </row>
    <row r="17">
      <c r="A17" s="14" t="inlineStr">
        <is>
          <t>71</t>
        </is>
      </c>
      <c r="B17" s="31" t="n">
        <v>10.67</v>
      </c>
      <c r="C17" s="21" t="n">
        <v>2.04</v>
      </c>
      <c r="D17" s="15" t="inlineStr">
        <is>
          <t>1478 – 1609</t>
        </is>
      </c>
      <c r="E17" s="15" t="n">
        <v>131</v>
      </c>
      <c r="F17" s="15" t="n">
        <v>29.45</v>
      </c>
      <c r="G17" s="20" t="n">
        <v>0.5571</v>
      </c>
      <c r="H17" s="21" t="n">
        <v>81.37</v>
      </c>
      <c r="I17" s="21" t="n">
        <v>25.94</v>
      </c>
    </row>
    <row r="18">
      <c r="A18" s="16" t="inlineStr">
        <is>
          <t>TOTAL / PROMEDIO</t>
        </is>
      </c>
      <c r="B18" s="33">
        <f>SUM(B10:B17)</f>
        <v>523.87</v>
      </c>
      <c r="C18" s="23">
        <f>SUM(C10:C17)</f>
        <v>100.0</v>
      </c>
      <c r="D18" s="17" t="inlineStr">
        <is>
          <t>912 – 2491</t>
        </is>
      </c>
      <c r="E18" s="17" t="inlineStr"/>
      <c r="F18" s="17">
        <f>ROUND(AVERAGE(F10:F17),2)</f>
        <v>28.06</v>
      </c>
      <c r="G18" s="22">
        <f>ROUND(AVERAGE(G10:G17),4)</f>
        <v>0.5477</v>
      </c>
      <c r="H18" s="23">
        <f>ROUND(AVERAGE(H10:H17),2)</f>
        <v>72.48</v>
      </c>
      <c r="I18" s="23">
        <f>ROUND(AVERAGE(I10:I17),2)</f>
        <v>31.88</v>
      </c>
    </row>
    <row r="19"/>
    <row r="20" ht="84" customHeight="1">
      <c r="A20" s="9" t="inlineStr">
        <is>
          <t>LECTURA INTRAMICROCUENCA. El bloque 10 ocupa el puesto 1 de 8 por superficie dentro de la microcuenca C1076-Q9593 (28.67 % de las 523.87 ha preliminares de la microcuenca). Su pendiente promedio (27.39 %, clase «25-50% (Mod. escarpado)») es la 4.ª más baja de 8 y se sitúa por debajo del promedio de la microcuenca (28.06 %). Su MSAVI 2024 (0.5465) es el 5.º de 8 y queda por debajo del promedio local (0.5477). Amplitud altitudinal del bloque: 598 m (912–1510 msnm). El cuadro conserva todos los bloques catalogados en la microcuenca, incluidos los descartados en el tamizaje, para referencia del conjunto. Los bloques sin ficha DT figuran con sus parámetros de gabinete. BRECHA ESPECTRAL. El 28.51 % de la superficie del bloque (42.830 ha de 150.214 ha) se sitúa bajo el umbral MSAVI 0.4976, por debajo del promedio local de la microcuenca (31.88 %) calculado sobre los bloques con dato MSAVI disponible.</t>
        </is>
      </c>
      <c r="B20" s="41" t="n"/>
      <c r="C20" s="41" t="n"/>
      <c r="D20" s="41" t="n"/>
      <c r="E20" s="41" t="n"/>
      <c r="F20" s="41" t="n"/>
      <c r="G20" s="41" t="n"/>
      <c r="H20" s="42" t="n"/>
    </row>
    <row r="21"/>
    <row r="22" ht="60" customHeight="1">
      <c r="A22"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2" s="41" t="n"/>
      <c r="C22" s="41" t="n"/>
      <c r="D22" s="41" t="n"/>
      <c r="E22" s="41" t="n"/>
      <c r="F22" s="41" t="n"/>
      <c r="G22" s="41" t="n"/>
      <c r="H22" s="42" t="n"/>
    </row>
  </sheetData>
  <mergeCells count="9">
    <mergeCell ref="A1:I1"/>
    <mergeCell ref="A4:I4"/>
    <mergeCell ref="A3:I3"/>
    <mergeCell ref="A20:I20"/>
    <mergeCell ref="A2:I2"/>
    <mergeCell ref="A5:I5"/>
    <mergeCell ref="A8:I8"/>
    <mergeCell ref="A6:I6"/>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4"/>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10</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La ficha DT declara «C1076-Q9584»; el catálogo maestro V5/V6 asigna el bloque a «C1076-Q9593»</t>
        </is>
      </c>
      <c r="D10" s="35" t="inlineStr">
        <is>
          <t>SUSTANTIVA</t>
        </is>
      </c>
      <c r="E10" s="34" t="inlineStr">
        <is>
          <t>Se conserva el código del catálogo maestro para todo cálculo intramicrocuenca. La declaración de la ficha debe corregirse en la siguiente versión del formato V5.</t>
        </is>
      </c>
    </row>
    <row r="11" ht="48" customHeight="1">
      <c r="A11" s="36" t="inlineStr">
        <is>
          <t>D-02</t>
        </is>
      </c>
      <c r="B11" s="36" t="inlineStr">
        <is>
          <t>UTM del punto de muestreo</t>
        </is>
      </c>
      <c r="C11" s="36" t="inlineStr">
        <is>
          <t>El punto de muestreo declarado dista 354 m del centroide de catálogo, compatible con la extensión del bloque</t>
        </is>
      </c>
      <c r="D11" s="37" t="inlineStr">
        <is>
          <t>CONFORME</t>
        </is>
      </c>
      <c r="E11" s="36" t="inlineStr">
        <is>
          <t>Sin acción.</t>
        </is>
      </c>
    </row>
    <row r="12" ht="48" customHeight="1">
      <c r="A12" s="34" t="inlineStr">
        <is>
          <t>D-03</t>
        </is>
      </c>
      <c r="B12" s="34" t="inlineStr">
        <is>
          <t>Superficie del polígono</t>
        </is>
      </c>
      <c r="C12" s="34" t="inlineStr">
        <is>
          <t>La superficie clasificada por el NDVI 2025 (150.250 ha) coincide con la de catálogo (150.21 ha) dentro del ±2 % (+0.03 %)</t>
        </is>
      </c>
      <c r="D12" s="37" t="inlineStr">
        <is>
          <t>CONFORME</t>
        </is>
      </c>
      <c r="E12" s="34" t="inlineStr">
        <is>
          <t>Sin acción: la segmentación valida la geometría del bloque.</t>
        </is>
      </c>
    </row>
    <row r="13" ht="48" customHeight="1">
      <c r="A13" s="36" t="inlineStr">
        <is>
          <t>D-04</t>
        </is>
      </c>
      <c r="B13" s="36" t="inlineStr">
        <is>
          <t>Altitud GPS del punto de muestreo</t>
        </is>
      </c>
      <c r="C13" s="36" t="inlineStr">
        <is>
          <t>La aplicación de captura no registró altitud GPS en campo</t>
        </is>
      </c>
      <c r="D13" s="13" t="inlineStr">
        <is>
          <t>NO SUSTANTIVA</t>
        </is>
      </c>
      <c r="E13" s="36" t="inlineStr">
        <is>
          <t>El rango altitudinal del bloque (912–1510 msnm) y la pendiente promedio (27.39 %) se toman de la estadística zonal sobre el MDE, no de medición de campo. Se declara la fuente.</t>
        </is>
      </c>
    </row>
    <row r="14" ht="48" customHeight="1">
      <c r="A14" s="34" t="inlineStr">
        <is>
          <t>D-05</t>
        </is>
      </c>
      <c r="B14" s="34" t="inlineStr">
        <is>
          <t>Inventario georreferenciado de cárcavas</t>
        </is>
      </c>
      <c r="C14" s="34" t="inlineStr">
        <is>
          <t>El inventario de cárcavas no fue ejecutado o no consta en la ficha DT</t>
        </is>
      </c>
      <c r="D14" s="35" t="inlineStr">
        <is>
          <t>SUSTANTIVA</t>
        </is>
      </c>
      <c r="E14" s="34" t="inlineStr">
        <is>
          <t>La ausencia de registros NO equivale a ausencia verificada de cárcavas. Queda pendiente el levantamiento instrumental a cargo del especialista de Infraestructura Marrón antes de fijar metas físicas de infraestructura gris.</t>
        </is>
      </c>
    </row>
    <row r="15" ht="48" customHeight="1">
      <c r="A15" s="36" t="inlineStr">
        <is>
          <t>D-06</t>
        </is>
      </c>
      <c r="B15" s="36" t="inlineStr">
        <is>
          <t>Elenco florístico</t>
        </is>
      </c>
      <c r="C15" s="36" t="inlineStr">
        <is>
          <t>La ficha registra 7 taxones, por debajo del mínimo de 15 que exige el formato V5</t>
        </is>
      </c>
      <c r="D15" s="35" t="inlineStr">
        <is>
          <t>SUSTANTIVA</t>
        </is>
      </c>
      <c r="E15" s="36" t="inlineStr">
        <is>
          <t>Registro florístico preliminar, sin colecta ni determinación botánica formal. Debe cerrarse con colecta botánica en la siguiente campaña.</t>
        </is>
      </c>
    </row>
    <row r="16" ht="48" customHeight="1">
      <c r="A16" s="34" t="inlineStr">
        <is>
          <t>D-07</t>
        </is>
      </c>
      <c r="B16" s="34" t="inlineStr">
        <is>
          <t>Centro poblado asociado</t>
        </is>
      </c>
      <c r="C16" s="34" t="inlineStr">
        <is>
          <t>La ficha DT declara «La Peña · Peña Grande»; el cruce INEI-Bloques V5 identifica 1 centro(s) poblado(s) en el bloque: LA PEÑA</t>
        </is>
      </c>
      <c r="D16" s="37" t="inlineStr">
        <is>
          <t>CONFORME</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5" t="inlineStr">
        <is>
          <t>SUSTANTIVA</t>
        </is>
      </c>
      <c r="E17" s="36" t="inlineStr">
        <is>
          <t>Debe tomarse del modelamiento de mesolocalización (PMM + EPH + PGI ponderados por AHP) antes de fijar la prioridad definitiva de intervención del bloque.</t>
        </is>
      </c>
    </row>
    <row r="18" ht="48" customHeight="1">
      <c r="A18" s="36" t="inlineStr">
        <is>
          <t>D-09</t>
        </is>
      </c>
      <c r="B18" s="36" t="inlineStr">
        <is>
          <t>Distribución areal MSAVI 2024</t>
        </is>
      </c>
      <c r="C18" s="36" t="inlineStr">
        <is>
          <t>La distribución por clase de MSAVI no figuraba en los insumos del entregable y se consignaba «Por determinar»; se incorpora la estadística zonal del ráster MSAVI clasificado (793 polígonos, 150.214 ha)</t>
        </is>
      </c>
      <c r="D18" s="35" t="inlineStr">
        <is>
          <t>CORREGIDO</t>
        </is>
      </c>
      <c r="E18" s="36"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19" ht="48" customHeight="1">
      <c r="A19" s="36" t="inlineStr">
        <is>
          <t>D-10</t>
        </is>
      </c>
      <c r="B19" s="36" t="inlineStr">
        <is>
          <t>Superficie MSAVI vs. catálogo</t>
        </is>
      </c>
      <c r="C19" s="36" t="inlineStr">
        <is>
          <t>La superficie total clasificada por el MSAVI 2024 (150.214 ha) frente a la de catálogo V5/V6 (150.210 ha): desviación de +0.00 %</t>
        </is>
      </c>
      <c r="D19" s="35" t="inlineStr">
        <is>
          <t>CONFORME</t>
        </is>
      </c>
      <c r="E19" s="36" t="inlineStr">
        <is>
          <t>Sin acción: la segmentación del ráster valida la geometría del bloque dentro del ±2 %.</t>
        </is>
      </c>
    </row>
    <row r="20" ht="48" customHeight="1">
      <c r="A20" s="36" t="inlineStr">
        <is>
          <t>D-11</t>
        </is>
      </c>
      <c r="B20" s="36" t="inlineStr">
        <is>
          <t>Media MSAVI vs. clase DN dominante</t>
        </is>
      </c>
      <c r="C20" s="36" t="inlineStr">
        <is>
          <t>La media del bloque (0.5465) cae en la clase «DN 4 · 0.4976 - 0.6139 (Vigor moderado)»; la clase de mayor superficie es «DN 4 · 0.4976 - 0.6139 (Vigor moderado)», con 47.04 % del bloque. Superficie bajo el umbral 0.4976: 42.830 ha (28.51 %)</t>
        </is>
      </c>
      <c r="D20" s="35" t="inlineStr">
        <is>
          <t>CONFORME</t>
        </is>
      </c>
      <c r="E20" s="36" t="inlineStr">
        <is>
          <t>Sin acción: la media del bloque y la clase de mayor superficie coinciden.</t>
        </is>
      </c>
    </row>
    <row r="21"/>
    <row r="22">
      <c r="A22" s="16" t="inlineStr">
        <is>
          <t>RESUMEN</t>
        </is>
      </c>
      <c r="B22" s="17" t="inlineStr">
        <is>
          <t>11 verificaciones</t>
        </is>
      </c>
      <c r="C22" s="17" t="inlineStr">
        <is>
          <t>CONFORME: 5 · CORREGIDO: 1 · NO SUSTANTIVA: 1 · SUSTANTIVA: 4</t>
        </is>
      </c>
      <c r="D22" s="17" t="inlineStr"/>
      <c r="E22" s="17" t="inlineStr"/>
    </row>
    <row r="23"/>
    <row r="24" ht="60" customHeight="1">
      <c r="A24"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4" s="41" t="n"/>
      <c r="C24" s="41" t="n"/>
      <c r="D24" s="41" t="n"/>
      <c r="E24" s="42" t="n"/>
    </row>
  </sheetData>
  <mergeCells count="8">
    <mergeCell ref="A4:E4"/>
    <mergeCell ref="A24:E24"/>
    <mergeCell ref="A2:E2"/>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10 — IN Piura</dc:title>
  <dc:subject>Diagnóstico Territorial por bloque de intervención</dc:subject>
  <dcterms:created xsi:type="dcterms:W3CDTF">2026-09-08T03:39:59Z</dcterms:created>
  <dcterms:modified xsi:type="dcterms:W3CDTF">2026-09-10T00:28:25Z</dcterms:modified>
</cp:coreProperties>
</file>