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10</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La Peña · Peña Grande</t>
        </is>
      </c>
      <c r="C13" s="6" t="inlineStr">
        <is>
          <t>Comunidad campesina</t>
        </is>
      </c>
      <c r="D13" s="7" t="inlineStr">
        <is>
          <t>Por verificar</t>
        </is>
      </c>
      <c r="E13" s="8" t="n"/>
      <c r="F13" s="8" t="n"/>
    </row>
    <row r="14">
      <c r="A14" s="6" t="inlineStr">
        <is>
          <t>Superficie de catálogo (V5/V6), ha</t>
        </is>
      </c>
      <c r="B14" s="7" t="n">
        <v>150.21</v>
      </c>
      <c r="C14" s="6" t="inlineStr">
        <is>
          <t>Fuente de superficie</t>
        </is>
      </c>
      <c r="D14" s="7" t="inlineStr">
        <is>
          <t>Catálogo maestro Bloques V5/V6</t>
        </is>
      </c>
      <c r="E14" s="8" t="n"/>
      <c r="F14" s="8" t="n"/>
    </row>
    <row r="15">
      <c r="A15" s="6" t="inlineStr">
        <is>
          <t>Centroide UTM ESTE (m)</t>
        </is>
      </c>
      <c r="B15" s="7" t="n">
        <v>650830</v>
      </c>
      <c r="C15" s="6" t="inlineStr">
        <is>
          <t>Centroide UTM NORTE (m)</t>
        </is>
      </c>
      <c r="D15" s="7" t="n">
        <v>9382303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912</v>
      </c>
      <c r="C19" s="6" t="inlineStr">
        <is>
          <t>Altitud máxima (msnm)</t>
        </is>
      </c>
      <c r="D19" s="7" t="n">
        <v>1510</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27.39</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0.5465</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(85.18 %)</t>
        </is>
      </c>
      <c r="E29" s="8" t="n"/>
      <c r="F29" s="8" t="n"/>
    </row>
    <row r="30">
      <c r="A30" s="6" t="inlineStr">
        <is>
          <t>Superficie clasificada NDVI 2025 (ha)</t>
        </is>
      </c>
      <c r="B30" s="7" t="n">
        <v>150.25</v>
      </c>
      <c r="C30" s="6" t="inlineStr">
        <is>
          <t>Desviación frente al catálogo (%)</t>
        </is>
      </c>
      <c r="D30" s="7" t="n">
        <v>0.03</v>
      </c>
      <c r="E30" s="8" t="n"/>
      <c r="F30" s="8" t="n"/>
    </row>
    <row r="31">
      <c r="A31" s="6" t="inlineStr">
        <is>
          <t>Superficie clasificada MSAVI 2024 (ha)</t>
        </is>
      </c>
      <c r="B31" s="38" t="n">
        <v>150.214</v>
      </c>
      <c r="C31" s="6" t="inlineStr">
        <is>
          <t>Desviación MSAVI frente al catálogo (%)</t>
        </is>
      </c>
      <c r="D31" s="39" t="n">
        <v>0</v>
      </c>
      <c r="E31" s="8" t="n"/>
      <c r="F31" s="8" t="n"/>
    </row>
    <row r="32">
      <c r="A32" s="6" t="inlineStr">
        <is>
          <t>Superficie bajo umbral MSAVI 0.4976 (ha)</t>
        </is>
      </c>
      <c r="B32" s="38" t="n">
        <v>42.83</v>
      </c>
      <c r="C32" s="6" t="inlineStr">
        <is>
          <t>% del bloque bajo umbral (brecha espectral)</t>
        </is>
      </c>
      <c r="D32" s="39" t="n">
        <v>28.51</v>
      </c>
      <c r="E32" s="8" t="n"/>
      <c r="F32" s="8" t="n"/>
    </row>
    <row r="33">
      <c r="A33" s="6" t="inlineStr">
        <is>
          <t>Clase DN dominante (MSAVI 2024)</t>
        </is>
      </c>
      <c r="B33" s="7" t="inlineStr">
        <is>
          <t>DN 4 · 0.4976 - 0.6139 (Vigor moderado)</t>
        </is>
      </c>
      <c r="C33" s="6" t="inlineStr">
        <is>
          <t>N.° de polígonos MSAVI del bloque</t>
        </is>
      </c>
      <c r="D33" s="40" t="n">
        <v>793</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Por determinar</t>
        </is>
      </c>
      <c r="E39" s="8" t="n"/>
      <c r="F39" s="8" t="n"/>
    </row>
    <row r="40">
      <c r="A40" s="6" t="inlineStr">
        <is>
          <t>Nivel general de erosión</t>
        </is>
      </c>
      <c r="B40" s="7" t="inlineStr">
        <is>
          <t>Moderada (surcos)</t>
        </is>
      </c>
      <c r="C40" s="6" t="inlineStr">
        <is>
          <t>N.° de cárcavas registradas</t>
        </is>
      </c>
      <c r="D40" s="7" t="inlineStr">
        <is>
          <t>Por determinar</t>
        </is>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Brigada SESDI – IN Piura</t>
        </is>
      </c>
      <c r="C44" s="6" t="inlineStr">
        <is>
          <t>Fecha de evaluación</t>
        </is>
      </c>
      <c r="D44" s="7" t="inlineStr">
        <is>
          <t>2026-08-12</t>
        </is>
      </c>
      <c r="E44" s="8" t="n"/>
      <c r="F44" s="8" t="n"/>
    </row>
    <row r="45">
      <c r="A45" s="6" t="inlineStr">
        <is>
          <t>Hora de registro</t>
        </is>
      </c>
      <c r="B45" s="7" t="inlineStr">
        <is>
          <t>12:40 - 14:22 h</t>
        </is>
      </c>
      <c r="C45" s="6" t="inlineStr">
        <is>
          <t>Correlativo de ficha</t>
        </is>
      </c>
      <c r="D45" s="7" t="inlineStr">
        <is>
          <t>F-DT-01-B10-2026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5</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y habilitación vial del interior del bloque sin instrumento de manejo, sobre laderas con aptitud forestal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36.7229</v>
      </c>
      <c r="C10" s="19">
        <f>ROUND(B10/$B$15*100,2)</f>
        <v/>
      </c>
      <c r="D10" s="11" t="inlineStr">
        <is>
          <t>Vigor alto</t>
        </is>
      </c>
      <c r="E10" s="11" t="inlineStr">
        <is>
          <t>Sobre umbral</t>
        </is>
      </c>
    </row>
    <row r="11">
      <c r="A11" s="12" t="inlineStr">
        <is>
          <t>0.4976 - 0.6139 · DN 4</t>
        </is>
      </c>
      <c r="B11" s="30" t="n">
        <v>70.6617</v>
      </c>
      <c r="C11" s="29">
        <f>ROUND(B11/$B$15*100,2)</f>
        <v/>
      </c>
      <c r="D11" s="13" t="inlineStr">
        <is>
          <t>Vigor moderado</t>
        </is>
      </c>
      <c r="E11" s="13" t="inlineStr">
        <is>
          <t>Sobre umbral</t>
        </is>
      </c>
    </row>
    <row r="12">
      <c r="A12" s="7" t="inlineStr">
        <is>
          <t>0.3813 - 0.4976 · DN 3</t>
        </is>
      </c>
      <c r="B12" s="18" t="n">
        <v>35.7511</v>
      </c>
      <c r="C12" s="19">
        <f>ROUND(B12/$B$15*100,2)</f>
        <v/>
      </c>
      <c r="D12" s="11" t="inlineStr">
        <is>
          <t>Vigor bajo</t>
        </is>
      </c>
      <c r="E12" s="11" t="inlineStr">
        <is>
          <t>BAJO umbral 0.4976</t>
        </is>
      </c>
    </row>
    <row r="13">
      <c r="A13" s="14" t="inlineStr">
        <is>
          <t>0.2650 - 0.3813 · DN 2</t>
        </is>
      </c>
      <c r="B13" s="20" t="n">
        <v>5.4455</v>
      </c>
      <c r="C13" s="21">
        <f>ROUND(B13/$B$15*100,2)</f>
        <v/>
      </c>
      <c r="D13" s="15" t="inlineStr">
        <is>
          <t>Vigor muy bajo</t>
        </is>
      </c>
      <c r="E13" s="15" t="inlineStr">
        <is>
          <t>BAJO umbral 0.4976</t>
        </is>
      </c>
    </row>
    <row r="14">
      <c r="A14" s="7" t="inlineStr">
        <is>
          <t>&lt;= 0.2650 · DN 1</t>
        </is>
      </c>
      <c r="B14" s="18" t="n">
        <v>1.6331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793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150.21</v>
      </c>
      <c r="C18" s="49" t="inlineStr">
        <is>
          <t>—</t>
        </is>
      </c>
      <c r="D18" s="46" t="inlineStr">
        <is>
          <t>Desviación planimétrica frente al catálogo</t>
        </is>
      </c>
      <c r="E18" s="46" t="inlineStr">
        <is>
          <t>+0.00 %</t>
        </is>
      </c>
    </row>
    <row r="19">
      <c r="A19" s="16" t="inlineStr">
        <is>
          <t>MSAVI 2024 — MEDIA DEL BLOQUE</t>
        </is>
      </c>
      <c r="B19" s="17" t="n">
        <v>0.546492</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793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(0.5465)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127.9822</v>
      </c>
      <c r="C25" s="19" t="n">
        <v>85.18000000000001</v>
      </c>
      <c r="D25" s="11" t="inlineStr">
        <is>
          <t>Dosel continuo, matorral denso o mosaico agroforestal</t>
        </is>
      </c>
      <c r="E25" s="11" t="inlineStr"/>
    </row>
    <row r="26">
      <c r="A26" s="14" t="inlineStr">
        <is>
          <t>Vegetación mediana</t>
        </is>
      </c>
      <c r="B26" s="20" t="n">
        <v>18.5976</v>
      </c>
      <c r="C26" s="21" t="n">
        <v>12.38</v>
      </c>
      <c r="D26" s="15" t="inlineStr">
        <is>
          <t>Pastizal cultivado, matorral ralo, parcelas agrícolas</t>
        </is>
      </c>
      <c r="E26" s="15" t="inlineStr"/>
    </row>
    <row r="27">
      <c r="A27" s="7" t="inlineStr">
        <is>
          <t>Vegetación ligera</t>
        </is>
      </c>
      <c r="B27" s="18" t="n">
        <v>2.5427</v>
      </c>
      <c r="C27" s="19" t="n">
        <v>1.69</v>
      </c>
      <c r="D27" s="11" t="inlineStr">
        <is>
          <t>Cobertura discontinua, suelo parcialmente expuesto</t>
        </is>
      </c>
      <c r="E27" s="11" t="inlineStr"/>
    </row>
    <row r="28">
      <c r="A28" s="14" t="inlineStr">
        <is>
          <t>Tierra desnuda</t>
        </is>
      </c>
      <c r="B28" s="20" t="n">
        <v>1.1271</v>
      </c>
      <c r="C28" s="21" t="n">
        <v>0.75</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150.21</v>
      </c>
      <c r="C30" s="25" t="inlineStr">
        <is>
          <t>—</t>
        </is>
      </c>
      <c r="D30" s="25" t="inlineStr">
        <is>
          <t>Desviación planimétrica frente al catálogo</t>
        </is>
      </c>
      <c r="E30" s="25" t="inlineStr">
        <is>
          <t>+0.03 %</t>
        </is>
      </c>
    </row>
    <row r="31"/>
    <row r="32" ht="72"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10</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651184</v>
      </c>
      <c r="D10" s="26" t="n">
        <v>9382309</v>
      </c>
      <c r="E10" s="11" t="n">
        <v>354.1</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Estacional</t>
        </is>
      </c>
      <c r="G11" s="15" t="inlineStr">
        <is>
          <t>Red de vaguadas tributarias</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650830</v>
      </c>
      <c r="C14" s="6" t="inlineStr">
        <is>
          <t>Centroide del bloque — UTM NORTE (m)</t>
        </is>
      </c>
      <c r="D14" s="7" t="n">
        <v>9382303</v>
      </c>
      <c r="E14" s="8" t="n"/>
      <c r="F14" s="8" t="n"/>
      <c r="G14" s="8" t="n"/>
      <c r="H14" s="8" t="n"/>
    </row>
    <row r="15">
      <c r="A15" s="6" t="inlineStr">
        <is>
          <t>N.° de estaciones fotográficas declaradas</t>
        </is>
      </c>
      <c r="B15" s="7" t="n">
        <v>5</v>
      </c>
      <c r="C15" s="6" t="inlineStr">
        <is>
          <t>Estaciones dentro del polígono</t>
        </is>
      </c>
      <c r="D15" s="7" t="n">
        <v>4</v>
      </c>
      <c r="E15" s="8" t="n"/>
      <c r="F15" s="8" t="n"/>
      <c r="G15" s="8" t="n"/>
      <c r="H15" s="8" t="n"/>
    </row>
    <row r="17" ht="96"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Reconocimiento del 12-08-2026 por recorrido vehicular con registro fotográfico georreferenciado; la ficha NO fue diligenciada en campo. Cuatro de las cinco estaciones se ubican DENTRO del polígono (249-302 m del borde); la restante a ~570 m al NE.</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10</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10</t>
        </is>
      </c>
      <c r="B10" s="28" t="n">
        <v>150.21</v>
      </c>
      <c r="C10" s="29" t="n">
        <v>28.67</v>
      </c>
      <c r="D10" s="13" t="inlineStr">
        <is>
          <t>912 – 1510</t>
        </is>
      </c>
      <c r="E10" s="13" t="n">
        <v>598</v>
      </c>
      <c r="F10" s="13" t="n">
        <v>27.39</v>
      </c>
      <c r="G10" s="30" t="n">
        <v>0.5465</v>
      </c>
      <c r="H10" s="29" t="n">
        <v>85.18000000000001</v>
      </c>
      <c r="I10" s="29" t="n">
        <v>28.51</v>
      </c>
    </row>
    <row r="11">
      <c r="A11" s="14" t="inlineStr">
        <is>
          <t>8</t>
        </is>
      </c>
      <c r="B11" s="31" t="n">
        <v>126.95</v>
      </c>
      <c r="C11" s="21" t="n">
        <v>24.23</v>
      </c>
      <c r="D11" s="15" t="inlineStr">
        <is>
          <t>1504 – 1970</t>
        </is>
      </c>
      <c r="E11" s="15" t="n">
        <v>466</v>
      </c>
      <c r="F11" s="15" t="n">
        <v>29.85</v>
      </c>
      <c r="G11" s="20" t="n">
        <v>0.5548</v>
      </c>
      <c r="H11" s="21" t="n">
        <v>72.25</v>
      </c>
      <c r="I11" s="21" t="n">
        <v>28.4</v>
      </c>
    </row>
    <row r="12">
      <c r="A12" s="7" t="inlineStr">
        <is>
          <t>16</t>
        </is>
      </c>
      <c r="B12" s="32" t="n">
        <v>83.33</v>
      </c>
      <c r="C12" s="19" t="n">
        <v>15.91</v>
      </c>
      <c r="D12" s="11" t="inlineStr">
        <is>
          <t>1349 – 1746</t>
        </is>
      </c>
      <c r="E12" s="11" t="n">
        <v>397</v>
      </c>
      <c r="F12" s="11" t="n">
        <v>22.34</v>
      </c>
      <c r="G12" s="18" t="n">
        <v>0.6284</v>
      </c>
      <c r="H12" s="19" t="n">
        <v>94.13</v>
      </c>
      <c r="I12" s="19" t="n">
        <v>7.3</v>
      </c>
    </row>
    <row r="13">
      <c r="A13" s="14" t="inlineStr">
        <is>
          <t>20</t>
        </is>
      </c>
      <c r="B13" s="31" t="n">
        <v>81.33</v>
      </c>
      <c r="C13" s="21" t="n">
        <v>15.52</v>
      </c>
      <c r="D13" s="15" t="inlineStr">
        <is>
          <t>1217 – 1607</t>
        </is>
      </c>
      <c r="E13" s="15" t="n">
        <v>390</v>
      </c>
      <c r="F13" s="15" t="n">
        <v>24.54</v>
      </c>
      <c r="G13" s="20" t="n">
        <v>0.4851</v>
      </c>
      <c r="H13" s="21" t="n">
        <v>52.44</v>
      </c>
      <c r="I13" s="21" t="n">
        <v>59.23</v>
      </c>
    </row>
    <row r="14">
      <c r="A14" s="7" t="inlineStr">
        <is>
          <t>80</t>
        </is>
      </c>
      <c r="B14" s="32" t="n">
        <v>28.83</v>
      </c>
      <c r="C14" s="19" t="n">
        <v>5.5</v>
      </c>
      <c r="D14" s="11" t="inlineStr">
        <is>
          <t>2180 – 2491</t>
        </is>
      </c>
      <c r="E14" s="11" t="n">
        <v>311</v>
      </c>
      <c r="F14" s="11" t="n">
        <v>32.9</v>
      </c>
      <c r="G14" s="18" t="n">
        <v>0.5931</v>
      </c>
      <c r="H14" s="19" t="n">
        <v>78.73</v>
      </c>
      <c r="I14" s="19" t="n">
        <v>16.88</v>
      </c>
    </row>
    <row r="15">
      <c r="A15" s="14" t="inlineStr">
        <is>
          <t>51</t>
        </is>
      </c>
      <c r="B15" s="31" t="n">
        <v>22.93</v>
      </c>
      <c r="C15" s="21" t="n">
        <v>4.38</v>
      </c>
      <c r="D15" s="15" t="inlineStr">
        <is>
          <t>1734 – 2018</t>
        </is>
      </c>
      <c r="E15" s="15" t="n">
        <v>284</v>
      </c>
      <c r="F15" s="15" t="n">
        <v>31.74</v>
      </c>
      <c r="G15" s="20" t="n">
        <v>0.5238</v>
      </c>
      <c r="H15" s="21" t="n">
        <v>69.45999999999999</v>
      </c>
      <c r="I15" s="21" t="n">
        <v>34.63</v>
      </c>
    </row>
    <row r="16">
      <c r="A16" s="7" t="inlineStr">
        <is>
          <t>76</t>
        </is>
      </c>
      <c r="B16" s="32" t="n">
        <v>19.62</v>
      </c>
      <c r="C16" s="19" t="n">
        <v>3.75</v>
      </c>
      <c r="D16" s="11" t="inlineStr">
        <is>
          <t>1647 – 1838</t>
        </is>
      </c>
      <c r="E16" s="11" t="n">
        <v>191</v>
      </c>
      <c r="F16" s="11" t="n">
        <v>26.25</v>
      </c>
      <c r="G16" s="18" t="n">
        <v>0.4925</v>
      </c>
      <c r="H16" s="19" t="n">
        <v>46.27</v>
      </c>
      <c r="I16" s="19" t="n">
        <v>54.14</v>
      </c>
    </row>
    <row r="17">
      <c r="A17" s="14" t="inlineStr">
        <is>
          <t>71</t>
        </is>
      </c>
      <c r="B17" s="31" t="n">
        <v>10.67</v>
      </c>
      <c r="C17" s="21" t="n">
        <v>2.04</v>
      </c>
      <c r="D17" s="15" t="inlineStr">
        <is>
          <t>1478 – 1609</t>
        </is>
      </c>
      <c r="E17" s="15" t="n">
        <v>131</v>
      </c>
      <c r="F17" s="15" t="n">
        <v>29.45</v>
      </c>
      <c r="G17" s="20" t="n">
        <v>0.5571</v>
      </c>
      <c r="H17" s="21" t="n">
        <v>81.37</v>
      </c>
      <c r="I17" s="21" t="n">
        <v>25.94</v>
      </c>
    </row>
    <row r="18">
      <c r="A18" s="16" t="inlineStr">
        <is>
          <t>TOTAL / PROMEDIO</t>
        </is>
      </c>
      <c r="B18" s="33">
        <f>SUM(B10:B17)</f>
        <v/>
      </c>
      <c r="C18" s="23">
        <f>SUM(C10:C17)</f>
        <v/>
      </c>
      <c r="D18" s="17" t="inlineStr">
        <is>
          <t>912 – 2491</t>
        </is>
      </c>
      <c r="E18" s="17" t="inlineStr"/>
      <c r="F18" s="17">
        <f>ROUND(AVERAGE(F10:F17),2)</f>
        <v/>
      </c>
      <c r="G18" s="22">
        <f>ROUND(AVERAGE(G10:G17),4)</f>
        <v/>
      </c>
      <c r="H18" s="23">
        <f>ROUND(AVERAGE(H10:H17),2)</f>
        <v/>
      </c>
      <c r="I18" s="23">
        <f>ROUND(AVERAGE(I10:I17),2)</f>
        <v/>
      </c>
    </row>
    <row r="19"/>
    <row r="20" ht="84" customHeight="1">
      <c r="A20" s="9" t="inlineStr">
        <is>
          <t>LECTURA INTRAMICROCUENCA. El bloque 10 ocupa el puesto 1 de 8 por superficie dentro de la microcuenca C1076-Q9593 (28.67 % de las 523.87 ha preliminares de la microcuenca). Su pendiente promedio (27.39 %, clase «25-50% (Mod. escarpado)») es la 4.ª más baja de 8 y se sitúa por debajo del promedio de la microcuenca (28.06 %). Su MSAVI 2024 (0.5465) es el 5.º de 8 y queda por debajo del promedio local (0.5477). Amplitud altitudinal del bloque: 598 m (912–1510 msnm). El cuadro conserva todos los bloques catalogados en la microcuenca, incluidos los descartados en el tamizaje, para referencia del conjunto. Los bloques sin ficha DT figuran con sus parámetros de gabinete. BRECHA ESPECTRAL. El 28.51 % de la superficie del bloque (42.830 ha de 150.214 ha) se sitúa bajo el umbral MSAVI 0.4976, por debajo del promedio local de la microcuenca (31.88 %) calculado sobre los bloques con dato MSAVI disponible.</t>
        </is>
      </c>
      <c r="B20" s="41" t="n"/>
      <c r="C20" s="41" t="n"/>
      <c r="D20" s="41" t="n"/>
      <c r="E20" s="41" t="n"/>
      <c r="F20" s="41" t="n"/>
      <c r="G20" s="41" t="n"/>
      <c r="H20" s="42"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2"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354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(150.250 ha) coincide con la de catálogo (150.21 ha) dentro del ±2 % (+0.03 %)</t>
        </is>
      </c>
      <c r="D12" s="37"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3" t="inlineStr">
        <is>
          <t>NO SUSTANTIVA</t>
        </is>
      </c>
      <c r="E13" s="36" t="inlineStr">
        <is>
          <t>El rango altitudinal del bloque (912–1510 msnm) y la pendiente promedio (27.39 %) se toman de la estadística zonal sobre el MDE, no de medición de campo. Se declara la fuente.</t>
        </is>
      </c>
    </row>
    <row r="14" ht="48" customHeight="1">
      <c r="A14" s="34" t="inlineStr">
        <is>
          <t>D-05</t>
        </is>
      </c>
      <c r="B14" s="34" t="inlineStr">
        <is>
          <t>Inventario georreferenciado de cárcavas</t>
        </is>
      </c>
      <c r="C14" s="34" t="inlineStr">
        <is>
          <t>El inventario de cárcavas no fue ejecutado o no consta en la ficha DT</t>
        </is>
      </c>
      <c r="D14" s="35" t="inlineStr">
        <is>
          <t>SUSTANTIVA</t>
        </is>
      </c>
      <c r="E14" s="34"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6" t="inlineStr">
        <is>
          <t>D-06</t>
        </is>
      </c>
      <c r="B15" s="36" t="inlineStr">
        <is>
          <t>Elenco florístico</t>
        </is>
      </c>
      <c r="C15" s="36" t="inlineStr">
        <is>
          <t>La ficha registra 7 taxones, por debajo del mínimo de 15 que exige el formato V5</t>
        </is>
      </c>
      <c r="D15" s="35"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Centro poblado asociado</t>
        </is>
      </c>
      <c r="C16" s="34" t="inlineStr">
        <is>
          <t>La ficha DT declara «La Peña · Peña Grande»; el cruce INEI-Bloques V5 identifica 1 centro(s) poblado(s) en el bloque: LA PEÑA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6" t="inlineStr">
        <is>
          <t>D-09</t>
        </is>
      </c>
      <c r="B18" s="36" t="inlineStr">
        <is>
          <t>Distribución areal MSAVI 2024</t>
        </is>
      </c>
      <c r="C18" s="36" t="inlineStr">
        <is>
          <t>La distribución por clase de MSAVI no figuraba en los insumos del entregable y se consignaba «Por determinar»; se incorpora la estadística zonal del ráster MSAVI clasificado (793 polígonos, 150.214 ha)</t>
        </is>
      </c>
      <c r="D18" s="35" t="inlineStr">
        <is>
          <t>CORREGIDO</t>
        </is>
      </c>
      <c r="E1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6" t="inlineStr">
        <is>
          <t>D-10</t>
        </is>
      </c>
      <c r="B19" s="36" t="inlineStr">
        <is>
          <t>Superficie MSAVI vs. catálogo</t>
        </is>
      </c>
      <c r="C19" s="36" t="inlineStr">
        <is>
          <t>La superficie total clasificada por el MSAVI 2024 (150.214 ha) frente a la de catálogo V5/V6 (150.210 ha): desviación de +0.00 %</t>
        </is>
      </c>
      <c r="D19" s="35" t="inlineStr">
        <is>
          <t>CONFORME</t>
        </is>
      </c>
      <c r="E19" s="36" t="inlineStr">
        <is>
          <t>Sin acción: la segmentación del ráster valida la geometría del bloque dentro del ±2 %.</t>
        </is>
      </c>
    </row>
    <row r="20" ht="48" customHeight="1">
      <c r="A20" s="36" t="inlineStr">
        <is>
          <t>D-11</t>
        </is>
      </c>
      <c r="B20" s="36" t="inlineStr">
        <is>
          <t>Media MSAVI vs. clase DN dominante</t>
        </is>
      </c>
      <c r="C20" s="36" t="inlineStr">
        <is>
          <t>La media del bloque (0.5465) cae en la clase «DN 4 · 0.4976 - 0.6139 (Vigor moderado)»; la clase de mayor superficie es «DN 4 · 0.4976 - 0.6139 (Vigor moderado)», con 47.04 % del bloque. Superficie bajo el umbral 0.4976: 42.830 ha (28.51 %)</t>
        </is>
      </c>
      <c r="D20" s="35" t="inlineStr">
        <is>
          <t>CONFORME</t>
        </is>
      </c>
      <c r="E20" s="36" t="inlineStr">
        <is>
          <t>Sin acción: la media del bloque y la clase de mayor superficie coinciden.</t>
        </is>
      </c>
    </row>
    <row r="21"/>
    <row r="22">
      <c r="A22" s="16" t="inlineStr">
        <is>
          <t>RESUMEN</t>
        </is>
      </c>
      <c r="B22" s="17" t="inlineStr">
        <is>
          <t>11 verificaciones</t>
        </is>
      </c>
      <c r="C22" s="17" t="inlineStr">
        <is>
          <t>CONFORME: 5 · CORREGIDO: 1 · NO SUSTANTIVA: 1 · SUSTANTIVA: 4</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1" t="n"/>
      <c r="C24" s="41" t="n"/>
      <c r="D24" s="41" t="n"/>
      <c r="E24" s="42"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10 — IN Piura</dc:title>
  <dc:subject>Diagnóstico Territorial por bloque de intervención</dc:subject>
  <dcterms:created xsi:type="dcterms:W3CDTF">2026-09-08T03:39:59Z</dcterms:created>
  <dcterms:modified xsi:type="dcterms:W3CDTF">2026-09-09T23:30:50Z</dcterms:modified>
</cp:coreProperties>
</file>