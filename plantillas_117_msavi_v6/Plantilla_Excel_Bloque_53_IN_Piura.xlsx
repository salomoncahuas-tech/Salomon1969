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53</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Zururán</t>
        </is>
      </c>
      <c r="C13" s="6" t="inlineStr">
        <is>
          <t>Comunidad campesina</t>
        </is>
      </c>
      <c r="D13" s="7" t="inlineStr">
        <is>
          <t>Por verificar — no se consultó registro de comunidades campesinas en campo</t>
        </is>
      </c>
      <c r="E13" s="8" t="n"/>
      <c r="F13" s="8" t="n"/>
    </row>
    <row r="14">
      <c r="A14" s="6" t="inlineStr">
        <is>
          <t>Superficie de catálogo (V5/V6), ha</t>
        </is>
      </c>
      <c r="B14" s="7" t="n">
        <v>13.06</v>
      </c>
      <c r="C14" s="6" t="inlineStr">
        <is>
          <t>Fuente de superficie</t>
        </is>
      </c>
      <c r="D14" s="7" t="inlineStr">
        <is>
          <t>Catálogo maestro Bloques V5/V6</t>
        </is>
      </c>
      <c r="E14" s="8" t="n"/>
      <c r="F14" s="8" t="n"/>
    </row>
    <row r="15">
      <c r="A15" s="6" t="inlineStr">
        <is>
          <t>Centroide UTM ESTE (m)</t>
        </is>
      </c>
      <c r="B15" s="7" t="n">
        <v>666537</v>
      </c>
      <c r="C15" s="6" t="inlineStr">
        <is>
          <t>Centroide UTM NORTE (m)</t>
        </is>
      </c>
      <c r="D15" s="7" t="n">
        <v>9395918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2235</v>
      </c>
      <c r="C19" s="6" t="inlineStr">
        <is>
          <t>Altitud máxima (msnm)</t>
        </is>
      </c>
      <c r="D19" s="7" t="n">
        <v>2540</v>
      </c>
      <c r="E19" s="8" t="n"/>
      <c r="F19" s="8" t="n"/>
    </row>
    <row r="20">
      <c r="A20" s="6" t="inlineStr">
        <is>
          <t>Amplitud altitudinal (m)</t>
        </is>
      </c>
      <c r="B20" s="7" t="n">
        <v>305</v>
      </c>
      <c r="C20" s="6" t="inlineStr">
        <is>
          <t>Piso altitudinal dominante</t>
        </is>
      </c>
      <c r="D20" s="7" t="inlineStr">
        <is>
          <t>2000-2500 m (Quechua alta)</t>
        </is>
      </c>
      <c r="E20" s="8" t="n"/>
      <c r="F20" s="8" t="n"/>
    </row>
    <row r="21">
      <c r="A21" s="6" t="inlineStr">
        <is>
          <t>Pendiente promedio (%)</t>
        </is>
      </c>
      <c r="B21" s="7" t="n">
        <v>26.89</v>
      </c>
      <c r="C21" s="6" t="inlineStr">
        <is>
          <t>Pendiente promedio (grados)</t>
        </is>
      </c>
      <c r="D21" s="7" t="n">
        <v>15.1</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0.5963000000000001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(86.15 %)</t>
        </is>
      </c>
      <c r="E29" s="8" t="n"/>
      <c r="F29" s="8" t="n"/>
    </row>
    <row r="30">
      <c r="A30" s="6" t="inlineStr">
        <is>
          <t>Superficie clasificada NDVI 2025 (ha)</t>
        </is>
      </c>
      <c r="B30" s="7" t="n">
        <v>13.066</v>
      </c>
      <c r="C30" s="6" t="inlineStr">
        <is>
          <t>Desviación frente al catálogo (%)</t>
        </is>
      </c>
      <c r="D30" s="7" t="n">
        <v>0.05</v>
      </c>
      <c r="E30" s="8" t="n"/>
      <c r="F30" s="8" t="n"/>
    </row>
    <row r="31">
      <c r="A31" s="6" t="inlineStr">
        <is>
          <t>Superficie clasificada MSAVI 2024 (ha)</t>
        </is>
      </c>
      <c r="B31" s="36" t="n">
        <v>13.065</v>
      </c>
      <c r="C31" s="6" t="inlineStr">
        <is>
          <t>Desviación MSAVI frente al catálogo (%)</t>
        </is>
      </c>
      <c r="D31" s="37" t="n">
        <v>0.04</v>
      </c>
      <c r="E31" s="8" t="n"/>
      <c r="F31" s="8" t="n"/>
    </row>
    <row r="32">
      <c r="A32" s="6" t="inlineStr">
        <is>
          <t>Superficie bajo umbral MSAVI 0.4976 (ha)</t>
        </is>
      </c>
      <c r="B32" s="36" t="n">
        <v>1.626</v>
      </c>
      <c r="C32" s="6" t="inlineStr">
        <is>
          <t>% del bloque bajo umbral (brecha espectral)</t>
        </is>
      </c>
      <c r="D32" s="37" t="n">
        <v>12.45</v>
      </c>
      <c r="E32" s="8" t="n"/>
      <c r="F32" s="8" t="n"/>
    </row>
    <row r="33">
      <c r="A33" s="6" t="inlineStr">
        <is>
          <t>Clase DN dominante (MSAVI 2024)</t>
        </is>
      </c>
      <c r="B33" s="7" t="inlineStr">
        <is>
          <t>DN 4 · 0.4976 - 0.6139 (Vigor moderado)</t>
        </is>
      </c>
      <c r="C33" s="6" t="inlineStr">
        <is>
          <t>N.° de polígonos MSAVI del bloque</t>
        </is>
      </c>
      <c r="D33" s="38" t="n">
        <v>78</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13.066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Matorral ralo</t>
        </is>
      </c>
      <c r="C38" s="6" t="inlineStr">
        <is>
          <t>Cobertura vegetal total — campo (%)</t>
        </is>
      </c>
      <c r="D38" s="7" t="n">
        <v>70</v>
      </c>
      <c r="E38" s="8" t="n"/>
      <c r="F38" s="8" t="n"/>
    </row>
    <row r="39">
      <c r="A39" s="6" t="inlineStr">
        <is>
          <t>Suelo desnudo — campo (%)</t>
        </is>
      </c>
      <c r="B39" s="7" t="n">
        <v>15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inlineStr">
        <is>
          <t>Por determinar</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determinar</t>
        </is>
      </c>
      <c r="C44" s="6" t="inlineStr">
        <is>
          <t>Fecha de evaluación</t>
        </is>
      </c>
      <c r="D44" s="7" t="inlineStr">
        <is>
          <t>2026-09-05</t>
        </is>
      </c>
      <c r="E44" s="8" t="n"/>
      <c r="F44" s="8" t="n"/>
    </row>
    <row r="45">
      <c r="A45" s="6" t="inlineStr">
        <is>
          <t>Hora de registro</t>
        </is>
      </c>
      <c r="B45" s="7" t="inlineStr">
        <is>
          <t>10:35 - 11:10 h</t>
        </is>
      </c>
      <c r="C45" s="6" t="inlineStr">
        <is>
          <t>Correlativo de ficha</t>
        </is>
      </c>
      <c r="D45" s="7" t="inlineStr">
        <is>
          <t>F-DT-01/53/2026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10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ganadera sin ordenamiento de carga ni clausura, sobre una unidad de cabecera de microcuenca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5.5755</v>
      </c>
      <c r="C10" s="19">
        <f>ROUND(B10/$B$15*100,2)</f>
        <v>42.68</v>
      </c>
      <c r="D10" s="11" t="inlineStr">
        <is>
          <t>Vigor alto</t>
        </is>
      </c>
      <c r="E10" s="11" t="inlineStr">
        <is>
          <t>Sobre umbral</t>
        </is>
      </c>
    </row>
    <row r="11">
      <c r="A11" s="12" t="inlineStr">
        <is>
          <t>0.4976 - 0.6139 · DN 4</t>
        </is>
      </c>
      <c r="B11" s="30" t="n">
        <v>5.8631</v>
      </c>
      <c r="C11" s="29">
        <f>ROUND(B11/$B$15*100,2)</f>
        <v>44.88</v>
      </c>
      <c r="D11" s="13" t="inlineStr">
        <is>
          <t>Vigor moderado</t>
        </is>
      </c>
      <c r="E11" s="13" t="inlineStr">
        <is>
          <t>Sobre umbral</t>
        </is>
      </c>
    </row>
    <row r="12">
      <c r="A12" s="7" t="inlineStr">
        <is>
          <t>0.3813 - 0.4976 · DN 3</t>
        </is>
      </c>
      <c r="B12" s="18" t="n">
        <v>1.5271</v>
      </c>
      <c r="C12" s="19">
        <f>ROUND(B12/$B$15*100,2)</f>
        <v>11.69</v>
      </c>
      <c r="D12" s="11" t="inlineStr">
        <is>
          <t>Vigor bajo</t>
        </is>
      </c>
      <c r="E12" s="11" t="inlineStr">
        <is>
          <t>BAJO umbral 0.4976</t>
        </is>
      </c>
    </row>
    <row r="13">
      <c r="A13" s="14" t="inlineStr">
        <is>
          <t>0.2650 - 0.3813 · DN 2</t>
        </is>
      </c>
      <c r="B13" s="20" t="n">
        <v>0.099</v>
      </c>
      <c r="C13" s="21">
        <f>ROUND(B13/$B$15*100,2)</f>
        <v>0.76</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1" t="inlineStr">
        <is>
          <t>TOTAL CLASIFICADO MSAVI 2024</t>
        </is>
      </c>
      <c r="B15" s="42">
        <f>SUM(B10:B14)</f>
        <v>13.0647</v>
      </c>
      <c r="C15" s="43">
        <f>SUM(C10:C14)</f>
        <v>100.01</v>
      </c>
      <c r="D15" s="41" t="inlineStr">
        <is>
          <t>Suma de la distribución areal · 78 polígonos</t>
        </is>
      </c>
      <c r="E15" s="41" t="inlineStr">
        <is>
          <t>—</t>
        </is>
      </c>
    </row>
    <row r="16" ht="30" customHeight="1">
      <c r="A16" s="44" t="inlineStr">
        <is>
          <t>Superficie SOBRE umbral 0.4976 (ha)</t>
        </is>
      </c>
      <c r="B16" s="45">
        <f>SUM(B10:B11)</f>
        <v>11.4386</v>
      </c>
      <c r="C16" s="46">
        <f>ROUND(B16/B15*100,2)</f>
        <v>87.55</v>
      </c>
      <c r="D16" s="44" t="inlineStr">
        <is>
          <t>Vigor alto y moderado (DN 4 y DN 5)</t>
        </is>
      </c>
      <c r="E16" s="44" t="inlineStr">
        <is>
          <t>Sobre umbral 0.4976</t>
        </is>
      </c>
    </row>
    <row r="17" ht="30" customHeight="1">
      <c r="A17" s="44" t="inlineStr">
        <is>
          <t>Superficie BAJO umbral 0.4976 (ha) — brecha</t>
        </is>
      </c>
      <c r="B17" s="45">
        <f>SUM(B12:B14)</f>
        <v>1.6261</v>
      </c>
      <c r="C17" s="46">
        <f>ROUND(B17/B15*100,2)</f>
        <v>12.45</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13.06</v>
      </c>
      <c r="C18" s="47" t="inlineStr">
        <is>
          <t>—</t>
        </is>
      </c>
      <c r="D18" s="44" t="inlineStr">
        <is>
          <t>Desviación planimétrica frente al catálogo</t>
        </is>
      </c>
      <c r="E18" s="44" t="inlineStr">
        <is>
          <t>+0.04 %</t>
        </is>
      </c>
    </row>
    <row r="19">
      <c r="A19" s="16" t="inlineStr">
        <is>
          <t>MSAVI 2024 — MEDIA DEL BLOQUE</t>
        </is>
      </c>
      <c r="B19" s="17" t="n">
        <v>0.5962769999999999</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(0.5963) se conserva del catálogo maestro y es dato oficial; la fila resaltada indica la clase en la que cae dicha media. Los totales y porcentajes se calculan con fórmulas sobre las filas del cuadro.</t>
        </is>
      </c>
      <c r="B21" s="39" t="n"/>
      <c r="C21" s="39" t="n"/>
      <c r="D21" s="39" t="n"/>
      <c r="E21" s="40"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11.257</v>
      </c>
      <c r="C25" s="19" t="n">
        <v>86.15000000000001</v>
      </c>
      <c r="D25" s="11" t="inlineStr">
        <is>
          <t>Dosel continuo, matorral denso o mosaico agroforestal</t>
        </is>
      </c>
      <c r="E25" s="11" t="inlineStr"/>
    </row>
    <row r="26">
      <c r="A26" s="14" t="inlineStr">
        <is>
          <t>Vegetación mediana</t>
        </is>
      </c>
      <c r="B26" s="20" t="n">
        <v>1.7894</v>
      </c>
      <c r="C26" s="21" t="n">
        <v>13.7</v>
      </c>
      <c r="D26" s="15" t="inlineStr">
        <is>
          <t>Pastizal cultivado, matorral ralo, parcelas agrícolas</t>
        </is>
      </c>
      <c r="E26" s="15" t="inlineStr"/>
    </row>
    <row r="27">
      <c r="A27" s="7" t="inlineStr">
        <is>
          <t>Vegetación ligera</t>
        </is>
      </c>
      <c r="B27" s="18" t="n">
        <v>0.0198</v>
      </c>
      <c r="C27" s="19" t="n">
        <v>0.15</v>
      </c>
      <c r="D27" s="11" t="inlineStr">
        <is>
          <t>Cobertura discontinua, suelo parcialmente expuesto</t>
        </is>
      </c>
      <c r="E27" s="11" t="inlineStr"/>
    </row>
    <row r="28">
      <c r="A28" s="16" t="inlineStr">
        <is>
          <t>TOTAL CLASIFICADO</t>
        </is>
      </c>
      <c r="B28" s="22">
        <f>SUM(B25:B27)</f>
        <v>13.0662</v>
      </c>
      <c r="C28" s="23">
        <f>SUM(C25:C27)</f>
        <v>100.0</v>
      </c>
      <c r="D28" s="17" t="inlineStr"/>
      <c r="E28" s="17" t="inlineStr"/>
    </row>
    <row r="29">
      <c r="A29" s="24" t="inlineStr">
        <is>
          <t>Superficie de catálogo (V5/V6)</t>
        </is>
      </c>
      <c r="B29" s="25" t="n">
        <v>13.06</v>
      </c>
      <c r="C29" s="25" t="inlineStr">
        <is>
          <t>—</t>
        </is>
      </c>
      <c r="D29" s="25" t="inlineStr">
        <is>
          <t>Desviación planimétrica frente al catálogo</t>
        </is>
      </c>
      <c r="E29" s="25" t="inlineStr">
        <is>
          <t>+0.05 %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86.15 % del polígono clasificado como «Vegetación alta» por el NDVI 2025; la observación de campo corresponde a una parcela o recorrido puntual y no es estadísticamente representativa de las 13.060 ha del bloque.</t>
        </is>
      </c>
      <c r="B31" s="39" t="n"/>
      <c r="C31" s="39" t="n"/>
      <c r="D31" s="39" t="n"/>
      <c r="E31" s="40"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53</t>
        </is>
      </c>
    </row>
    <row r="6" ht="24" customHeight="1">
      <c r="A6" s="4" t="inlineStr">
        <is>
          <t>Levantamiento del 2026-09-05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1"/>
    <row r="12">
      <c r="A12" s="6" t="inlineStr">
        <is>
          <t>Centroide del bloque — UTM ESTE (m)</t>
        </is>
      </c>
      <c r="B12" s="7" t="n">
        <v>666537</v>
      </c>
      <c r="C12" s="6" t="inlineStr">
        <is>
          <t>Centroide del bloque — UTM NORTE (m)</t>
        </is>
      </c>
      <c r="D12" s="7" t="n">
        <v>9395918</v>
      </c>
      <c r="E12" s="8" t="n"/>
      <c r="F12" s="8" t="n"/>
      <c r="G12" s="8" t="n"/>
      <c r="H12" s="8" t="n"/>
    </row>
    <row r="13">
      <c r="A13" s="6" t="inlineStr">
        <is>
          <t>N.° de estaciones fotográficas declaradas</t>
        </is>
      </c>
      <c r="B13" s="7" t="n">
        <v>10</v>
      </c>
      <c r="C13" s="6" t="inlineStr">
        <is>
          <t>Estaciones dentro del polígono</t>
        </is>
      </c>
      <c r="D13" s="7" t="inlineStr">
        <is>
          <t>Por determinar</t>
        </is>
      </c>
      <c r="E13" s="8" t="n"/>
      <c r="F13" s="8" t="n"/>
      <c r="G13" s="8" t="n"/>
      <c r="H13" s="8" t="n"/>
    </row>
    <row r="14"/>
    <row r="15" ht="108"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Ninguna ficha F-DT fue diligenciada en campo el 19-08-2026; el reconocimiento consistió en recorrido con registro fotográfico georreferenciado. Pendiente promedio zonal (MDE) 26.89% ≈ 15.05°; rango altitudinal 2235-2540 msnm (amplitud 305 m). Escarpes activos en taludes de corte del camino de herradura y de la trocha en el borde noroccidental.</t>
        </is>
      </c>
      <c r="B15" s="39" t="n"/>
      <c r="C15" s="39" t="n"/>
      <c r="D15" s="39" t="n"/>
      <c r="E15" s="39" t="n"/>
      <c r="F15" s="39" t="n"/>
      <c r="G15" s="40" t="n"/>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53</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6" t="n">
        <v>103.62</v>
      </c>
      <c r="C10" s="19" t="n">
        <v>21.54</v>
      </c>
      <c r="D10" s="11" t="inlineStr">
        <is>
          <t>1218 – 1904</t>
        </is>
      </c>
      <c r="E10" s="11" t="n">
        <v>686</v>
      </c>
      <c r="F10" s="11" t="n">
        <v>28.7</v>
      </c>
      <c r="G10" s="18" t="n">
        <v>0.6402</v>
      </c>
      <c r="H10" s="19" t="n">
        <v>96.64</v>
      </c>
      <c r="I10" s="19" t="n">
        <v>3</v>
      </c>
    </row>
    <row r="11">
      <c r="A11" s="14" t="inlineStr">
        <is>
          <t>19</t>
        </is>
      </c>
      <c r="B11" s="27" t="n">
        <v>82.09</v>
      </c>
      <c r="C11" s="21" t="n">
        <v>17.06</v>
      </c>
      <c r="D11" s="15" t="inlineStr">
        <is>
          <t>2064 – 2503</t>
        </is>
      </c>
      <c r="E11" s="15" t="n">
        <v>439</v>
      </c>
      <c r="F11" s="15" t="n">
        <v>31.01</v>
      </c>
      <c r="G11" s="20" t="n">
        <v>0.5372</v>
      </c>
      <c r="H11" s="21" t="n">
        <v>60.33</v>
      </c>
      <c r="I11" s="21" t="n">
        <v>42.63</v>
      </c>
    </row>
    <row r="12">
      <c r="A12" s="7" t="inlineStr">
        <is>
          <t>41</t>
        </is>
      </c>
      <c r="B12" s="26" t="n">
        <v>64.92</v>
      </c>
      <c r="C12" s="19" t="n">
        <v>13.49</v>
      </c>
      <c r="D12" s="11" t="inlineStr">
        <is>
          <t>1536 – 1818</t>
        </is>
      </c>
      <c r="E12" s="11" t="n">
        <v>282</v>
      </c>
      <c r="F12" s="11" t="n">
        <v>25.53</v>
      </c>
      <c r="G12" s="18" t="n">
        <v>0.5927</v>
      </c>
      <c r="H12" s="19" t="n">
        <v>98.02</v>
      </c>
      <c r="I12" s="19" t="n">
        <v>12.26</v>
      </c>
    </row>
    <row r="13">
      <c r="A13" s="14" t="inlineStr">
        <is>
          <t>73</t>
        </is>
      </c>
      <c r="B13" s="27" t="n">
        <v>54.29</v>
      </c>
      <c r="C13" s="21" t="n">
        <v>11.28</v>
      </c>
      <c r="D13" s="15" t="inlineStr">
        <is>
          <t>1845 – 2305</t>
        </is>
      </c>
      <c r="E13" s="15" t="n">
        <v>460</v>
      </c>
      <c r="F13" s="15" t="n">
        <v>36.34</v>
      </c>
      <c r="G13" s="20" t="n">
        <v>0.555</v>
      </c>
      <c r="H13" s="21" t="n">
        <v>88.8</v>
      </c>
      <c r="I13" s="21" t="n">
        <v>18.94</v>
      </c>
    </row>
    <row r="14">
      <c r="A14" s="7" t="inlineStr">
        <is>
          <t>31</t>
        </is>
      </c>
      <c r="B14" s="26" t="n">
        <v>47.58</v>
      </c>
      <c r="C14" s="19" t="n">
        <v>9.890000000000001</v>
      </c>
      <c r="D14" s="11" t="inlineStr">
        <is>
          <t>1741 – 2234</t>
        </is>
      </c>
      <c r="E14" s="11" t="n">
        <v>493</v>
      </c>
      <c r="F14" s="11" t="n">
        <v>27.08</v>
      </c>
      <c r="G14" s="18" t="n">
        <v>0.4358</v>
      </c>
      <c r="H14" s="19" t="n">
        <v>18.56</v>
      </c>
      <c r="I14" s="19" t="n">
        <v>78.42</v>
      </c>
    </row>
    <row r="15">
      <c r="A15" s="14" t="inlineStr">
        <is>
          <t>29</t>
        </is>
      </c>
      <c r="B15" s="27"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6" t="n">
        <v>22.39</v>
      </c>
      <c r="C16" s="19" t="n">
        <v>4.65</v>
      </c>
      <c r="D16" s="11" t="inlineStr">
        <is>
          <t>2326 – 2536</t>
        </is>
      </c>
      <c r="E16" s="11" t="n">
        <v>210</v>
      </c>
      <c r="F16" s="11" t="n">
        <v>23.2</v>
      </c>
      <c r="G16" s="18" t="n">
        <v>0.6223</v>
      </c>
      <c r="H16" s="19" t="n">
        <v>98.39</v>
      </c>
      <c r="I16" s="19" t="n">
        <v>4.87</v>
      </c>
    </row>
    <row r="17">
      <c r="A17" s="14" t="inlineStr">
        <is>
          <t>68</t>
        </is>
      </c>
      <c r="B17" s="27"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6" t="n">
        <v>19.43</v>
      </c>
      <c r="C18" s="19" t="n">
        <v>4.04</v>
      </c>
      <c r="D18" s="11" t="inlineStr">
        <is>
          <t>1931 – 2205</t>
        </is>
      </c>
      <c r="E18" s="11" t="n">
        <v>274</v>
      </c>
      <c r="F18" s="11" t="n">
        <v>27.95</v>
      </c>
      <c r="G18" s="18" t="n">
        <v>0.4489</v>
      </c>
      <c r="H18" s="19" t="n">
        <v>22.92</v>
      </c>
      <c r="I18" s="19" t="n">
        <v>81.28</v>
      </c>
    </row>
    <row r="19">
      <c r="A19" s="12" t="inlineStr">
        <is>
          <t>► 53</t>
        </is>
      </c>
      <c r="B19" s="28" t="n">
        <v>13.06</v>
      </c>
      <c r="C19" s="29" t="n">
        <v>2.71</v>
      </c>
      <c r="D19" s="13" t="inlineStr">
        <is>
          <t>2235 – 2540</t>
        </is>
      </c>
      <c r="E19" s="13" t="n">
        <v>305</v>
      </c>
      <c r="F19" s="13" t="n">
        <v>26.89</v>
      </c>
      <c r="G19" s="30" t="n">
        <v>0.5963000000000001</v>
      </c>
      <c r="H19" s="29" t="n">
        <v>86.15000000000001</v>
      </c>
      <c r="I19" s="29" t="n">
        <v>12.45</v>
      </c>
    </row>
    <row r="20">
      <c r="A20" s="7" t="inlineStr">
        <is>
          <t>72</t>
        </is>
      </c>
      <c r="B20" s="26" t="n">
        <v>12.4</v>
      </c>
      <c r="C20" s="19" t="n">
        <v>2.58</v>
      </c>
      <c r="D20" s="11" t="inlineStr">
        <is>
          <t>1538 – 1742</t>
        </is>
      </c>
      <c r="E20" s="11" t="n">
        <v>204</v>
      </c>
      <c r="F20" s="11" t="n">
        <v>28.25</v>
      </c>
      <c r="G20" s="18" t="n">
        <v>0.5185</v>
      </c>
      <c r="H20" s="19" t="n">
        <v>92.44</v>
      </c>
      <c r="I20" s="19" t="n">
        <v>41.35</v>
      </c>
    </row>
    <row r="21">
      <c r="A21" s="16" t="inlineStr">
        <is>
          <t>TOTAL / PROMEDIO</t>
        </is>
      </c>
      <c r="B21" s="31">
        <f>SUM(B10:B20)</f>
        <v>481.17</v>
      </c>
      <c r="C21" s="23">
        <f>SUM(C10:C20)</f>
        <v>99.99</v>
      </c>
      <c r="D21" s="17" t="inlineStr">
        <is>
          <t>1218 – 2540</t>
        </is>
      </c>
      <c r="E21" s="17" t="inlineStr"/>
      <c r="F21" s="17">
        <f>ROUND(AVERAGE(F10:F20),2)</f>
        <v>29.39</v>
      </c>
      <c r="G21" s="22">
        <f>ROUND(AVERAGE(G10:G20),4)</f>
        <v>0.5435</v>
      </c>
      <c r="H21" s="23">
        <f>ROUND(AVERAGE(H10:H20),2)</f>
        <v>73.58</v>
      </c>
      <c r="I21" s="23">
        <f>ROUND(AVERAGE(I10:I20),2)</f>
        <v>32.8</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39" t="n"/>
      <c r="C22" s="39" t="n"/>
      <c r="D22" s="39" t="n"/>
      <c r="E22" s="39" t="n"/>
      <c r="F22" s="39" t="n"/>
      <c r="G22" s="39" t="n"/>
      <c r="H22" s="40" t="n"/>
    </row>
    <row r="23"/>
    <row r="24" ht="84" customHeight="1">
      <c r="A24" s="9" t="inlineStr">
        <is>
          <t>LECTURA INTRAMICROCUENCA. El bloque 53 ocupa el puesto 10 de 11 por superficie dentro de la microcuenca C1076-Q9592 (2.71 % de las 481.17 ha preliminares de la microcuenca). Su pendiente promedio (26.89 %, clase «25-50% (Mod. escarpado)») es la 3.ª más baja de 11 y se sitúa por debajo del promedio de la microcuenca (29.39 %). Su MSAVI 2024 (0.5963) es el 3.º de 11 y queda por encima del promedio local (0.5435). Amplitud altitudinal del bloque: 305 m (2235–2540 msnm). El cuadro conserva todos los bloques catalogados en la microcuenca, incluidos los descartados en el tamizaje, para referencia del conjunto. Los bloques sin ficha DT figuran con sus parámetros de gabinete. BRECHA ESPECTRAL. El 12.45 % de la superficie del bloque (1.626 ha de 13.065 ha) se sitúa bajo el umbral MSAVI 0.4976, por debajo del promedio local de la microcuenca (32.80 %) calculado sobre los bloques con dato MSAVI disponible.</t>
        </is>
      </c>
      <c r="B24" s="39" t="n"/>
      <c r="C24" s="39" t="n"/>
      <c r="D24" s="39" t="n"/>
      <c r="E24" s="39" t="n"/>
      <c r="F24" s="39" t="n"/>
      <c r="G24" s="39" t="n"/>
      <c r="H24" s="40"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39" t="n"/>
      <c r="C26" s="39" t="n"/>
      <c r="D26" s="39" t="n"/>
      <c r="E26" s="39" t="n"/>
      <c r="F26" s="39" t="n"/>
      <c r="G26" s="39" t="n"/>
      <c r="H26" s="40"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Ficha DT y catálogo maestro coinciden en «C1076-Q9592»</t>
        </is>
      </c>
      <c r="D10" s="33" t="inlineStr">
        <is>
          <t>CONFORME</t>
        </is>
      </c>
      <c r="E10" s="32" t="inlineStr">
        <is>
          <t>Sin acción.</t>
        </is>
      </c>
    </row>
    <row r="11" ht="48" customHeight="1">
      <c r="A11" s="34" t="inlineStr">
        <is>
          <t>D-02</t>
        </is>
      </c>
      <c r="B11" s="34" t="inlineStr">
        <is>
          <t>UTM del punto de muestreo</t>
        </is>
      </c>
      <c r="C11" s="34" t="inlineStr">
        <is>
          <t>Las celdas de UTM ESTE / NORTE del punto de muestreo están vacías o incompletas en la ficha DT</t>
        </is>
      </c>
      <c r="D11" s="35" t="inlineStr">
        <is>
          <t>SUSTANTIVA</t>
        </is>
      </c>
      <c r="E11" s="34" t="inlineStr">
        <is>
          <t>No se sustituye por el centroide del catálogo. Se consigna «Por registrar en campo».</t>
        </is>
      </c>
    </row>
    <row r="12" ht="48" customHeight="1">
      <c r="A12" s="32" t="inlineStr">
        <is>
          <t>D-03</t>
        </is>
      </c>
      <c r="B12" s="32" t="inlineStr">
        <is>
          <t>Superficie del polígono</t>
        </is>
      </c>
      <c r="C12" s="32" t="inlineStr">
        <is>
          <t>La superficie clasificada por el NDVI 2025 (13.066 ha) coincide con la de catálogo (13.06 ha) dentro del ±2 % (+0.05 %)</t>
        </is>
      </c>
      <c r="D12" s="33" t="inlineStr">
        <is>
          <t>CONFORME</t>
        </is>
      </c>
      <c r="E12" s="32" t="inlineStr">
        <is>
          <t>Sin acción: la segmentación valida la geometría del bloque.</t>
        </is>
      </c>
    </row>
    <row r="13" ht="48" customHeight="1">
      <c r="A13" s="34" t="inlineStr">
        <is>
          <t>D-04</t>
        </is>
      </c>
      <c r="B13" s="34" t="inlineStr">
        <is>
          <t>Cobertura vegetal total</t>
        </is>
      </c>
      <c r="C13" s="34" t="inlineStr">
        <is>
          <t>La ficha DT estima 70 % de cobertura vegetal en campo; el NDVI mediana 2025 clasifica 100.00 % del polígono en clases de vegetación</t>
        </is>
      </c>
      <c r="D13" s="13" t="inlineStr">
        <is>
          <t>NO SUSTANTIVA</t>
        </is>
      </c>
      <c r="E13" s="34"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2" t="inlineStr">
        <is>
          <t>D-05</t>
        </is>
      </c>
      <c r="B14" s="32" t="inlineStr">
        <is>
          <t>Inventario georreferenciado de cárcavas</t>
        </is>
      </c>
      <c r="C14" s="32" t="inlineStr">
        <is>
          <t>El inventario de cárcavas no fue ejecutado o no consta en la ficha DT</t>
        </is>
      </c>
      <c r="D14" s="35" t="inlineStr">
        <is>
          <t>SUSTANTIVA</t>
        </is>
      </c>
      <c r="E14" s="32"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4" t="inlineStr">
        <is>
          <t>D-06</t>
        </is>
      </c>
      <c r="B15" s="34" t="inlineStr">
        <is>
          <t>Centro poblado asociado</t>
        </is>
      </c>
      <c r="C15" s="34" t="inlineStr">
        <is>
          <t>La ficha DT declara «Zururán»; el cruce INEI-Bloques V5 identifica 1 centro(s) poblado(s) en el bloque: ZURURAN</t>
        </is>
      </c>
      <c r="D15" s="13" t="inlineStr">
        <is>
          <t>NO SUSTANTIVA</t>
        </is>
      </c>
      <c r="E15" s="34" t="inlineStr">
        <is>
          <t>Se conserva el registro de campo como referencia y se adopta el listado INEI para el diagnóstico social y el cálculo de población beneficiaria.</t>
        </is>
      </c>
    </row>
    <row r="16" ht="48" customHeight="1">
      <c r="A16" s="32" t="inlineStr">
        <is>
          <t>D-07</t>
        </is>
      </c>
      <c r="B16" s="32" t="inlineStr">
        <is>
          <t>Peligro integrado (MCA-AHP)</t>
        </is>
      </c>
      <c r="C16" s="32" t="inlineStr">
        <is>
          <t>El nivel de peligro integrado no está disponible en los insumos de este entregable</t>
        </is>
      </c>
      <c r="D16" s="35" t="inlineStr">
        <is>
          <t>SUSTANTIVA</t>
        </is>
      </c>
      <c r="E16" s="32" t="inlineStr">
        <is>
          <t>Debe tomarse del modelamiento de mesolocalización (PMM + EPH + PGI ponderados por AHP) antes de fijar la prioridad definitiva de intervención del bloque.</t>
        </is>
      </c>
    </row>
    <row r="17" ht="48" customHeight="1">
      <c r="A17" s="32" t="inlineStr">
        <is>
          <t>D-08</t>
        </is>
      </c>
      <c r="B17" s="32" t="inlineStr">
        <is>
          <t>Distribución areal MSAVI 2024</t>
        </is>
      </c>
      <c r="C17" s="32" t="inlineStr">
        <is>
          <t>La distribución por clase de MSAVI no figuraba en los insumos del entregable y se consignaba «Por determinar»; se incorpora la estadística zonal del ráster MSAVI clasificado (78 polígonos, 13.065 ha)</t>
        </is>
      </c>
      <c r="D17" s="35" t="inlineStr">
        <is>
          <t>CORREGIDO</t>
        </is>
      </c>
      <c r="E17" s="32"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2" t="inlineStr">
        <is>
          <t>D-09</t>
        </is>
      </c>
      <c r="B18" s="32" t="inlineStr">
        <is>
          <t>Superficie MSAVI vs. catálogo</t>
        </is>
      </c>
      <c r="C18" s="32" t="inlineStr">
        <is>
          <t>La superficie total clasificada por el MSAVI 2024 (13.065 ha) frente a la de catálogo V5/V6 (13.060 ha): desviación de +0.04 %</t>
        </is>
      </c>
      <c r="D18" s="35" t="inlineStr">
        <is>
          <t>CONFORME</t>
        </is>
      </c>
      <c r="E18" s="32" t="inlineStr">
        <is>
          <t>Sin acción: la segmentación del ráster valida la geometría del bloque dentro del ±2 %.</t>
        </is>
      </c>
    </row>
    <row r="19" ht="48" customHeight="1">
      <c r="A19" s="32" t="inlineStr">
        <is>
          <t>D-10</t>
        </is>
      </c>
      <c r="B19" s="32" t="inlineStr">
        <is>
          <t>Media MSAVI vs. clase DN dominante</t>
        </is>
      </c>
      <c r="C19" s="32" t="inlineStr">
        <is>
          <t>La media del bloque (0.5963) cae en la clase «DN 4 · 0.4976 - 0.6139 (Vigor moderado)»; la clase de mayor superficie es «DN 4 · 0.4976 - 0.6139 (Vigor moderado)», con 44.88 % del bloque. Superficie bajo el umbral 0.4976: 1.626 ha (12.45 %)</t>
        </is>
      </c>
      <c r="D19" s="35" t="inlineStr">
        <is>
          <t>CONFORME</t>
        </is>
      </c>
      <c r="E19" s="32" t="inlineStr">
        <is>
          <t>Sin acción: la media del bloque y la clase de mayor superficie coinciden.</t>
        </is>
      </c>
    </row>
    <row r="20"/>
    <row r="21">
      <c r="A21" s="16" t="inlineStr">
        <is>
          <t>RESUMEN</t>
        </is>
      </c>
      <c r="B21" s="17" t="inlineStr">
        <is>
          <t>10 verificaciones</t>
        </is>
      </c>
      <c r="C21" s="17" t="inlineStr">
        <is>
          <t>CONFORME: 4 · CORREGIDO: 1 · NO SUSTANTIVA: 2 · SUSTANTIVA: 3</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39" t="n"/>
      <c r="C23" s="39" t="n"/>
      <c r="D23" s="39" t="n"/>
      <c r="E23" s="40"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53 — IN Piura</dc:title>
  <dc:subject>Diagnóstico Territorial por bloque de intervención</dc:subject>
  <dcterms:created xsi:type="dcterms:W3CDTF">2026-09-08T03:39:59Z</dcterms:created>
  <dcterms:modified xsi:type="dcterms:W3CDTF">2026-09-10T00:28:28Z</dcterms:modified>
</cp:coreProperties>
</file>