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52</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Miraflores</t>
        </is>
      </c>
      <c r="C13" s="6" t="inlineStr">
        <is>
          <t>Comunidad campesina</t>
        </is>
      </c>
      <c r="D13" s="7" t="inlineStr">
        <is>
          <t>C.C. Yamango - Sector Miraflores</t>
        </is>
      </c>
      <c r="E13" s="8" t="n"/>
      <c r="F13" s="8" t="n"/>
    </row>
    <row r="14">
      <c r="A14" s="6" t="inlineStr">
        <is>
          <t>Superficie de catálogo (V5/V6), ha</t>
        </is>
      </c>
      <c r="B14" s="7" t="n">
        <v>11.06</v>
      </c>
      <c r="C14" s="6" t="inlineStr">
        <is>
          <t>Fuente de superficie</t>
        </is>
      </c>
      <c r="D14" s="7" t="inlineStr">
        <is>
          <t>Catálogo maestro Bloques V5/V6</t>
        </is>
      </c>
      <c r="E14" s="8" t="n"/>
      <c r="F14" s="8" t="n"/>
    </row>
    <row r="15">
      <c r="A15" s="6" t="inlineStr">
        <is>
          <t>Centroide UTM ESTE (m)</t>
        </is>
      </c>
      <c r="B15" s="7" t="n">
        <v>641522</v>
      </c>
      <c r="C15" s="6" t="inlineStr">
        <is>
          <t>Centroide UTM NORTE (m)</t>
        </is>
      </c>
      <c r="D15" s="7" t="n">
        <v>9438064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3011</v>
      </c>
      <c r="C19" s="6" t="inlineStr">
        <is>
          <t>Altitud máxima (msnm)</t>
        </is>
      </c>
      <c r="D19" s="7" t="n">
        <v>3164</v>
      </c>
      <c r="E19" s="8" t="n"/>
      <c r="F19" s="8" t="n"/>
    </row>
    <row r="20">
      <c r="A20" s="6" t="inlineStr">
        <is>
          <t>Amplitud altitudinal (m)</t>
        </is>
      </c>
      <c r="B20" s="7" t="n">
        <v>153</v>
      </c>
      <c r="C20" s="6" t="inlineStr">
        <is>
          <t>Piso altitudinal dominante</t>
        </is>
      </c>
      <c r="D20" s="7" t="inlineStr">
        <is>
          <t>3000-3500 m (Puna baja)</t>
        </is>
      </c>
      <c r="E20" s="8" t="n"/>
      <c r="F20" s="8" t="n"/>
    </row>
    <row r="21">
      <c r="A21" s="6" t="inlineStr">
        <is>
          <t>Pendiente promedio (%)</t>
        </is>
      </c>
      <c r="B21" s="7" t="n">
        <v>26.16</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0.6685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(97.32 %)</t>
        </is>
      </c>
      <c r="E29" s="8" t="n"/>
      <c r="F29" s="8" t="n"/>
    </row>
    <row r="30">
      <c r="A30" s="6" t="inlineStr">
        <is>
          <t>Superficie clasificada NDVI 2025 (ha)</t>
        </is>
      </c>
      <c r="B30" s="7" t="n">
        <v>11.063</v>
      </c>
      <c r="C30" s="6" t="inlineStr">
        <is>
          <t>Desviación frente al catálogo (%)</t>
        </is>
      </c>
      <c r="D30" s="7" t="n">
        <v>0.02</v>
      </c>
      <c r="E30" s="8" t="n"/>
      <c r="F30" s="8" t="n"/>
    </row>
    <row r="31">
      <c r="A31" s="6" t="inlineStr">
        <is>
          <t>Superficie clasificada MSAVI 2024 (ha)</t>
        </is>
      </c>
      <c r="B31" s="38" t="n">
        <v>11.059</v>
      </c>
      <c r="C31" s="6" t="inlineStr">
        <is>
          <t>Desviación MSAVI frente al catálogo (%)</t>
        </is>
      </c>
      <c r="D31" s="39" t="n">
        <v>-0.01</v>
      </c>
      <c r="E31" s="8" t="n"/>
      <c r="F31" s="8" t="n"/>
    </row>
    <row r="32">
      <c r="A32" s="6" t="inlineStr">
        <is>
          <t>Superficie bajo umbral MSAVI 0.4976 (ha)</t>
        </is>
      </c>
      <c r="B32" s="38" t="n">
        <v>0.42</v>
      </c>
      <c r="C32" s="6" t="inlineStr">
        <is>
          <t>% del bloque bajo umbral (brecha espectral)</t>
        </is>
      </c>
      <c r="D32" s="39" t="n">
        <v>3.8</v>
      </c>
      <c r="E32" s="8" t="n"/>
      <c r="F32" s="8" t="n"/>
    </row>
    <row r="33">
      <c r="A33" s="6" t="inlineStr">
        <is>
          <t>Clase DN dominante (MSAVI 2024)</t>
        </is>
      </c>
      <c r="B33" s="7" t="inlineStr">
        <is>
          <t>DN 5 · &gt; 0.6139 (Vigor alto)</t>
        </is>
      </c>
      <c r="C33" s="6" t="inlineStr">
        <is>
          <t>N.° de polígonos MSAVI del bloque</t>
        </is>
      </c>
      <c r="D33" s="40" t="n">
        <v>40</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11.06 ha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70</v>
      </c>
      <c r="E38" s="8" t="n"/>
      <c r="F38" s="8" t="n"/>
    </row>
    <row r="39">
      <c r="A39" s="6" t="inlineStr">
        <is>
          <t>Suelo desnudo — campo (%)</t>
        </is>
      </c>
      <c r="B39" s="7" t="n">
        <v>12</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Varas</t>
        </is>
      </c>
      <c r="C44" s="6" t="inlineStr">
        <is>
          <t>Fecha de evaluación</t>
        </is>
      </c>
      <c r="D44" s="7" t="inlineStr">
        <is>
          <t>2026-05-26</t>
        </is>
      </c>
      <c r="E44" s="8" t="n"/>
      <c r="F44" s="8" t="n"/>
    </row>
    <row r="45">
      <c r="A45" s="6" t="inlineStr">
        <is>
          <t>Hora de registro</t>
        </is>
      </c>
      <c r="B45" s="7" t="inlineStr">
        <is>
          <t>12:38</t>
        </is>
      </c>
      <c r="C45" s="6" t="inlineStr">
        <is>
          <t>Correlativo de ficha</t>
        </is>
      </c>
      <c r="D45" s="7" t="inlineStr">
        <is>
          <t>DT-B52-2026-05</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14</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Modelo ganadero tradicional extensivo de subsistencia, débil diversificación productiva en cabeceras y ausencia de manejo silvopastoril</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7.7288</v>
      </c>
      <c r="C10" s="31">
        <f>ROUND(B10/$B$15*100,2)</f>
        <v/>
      </c>
      <c r="D10" s="12" t="inlineStr">
        <is>
          <t>Vigor alto</t>
        </is>
      </c>
      <c r="E10" s="12" t="inlineStr">
        <is>
          <t>Sobre umbral</t>
        </is>
      </c>
    </row>
    <row r="11">
      <c r="A11" s="13" t="inlineStr">
        <is>
          <t>0.4976 - 0.6139 · DN 4</t>
        </is>
      </c>
      <c r="B11" s="20" t="n">
        <v>2.9107</v>
      </c>
      <c r="C11" s="21">
        <f>ROUND(B11/$B$15*100,2)</f>
        <v/>
      </c>
      <c r="D11" s="14" t="inlineStr">
        <is>
          <t>Vigor moderado</t>
        </is>
      </c>
      <c r="E11" s="14" t="inlineStr">
        <is>
          <t>Sobre umbral</t>
        </is>
      </c>
    </row>
    <row r="12">
      <c r="A12" s="7" t="inlineStr">
        <is>
          <t>0.3813 - 0.4976 · DN 3</t>
        </is>
      </c>
      <c r="B12" s="18" t="n">
        <v>0.4199</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40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11.06</v>
      </c>
      <c r="C18" s="49" t="inlineStr">
        <is>
          <t>—</t>
        </is>
      </c>
      <c r="D18" s="46" t="inlineStr">
        <is>
          <t>Desviación planimétrica frente al catálogo</t>
        </is>
      </c>
      <c r="E18" s="46" t="inlineStr">
        <is>
          <t>-0.01 %</t>
        </is>
      </c>
    </row>
    <row r="19">
      <c r="A19" s="16" t="inlineStr">
        <is>
          <t>MSAVI 2024 — MEDIA DEL BLOQUE</t>
        </is>
      </c>
      <c r="B19" s="17" t="n">
        <v>0.66855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(0.6685)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10.7659</v>
      </c>
      <c r="C25" s="19" t="n">
        <v>97.31999999999999</v>
      </c>
      <c r="D25" s="15" t="inlineStr">
        <is>
          <t>Dosel continuo, matorral denso o mosaico agroforestal</t>
        </is>
      </c>
      <c r="E25" s="15" t="inlineStr"/>
    </row>
    <row r="26">
      <c r="A26" s="13" t="inlineStr">
        <is>
          <t>Vegetación mediana</t>
        </is>
      </c>
      <c r="B26" s="20" t="n">
        <v>0.2969</v>
      </c>
      <c r="C26" s="21" t="n">
        <v>2.68</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11.06</v>
      </c>
      <c r="C28" s="25" t="inlineStr">
        <is>
          <t>—</t>
        </is>
      </c>
      <c r="D28" s="25" t="inlineStr">
        <is>
          <t>Desviación planimétrica frente al catálogo</t>
        </is>
      </c>
      <c r="E28" s="25" t="inlineStr">
        <is>
          <t>+0.02 %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97.32 % del polígono clasificado como «Vegetación alta» por el NDVI 2025; la observación de campo corresponde a una parcela o recorrido puntual y no es estadísticamente representativa de las 11.060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52</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9437881</v>
      </c>
      <c r="E10" s="15" t="n">
        <v>4057.1</v>
      </c>
      <c r="F10" s="15" t="inlineStr"/>
      <c r="G10" s="15" t="inlineStr">
        <is>
          <t>Coordenada consignada en F-DT-01</t>
        </is>
      </c>
    </row>
    <row r="11">
      <c r="A11" s="13" t="inlineStr">
        <is>
          <t>C-01</t>
        </is>
      </c>
      <c r="B11" s="14" t="inlineStr">
        <is>
          <t>Rasgo erosivo — Surco (&lt;30 cm)</t>
        </is>
      </c>
      <c r="C11" s="27" t="n">
        <v>641610</v>
      </c>
      <c r="D11" s="27" t="n">
        <v>9437872</v>
      </c>
      <c r="E11" s="14" t="n">
        <v>211.2</v>
      </c>
      <c r="F11" s="14" t="inlineStr">
        <is>
          <t>Activa</t>
        </is>
      </c>
      <c r="G11" s="14" t="inlineStr">
        <is>
          <t>Caminos / huellas de ganado</t>
        </is>
      </c>
    </row>
    <row r="12">
      <c r="A12" s="7" t="inlineStr">
        <is>
          <t>C-02</t>
        </is>
      </c>
      <c r="B12" s="15" t="inlineStr">
        <is>
          <t>Rasgo erosivo — Cárcava incipiente (30-50 cm)</t>
        </is>
      </c>
      <c r="C12" s="26" t="n">
        <v>641586</v>
      </c>
      <c r="D12" s="26" t="n">
        <v>9437832</v>
      </c>
      <c r="E12" s="15" t="n">
        <v>240.7</v>
      </c>
      <c r="F12" s="15" t="inlineStr">
        <is>
          <t>Semi-activa</t>
        </is>
      </c>
      <c r="G12" s="15" t="inlineStr">
        <is>
          <t>Sobrepastoreo</t>
        </is>
      </c>
    </row>
    <row r="13">
      <c r="A13" s="13" t="inlineStr">
        <is>
          <t>C-03</t>
        </is>
      </c>
      <c r="B13" s="14" t="inlineStr">
        <is>
          <t>Rasgo erosivo — Cárcava somera (0.5-2 m)</t>
        </is>
      </c>
      <c r="C13" s="27" t="n">
        <v>641360</v>
      </c>
      <c r="D13" s="27" t="n">
        <v>9437903</v>
      </c>
      <c r="E13" s="14" t="n">
        <v>228.4</v>
      </c>
      <c r="F13" s="14" t="inlineStr">
        <is>
          <t>Activa</t>
        </is>
      </c>
      <c r="G13" s="14" t="inlineStr">
        <is>
          <t>Concentración natural de escorrentía</t>
        </is>
      </c>
    </row>
    <row r="14">
      <c r="A14" s="7" t="inlineStr">
        <is>
          <t>H-01</t>
        </is>
      </c>
      <c r="B14" s="15" t="inlineStr">
        <is>
          <t>Fuente de agua — Quebrada estacional</t>
        </is>
      </c>
      <c r="C14" s="26" t="n">
        <v>641450</v>
      </c>
      <c r="D14" s="26" t="n">
        <v>9438050</v>
      </c>
      <c r="E14" s="15" t="n">
        <v>73.3</v>
      </c>
      <c r="F14" s="15" t="inlineStr">
        <is>
          <t>Estacional (lluvias)</t>
        </is>
      </c>
      <c r="G14" s="15" t="inlineStr">
        <is>
          <t>Drenaje natural Q9575</t>
        </is>
      </c>
    </row>
    <row r="15">
      <c r="A15" s="13" t="inlineStr">
        <is>
          <t>H-02</t>
        </is>
      </c>
      <c r="B15" s="14" t="inlineStr">
        <is>
          <t>Fuente de agua — Manantial / Puquio</t>
        </is>
      </c>
      <c r="C15" s="27" t="n">
        <v>641680</v>
      </c>
      <c r="D15" s="27" t="n">
        <v>9437950</v>
      </c>
      <c r="E15" s="14" t="n">
        <v>194.8</v>
      </c>
      <c r="F15" s="14" t="inlineStr">
        <is>
          <t>Permanente</t>
        </is>
      </c>
      <c r="G15" s="14" t="inlineStr">
        <is>
          <t>Manantial pequeño dentro del bloque</t>
        </is>
      </c>
    </row>
    <row r="16">
      <c r="A16" s="7" t="inlineStr">
        <is>
          <t>B-01</t>
        </is>
      </c>
      <c r="B16" s="15" t="inlineStr">
        <is>
          <t>Especie clave — Polylepis racemosa (Queñual)</t>
        </is>
      </c>
      <c r="C16" s="26" t="n">
        <v>641675</v>
      </c>
      <c r="D16" s="26" t="n">
        <v>9437943</v>
      </c>
      <c r="E16" s="15" t="n">
        <v>195.1</v>
      </c>
      <c r="F16" s="15" t="inlineStr">
        <is>
          <t>Amenazada D.S. 043</t>
        </is>
      </c>
      <c r="G16" s="15" t="inlineStr">
        <is>
          <t>VU — Vulnerable</t>
        </is>
      </c>
    </row>
    <row r="17">
      <c r="A17" s="13" t="inlineStr">
        <is>
          <t>B-02</t>
        </is>
      </c>
      <c r="B17" s="14" t="inlineStr">
        <is>
          <t>Especie clave — Juglans neotropica (Nogal)</t>
        </is>
      </c>
      <c r="C17" s="27" t="n">
        <v>641675</v>
      </c>
      <c r="D17" s="27" t="n">
        <v>9437943</v>
      </c>
      <c r="E17" s="14" t="n">
        <v>195.1</v>
      </c>
      <c r="F17" s="14" t="inlineStr">
        <is>
          <t>Amenazada D.S. 043</t>
        </is>
      </c>
      <c r="G17" s="14" t="inlineStr">
        <is>
          <t>EN — En Peligro</t>
        </is>
      </c>
    </row>
    <row r="18">
      <c r="A18" s="7" t="inlineStr">
        <is>
          <t>B-03</t>
        </is>
      </c>
      <c r="B18" s="15" t="inlineStr">
        <is>
          <t>Especie clave — Cedrela montana (Cedro)</t>
        </is>
      </c>
      <c r="C18" s="26" t="n">
        <v>641675</v>
      </c>
      <c r="D18" s="26" t="n">
        <v>9437943</v>
      </c>
      <c r="E18" s="15" t="n">
        <v>195.1</v>
      </c>
      <c r="F18" s="15" t="inlineStr">
        <is>
          <t>Amenazada D.S. 043</t>
        </is>
      </c>
      <c r="G18" s="15" t="inlineStr">
        <is>
          <t>VU — Vulnerable</t>
        </is>
      </c>
    </row>
    <row r="19">
      <c r="A19" s="13" t="inlineStr">
        <is>
          <t>B-04</t>
        </is>
      </c>
      <c r="B19" s="14" t="inlineStr">
        <is>
          <t>Especie clave — Podocarpus oleifolius (Romerillo)</t>
        </is>
      </c>
      <c r="C19" s="27" t="n">
        <v>641675</v>
      </c>
      <c r="D19" s="27" t="n">
        <v>9437943</v>
      </c>
      <c r="E19" s="14" t="n">
        <v>195.1</v>
      </c>
      <c r="F19" s="14" t="inlineStr">
        <is>
          <t>Amenazada D.S. 043</t>
        </is>
      </c>
      <c r="G19" s="14" t="inlineStr">
        <is>
          <t>NT — Casi Amenazado</t>
        </is>
      </c>
    </row>
    <row r="20">
      <c r="A20" s="7" t="inlineStr">
        <is>
          <t>B-05</t>
        </is>
      </c>
      <c r="B20" s="15" t="inlineStr">
        <is>
          <t>Especie clave — Alnus acuminata (Aliso)</t>
        </is>
      </c>
      <c r="C20" s="26" t="n">
        <v>641618</v>
      </c>
      <c r="D20" s="26" t="n">
        <v>9437881</v>
      </c>
      <c r="E20" s="15" t="n">
        <v>206.7</v>
      </c>
      <c r="F20" s="15" t="inlineStr">
        <is>
          <t>Indicadora de buen estado</t>
        </is>
      </c>
      <c r="G20" s="15" t="inlineStr">
        <is>
          <t>LC</t>
        </is>
      </c>
    </row>
    <row r="21">
      <c r="A21" s="13" t="inlineStr">
        <is>
          <t>B-06</t>
        </is>
      </c>
      <c r="B21" s="14" t="inlineStr">
        <is>
          <t>Especie clave — Vaccinium sp. (Pushgay)</t>
        </is>
      </c>
      <c r="C21" s="27" t="n">
        <v>641675</v>
      </c>
      <c r="D21" s="27" t="n">
        <v>9437943</v>
      </c>
      <c r="E21" s="14" t="n">
        <v>195.1</v>
      </c>
      <c r="F21" s="14" t="inlineStr">
        <is>
          <t>Indicadora de buen estado</t>
        </is>
      </c>
      <c r="G21" s="14" t="inlineStr">
        <is>
          <t>LC</t>
        </is>
      </c>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641522</v>
      </c>
      <c r="C24" s="6" t="inlineStr">
        <is>
          <t>Centroide del bloque — UTM NORTE (m)</t>
        </is>
      </c>
      <c r="D24" s="7" t="n">
        <v>9438064</v>
      </c>
      <c r="E24" s="8" t="n"/>
      <c r="F24" s="8" t="n"/>
      <c r="G24" s="8" t="n"/>
      <c r="H24" s="8" t="n"/>
    </row>
    <row r="25">
      <c r="A25" s="6" t="inlineStr">
        <is>
          <t>N.° de estaciones fotográficas declaradas</t>
        </is>
      </c>
      <c r="B25" s="7" t="n">
        <v>14</v>
      </c>
      <c r="C25" s="6" t="inlineStr">
        <is>
          <t>Estaciones dentro del polígono</t>
        </is>
      </c>
      <c r="D25" s="7" t="inlineStr">
        <is>
          <t>Por determinar</t>
        </is>
      </c>
      <c r="E25" s="8" t="n"/>
      <c r="F25" s="8" t="n"/>
      <c r="G25" s="8" t="n"/>
      <c r="H25" s="8" t="n"/>
    </row>
    <row r="27" ht="108"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Cluster de bloques B52-B49-B55 en microcuenca C1086-Q9575 (zona Z09). Acceso por carretera departamental PI-124 (Yamango-Choco) y trocha vecinal afirmada; ingreso al polígono a pie desde el lado sur. Pendiente media observada en transectos: 24.3% y 32.9%; máxima local 55.9% (sector noreste). El talud de la trocha presenta evidencia de DERRUMBE COLUVIAL RECIENTE.</t>
        </is>
      </c>
      <c r="B27" s="41" t="n"/>
      <c r="C27" s="41" t="n"/>
      <c r="D27" s="41" t="n"/>
      <c r="E27" s="41" t="n"/>
      <c r="F27" s="41" t="n"/>
      <c r="G27" s="42"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52</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8" t="n">
        <v>283.43</v>
      </c>
      <c r="C10" s="19" t="n">
        <v>58.52</v>
      </c>
      <c r="D10" s="15" t="inlineStr">
        <is>
          <t>297 – 634</t>
        </is>
      </c>
      <c r="E10" s="15" t="n">
        <v>337</v>
      </c>
      <c r="F10" s="15" t="n">
        <v>13.75</v>
      </c>
      <c r="G10" s="18" t="n">
        <v>0.4275</v>
      </c>
      <c r="H10" s="19" t="n">
        <v>18.09</v>
      </c>
      <c r="I10" s="19" t="n">
        <v>74.81</v>
      </c>
    </row>
    <row r="11">
      <c r="A11" s="13" t="inlineStr">
        <is>
          <t>M28B2</t>
        </is>
      </c>
      <c r="B11" s="29" t="n">
        <v>90.2</v>
      </c>
      <c r="C11" s="21" t="n">
        <v>18.62</v>
      </c>
      <c r="D11" s="14" t="inlineStr">
        <is>
          <t>754 – 1111</t>
        </is>
      </c>
      <c r="E11" s="14" t="n">
        <v>357</v>
      </c>
      <c r="F11" s="14" t="n">
        <v>20.65</v>
      </c>
      <c r="G11" s="20" t="n">
        <v>0.4753</v>
      </c>
      <c r="H11" s="21" t="n">
        <v>37.12</v>
      </c>
      <c r="I11" s="21" t="n">
        <v>62.19</v>
      </c>
    </row>
    <row r="12">
      <c r="A12" s="7" t="inlineStr">
        <is>
          <t>M28B3</t>
        </is>
      </c>
      <c r="B12" s="28" t="n">
        <v>58.29</v>
      </c>
      <c r="C12" s="19" t="n">
        <v>12.04</v>
      </c>
      <c r="D12" s="15" t="inlineStr">
        <is>
          <t>73 – 777</t>
        </is>
      </c>
      <c r="E12" s="15" t="n">
        <v>704</v>
      </c>
      <c r="F12" s="15" t="n">
        <v>22.13</v>
      </c>
      <c r="G12" s="18" t="n">
        <v>0.5075</v>
      </c>
      <c r="H12" s="19" t="n">
        <v>45.27</v>
      </c>
      <c r="I12" s="19" t="n">
        <v>49.67</v>
      </c>
    </row>
    <row r="13">
      <c r="A13" s="13" t="inlineStr">
        <is>
          <t>46</t>
        </is>
      </c>
      <c r="B13" s="29" t="n">
        <v>18.87</v>
      </c>
      <c r="C13" s="21" t="n">
        <v>3.9</v>
      </c>
      <c r="D13" s="14" t="inlineStr">
        <is>
          <t>1371 – 1655</t>
        </is>
      </c>
      <c r="E13" s="14" t="n">
        <v>284</v>
      </c>
      <c r="F13" s="14" t="n">
        <v>31.77</v>
      </c>
      <c r="G13" s="20" t="n">
        <v>0.7244</v>
      </c>
      <c r="H13" s="21" t="inlineStr">
        <is>
          <t>Por determinar</t>
        </is>
      </c>
      <c r="I13" s="14" t="inlineStr">
        <is>
          <t>s/d</t>
        </is>
      </c>
    </row>
    <row r="14">
      <c r="A14" s="7" t="inlineStr">
        <is>
          <t>49</t>
        </is>
      </c>
      <c r="B14" s="28" t="n">
        <v>15.84</v>
      </c>
      <c r="C14" s="19" t="n">
        <v>3.27</v>
      </c>
      <c r="D14" s="15" t="inlineStr">
        <is>
          <t>3065 – 3246</t>
        </is>
      </c>
      <c r="E14" s="15" t="n">
        <v>181</v>
      </c>
      <c r="F14" s="15" t="n">
        <v>25.96</v>
      </c>
      <c r="G14" s="18" t="n">
        <v>0.6860000000000001</v>
      </c>
      <c r="H14" s="19" t="n">
        <v>98.8</v>
      </c>
      <c r="I14" s="19" t="n">
        <v>3.64</v>
      </c>
    </row>
    <row r="15">
      <c r="A15" s="11" t="inlineStr">
        <is>
          <t>► 52</t>
        </is>
      </c>
      <c r="B15" s="30" t="n">
        <v>11.06</v>
      </c>
      <c r="C15" s="31" t="n">
        <v>2.28</v>
      </c>
      <c r="D15" s="12" t="inlineStr">
        <is>
          <t>3011 – 3164</t>
        </is>
      </c>
      <c r="E15" s="12" t="n">
        <v>153</v>
      </c>
      <c r="F15" s="12" t="n">
        <v>26.16</v>
      </c>
      <c r="G15" s="32" t="n">
        <v>0.6685</v>
      </c>
      <c r="H15" s="31" t="n">
        <v>97.31999999999999</v>
      </c>
      <c r="I15" s="31" t="n">
        <v>3.8</v>
      </c>
    </row>
    <row r="16">
      <c r="A16" s="7" t="inlineStr">
        <is>
          <t>48</t>
        </is>
      </c>
      <c r="B16" s="28" t="n">
        <v>5.75</v>
      </c>
      <c r="C16" s="19" t="n">
        <v>1.19</v>
      </c>
      <c r="D16" s="15" t="inlineStr">
        <is>
          <t>1458 – 1595</t>
        </is>
      </c>
      <c r="E16" s="15" t="n">
        <v>137</v>
      </c>
      <c r="F16" s="15" t="n">
        <v>33.6</v>
      </c>
      <c r="G16" s="18" t="n">
        <v>0.6978</v>
      </c>
      <c r="H16" s="19" t="inlineStr">
        <is>
          <t>Por determinar</t>
        </is>
      </c>
      <c r="I16" s="15" t="inlineStr">
        <is>
          <t>s/d</t>
        </is>
      </c>
    </row>
    <row r="17">
      <c r="A17" s="13" t="inlineStr">
        <is>
          <t>55</t>
        </is>
      </c>
      <c r="B17" s="29" t="n">
        <v>0.86</v>
      </c>
      <c r="C17" s="21" t="n">
        <v>0.18</v>
      </c>
      <c r="D17" s="14" t="inlineStr">
        <is>
          <t>3066 – 3131</t>
        </is>
      </c>
      <c r="E17" s="14" t="n">
        <v>65</v>
      </c>
      <c r="F17" s="14"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2" t="n"/>
    </row>
    <row r="20"/>
    <row r="21" ht="84" customHeight="1">
      <c r="A21" s="9" t="inlineStr">
        <is>
          <t>LECTURA INTRAMICROCUENCA. El bloque 52 ocupa el puesto 6 de 8 por superficie dentro de la microcuenca C1086-Q9575 (2.28 % de las 484.30 ha preliminares de la microcuenca). Su pendiente promedio (26.16 %, clase «25-50% (Mod. escarpado)») es la 5.ª más baja de 8 y se sitúa por encima del promedio de la microcuenca (25.51 %). Su MSAVI 2024 (0.6685) es el 4.º de 8 y queda por encima del promedio local (0.6021). Amplitud altitudinal del bloque: 153 m (3011–3164 msnm). El cuadro conserva todos los bloques catalogados en la microcuenca, incluidos los descartados en el tamizaje, para referencia del conjunto. Los bloques sin ficha DT figuran con sus parámetros de gabinete. BRECHA ESPECTRAL. El 3.80 % de la superficie del bloque (0.420 ha de 11.059 ha) se sitúa bajo el umbral MSAVI 0.4976, por debajo del promedio local de la microcuenca (32.64 %) calculado sobre los bloques con dato MSAVI disponible.</t>
        </is>
      </c>
      <c r="B21" s="41" t="n"/>
      <c r="C21" s="41" t="n"/>
      <c r="D21" s="41" t="n"/>
      <c r="E21" s="41" t="n"/>
      <c r="F21" s="41" t="n"/>
      <c r="G21" s="41" t="n"/>
      <c r="H21" s="42"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2"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9437881 N) dista 4,057 m del centroide de catálogo (641522 E / 9438064 N), distancia incompatible con la superficie del bloque (11.06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(11.063 ha) coincide con la de catálogo (11.06 ha) dentro del ±2 % (+0.02 %)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100.00 %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Elenco florístico</t>
        </is>
      </c>
      <c r="C15" s="36" t="inlineStr">
        <is>
          <t>La ficha registra 14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«Miraflores»; el cruce INEI-Bloques V5 identifica 1 centro(s) poblado(s) en el bloque: MIRAFLORES</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(40 polígonos, 11.059 ha)</t>
        </is>
      </c>
      <c r="D18" s="37"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(11.059 ha) frente a la de catálogo V5/V6 (11.060 ha): desviación de -0.01 %</t>
        </is>
      </c>
      <c r="D19" s="37"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(0.6685) cae en la clase «DN 5 · &gt; 0.6139 (Vigor alto)»; la clase de mayor superficie es «DN 5 · &gt; 0.6139 (Vigor alto)», con 69.88 % del bloque. Superficie bajo el umbral 0.4976: 0.420 ha (3.80 %)</t>
        </is>
      </c>
      <c r="D20" s="37"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5 · CORREGIDO: 1 · NO SUSTANTIVA: 2 · SUSTANTIVA: 3</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52 — IN Piura</dc:title>
  <dc:subject>Diagnóstico Territorial por bloque de intervención</dc:subject>
  <dcterms:created xsi:type="dcterms:W3CDTF">2026-09-08T03:39:56Z</dcterms:created>
  <dcterms:modified xsi:type="dcterms:W3CDTF">2026-09-09T23:30:52Z</dcterms:modified>
</cp:coreProperties>
</file>