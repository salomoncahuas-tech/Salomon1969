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30</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Chamelico y Sapce</t>
        </is>
      </c>
      <c r="C13" s="6" t="inlineStr">
        <is>
          <t>Comunidad campesina</t>
        </is>
      </c>
      <c r="D13" s="7" t="inlineStr">
        <is>
          <t>Por verificar</t>
        </is>
      </c>
      <c r="E13" s="8" t="n"/>
      <c r="F13" s="8" t="n"/>
    </row>
    <row r="14">
      <c r="A14" s="6" t="inlineStr">
        <is>
          <t>Superficie de catálogo (V5/V6), ha</t>
        </is>
      </c>
      <c r="B14" s="7" t="n">
        <v>34.87</v>
      </c>
      <c r="C14" s="6" t="inlineStr">
        <is>
          <t>Fuente de superficie</t>
        </is>
      </c>
      <c r="D14" s="7" t="inlineStr">
        <is>
          <t>Catálogo maestro Bloques V5/V6</t>
        </is>
      </c>
      <c r="E14" s="8" t="n"/>
      <c r="F14" s="8" t="n"/>
    </row>
    <row r="15">
      <c r="A15" s="6" t="inlineStr">
        <is>
          <t>Centroide UTM ESTE (m)</t>
        </is>
      </c>
      <c r="B15" s="7" t="n">
        <v>652758</v>
      </c>
      <c r="C15" s="6" t="inlineStr">
        <is>
          <t>Centroide UTM NORTE (m)</t>
        </is>
      </c>
      <c r="D15" s="7" t="n">
        <v>9424380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1216</v>
      </c>
      <c r="C19" s="6" t="inlineStr">
        <is>
          <t>Altitud máxima (msnm)</t>
        </is>
      </c>
      <c r="D19" s="7" t="n">
        <v>1541</v>
      </c>
      <c r="E19" s="8" t="n"/>
      <c r="F19" s="8" t="n"/>
    </row>
    <row r="20">
      <c r="A20" s="6" t="inlineStr">
        <is>
          <t>Amplitud altitudinal (m)</t>
        </is>
      </c>
      <c r="B20" s="7" t="n">
        <v>325</v>
      </c>
      <c r="C20" s="6" t="inlineStr">
        <is>
          <t>Piso altitudinal dominante</t>
        </is>
      </c>
      <c r="D20" s="7" t="inlineStr">
        <is>
          <t>1000-1500 m (Quechua baja)</t>
        </is>
      </c>
      <c r="E20" s="8" t="n"/>
      <c r="F20" s="8" t="n"/>
    </row>
    <row r="21">
      <c r="A21" s="6" t="inlineStr">
        <is>
          <t>Pendiente promedio (%)</t>
        </is>
      </c>
      <c r="B21" s="7" t="n">
        <v>27.91</v>
      </c>
      <c r="C21" s="6" t="inlineStr">
        <is>
          <t>Pendiente promedio (grados)</t>
        </is>
      </c>
      <c r="D21" s="7" t="n">
        <v>15.6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0.6637999999999999</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(99.38 %)</t>
        </is>
      </c>
      <c r="E29" s="8" t="n"/>
      <c r="F29" s="8" t="n"/>
    </row>
    <row r="30">
      <c r="A30" s="6" t="inlineStr">
        <is>
          <t>Superficie clasificada NDVI 2025 (ha)</t>
        </is>
      </c>
      <c r="B30" s="7" t="n">
        <v>34.882</v>
      </c>
      <c r="C30" s="6" t="inlineStr">
        <is>
          <t>Desviación frente al catálogo (%)</t>
        </is>
      </c>
      <c r="D30" s="7" t="n">
        <v>0.03</v>
      </c>
      <c r="E30" s="8" t="n"/>
      <c r="F30" s="8" t="n"/>
    </row>
    <row r="31">
      <c r="A31" s="6" t="inlineStr">
        <is>
          <t>Superficie clasificada MSAVI 2024 (ha)</t>
        </is>
      </c>
      <c r="B31" s="38" t="n">
        <v>34.874</v>
      </c>
      <c r="C31" s="6" t="inlineStr">
        <is>
          <t>Desviación MSAVI frente al catálogo (%)</t>
        </is>
      </c>
      <c r="D31" s="39" t="n">
        <v>0.01</v>
      </c>
      <c r="E31" s="8" t="n"/>
      <c r="F31" s="8" t="n"/>
    </row>
    <row r="32">
      <c r="A32" s="6" t="inlineStr">
        <is>
          <t>Superficie bajo umbral MSAVI 0.4976 (ha)</t>
        </is>
      </c>
      <c r="B32" s="38" t="n">
        <v>0.456</v>
      </c>
      <c r="C32" s="6" t="inlineStr">
        <is>
          <t>% del bloque bajo umbral (brecha espectral)</t>
        </is>
      </c>
      <c r="D32" s="39" t="n">
        <v>1.31</v>
      </c>
      <c r="E32" s="8" t="n"/>
      <c r="F32" s="8" t="n"/>
    </row>
    <row r="33">
      <c r="A33" s="6" t="inlineStr">
        <is>
          <t>Clase DN dominante (MSAVI 2024)</t>
        </is>
      </c>
      <c r="B33" s="7" t="inlineStr">
        <is>
          <t>DN 5 · &gt; 0.6139 (Vigor alto)</t>
        </is>
      </c>
      <c r="C33" s="6" t="inlineStr">
        <is>
          <t>N.° de polígonos MSAVI del bloque</t>
        </is>
      </c>
      <c r="D33" s="40" t="n">
        <v>91</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n">
        <v>0</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 e Ing. Pedro Talledo</t>
        </is>
      </c>
      <c r="C44" s="6" t="inlineStr">
        <is>
          <t>Fecha de evaluación</t>
        </is>
      </c>
      <c r="D44" s="7" t="inlineStr">
        <is>
          <t>2026-08-03</t>
        </is>
      </c>
      <c r="E44" s="8" t="n"/>
      <c r="F44" s="8" t="n"/>
    </row>
    <row r="45">
      <c r="A45" s="6" t="inlineStr">
        <is>
          <t>Hora de registro</t>
        </is>
      </c>
      <c r="B45" s="7" t="inlineStr">
        <is>
          <t>Por registrar</t>
        </is>
      </c>
      <c r="C45" s="6" t="inlineStr">
        <is>
          <t>Correlativo de ficha</t>
        </is>
      </c>
      <c r="D45" s="7" t="inlineStr">
        <is>
          <t>F-DT-01-30</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determinar</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laderas de fuerte pendiente sin prácticas de conservación de suelos, favorecida por la accesibilidad vial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24.8004</v>
      </c>
      <c r="C10" s="31">
        <f>ROUND(B10/$B$15*100,2)</f>
        <v/>
      </c>
      <c r="D10" s="12" t="inlineStr">
        <is>
          <t>Vigor alto</t>
        </is>
      </c>
      <c r="E10" s="12" t="inlineStr">
        <is>
          <t>Sobre umbral</t>
        </is>
      </c>
    </row>
    <row r="11">
      <c r="A11" s="13" t="inlineStr">
        <is>
          <t>0.4976 - 0.6139 · DN 4</t>
        </is>
      </c>
      <c r="B11" s="20" t="n">
        <v>9.617599999999999</v>
      </c>
      <c r="C11" s="21">
        <f>ROUND(B11/$B$15*100,2)</f>
        <v/>
      </c>
      <c r="D11" s="14" t="inlineStr">
        <is>
          <t>Vigor moderado</t>
        </is>
      </c>
      <c r="E11" s="14" t="inlineStr">
        <is>
          <t>Sobre umbral</t>
        </is>
      </c>
    </row>
    <row r="12">
      <c r="A12" s="7" t="inlineStr">
        <is>
          <t>0.3813 - 0.4976 · DN 3</t>
        </is>
      </c>
      <c r="B12" s="18" t="n">
        <v>0.4558</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91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34.87</v>
      </c>
      <c r="C18" s="49" t="inlineStr">
        <is>
          <t>—</t>
        </is>
      </c>
      <c r="D18" s="46" t="inlineStr">
        <is>
          <t>Desviación planimétrica frente al catálogo</t>
        </is>
      </c>
      <c r="E18" s="46" t="inlineStr">
        <is>
          <t>+0.01 %</t>
        </is>
      </c>
    </row>
    <row r="19">
      <c r="A19" s="16" t="inlineStr">
        <is>
          <t>MSAVI 2024 — MEDIA DEL BLOQUE</t>
        </is>
      </c>
      <c r="B19" s="17" t="n">
        <v>0.6638039999999999</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(0.6638)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34.6669</v>
      </c>
      <c r="C25" s="19" t="n">
        <v>99.38</v>
      </c>
      <c r="D25" s="15" t="inlineStr">
        <is>
          <t>Dosel continuo, matorral denso o mosaico agroforestal</t>
        </is>
      </c>
      <c r="E25" s="15" t="inlineStr"/>
    </row>
    <row r="26">
      <c r="A26" s="13" t="inlineStr">
        <is>
          <t>Vegetación mediana</t>
        </is>
      </c>
      <c r="B26" s="20" t="n">
        <v>0.2146</v>
      </c>
      <c r="C26" s="21" t="n">
        <v>0.62</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34.87</v>
      </c>
      <c r="C28" s="25" t="inlineStr">
        <is>
          <t>—</t>
        </is>
      </c>
      <c r="D28" s="25" t="inlineStr">
        <is>
          <t>Desviación planimétrica frente al catálogo</t>
        </is>
      </c>
      <c r="E28" s="25" t="inlineStr">
        <is>
          <t>+0.03 %</t>
        </is>
      </c>
    </row>
    <row r="29"/>
    <row r="30" ht="72"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30</t>
        </is>
      </c>
    </row>
    <row r="6" ht="24" customHeight="1">
      <c r="A6" s="4" t="inlineStr">
        <is>
          <t>Levantamiento del 2026-08-03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652758</v>
      </c>
      <c r="D10" s="26" t="n">
        <v>9424380</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Quebrada s/n colindante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652758</v>
      </c>
      <c r="C14" s="6" t="inlineStr">
        <is>
          <t>Centroide del bloque — UTM NORTE (m)</t>
        </is>
      </c>
      <c r="D14" s="7" t="n">
        <v>9424380</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7" ht="96"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1220 msnm. Rango altitudinal según MDE: 1216-1541 msnm (amplitud 325 m); pendiente promedio 27.91%. Acceso: vía afirmada Los Ranchos – Sapce, margen derecha de una quebrada s/n.</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30</t>
        </is>
      </c>
    </row>
    <row r="6" ht="24" customHeight="1">
      <c r="A6" s="4" t="inlineStr">
        <is>
          <t>Distrito de Canchaque · Provincia de Huancabamba · Comparación de los bloques preliminares de intervención de la misma microcuenca</t>
        </is>
      </c>
    </row>
    <row r="7"/>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5" t="inlineStr">
        <is>
          <t>1171 – 1769</t>
        </is>
      </c>
      <c r="E10" s="15" t="n">
        <v>598</v>
      </c>
      <c r="F10" s="15" t="n">
        <v>31.55</v>
      </c>
      <c r="G10" s="18" t="n">
        <v>0.6403</v>
      </c>
      <c r="H10" s="19" t="n">
        <v>94.08</v>
      </c>
      <c r="I10" s="19" t="n">
        <v>8.84</v>
      </c>
    </row>
    <row r="11">
      <c r="A11" s="13" t="inlineStr">
        <is>
          <t>M30B5</t>
        </is>
      </c>
      <c r="B11" s="29" t="n">
        <v>90.90000000000001</v>
      </c>
      <c r="C11" s="21" t="n">
        <v>16.46</v>
      </c>
      <c r="D11" s="14" t="inlineStr">
        <is>
          <t>1782 – 2307</t>
        </is>
      </c>
      <c r="E11" s="14" t="n">
        <v>525</v>
      </c>
      <c r="F11" s="14" t="n">
        <v>21.23</v>
      </c>
      <c r="G11" s="20" t="n">
        <v>0.5564</v>
      </c>
      <c r="H11" s="21" t="n">
        <v>79.45999999999999</v>
      </c>
      <c r="I11" s="21" t="n">
        <v>33.03</v>
      </c>
    </row>
    <row r="12">
      <c r="A12" s="7" t="inlineStr">
        <is>
          <t>21</t>
        </is>
      </c>
      <c r="B12" s="28" t="n">
        <v>84.23</v>
      </c>
      <c r="C12" s="19" t="n">
        <v>15.25</v>
      </c>
      <c r="D12" s="15" t="inlineStr">
        <is>
          <t>1353 – 2004</t>
        </is>
      </c>
      <c r="E12" s="15" t="n">
        <v>651</v>
      </c>
      <c r="F12" s="15" t="n">
        <v>31.71</v>
      </c>
      <c r="G12" s="18" t="n">
        <v>0.6201</v>
      </c>
      <c r="H12" s="19" t="n">
        <v>89.39</v>
      </c>
      <c r="I12" s="19" t="n">
        <v>5.17</v>
      </c>
    </row>
    <row r="13">
      <c r="A13" s="13" t="inlineStr">
        <is>
          <t>28</t>
        </is>
      </c>
      <c r="B13" s="29" t="n">
        <v>52.97</v>
      </c>
      <c r="C13" s="21" t="n">
        <v>9.59</v>
      </c>
      <c r="D13" s="14" t="inlineStr">
        <is>
          <t>1462 – 1856</t>
        </is>
      </c>
      <c r="E13" s="14" t="n">
        <v>394</v>
      </c>
      <c r="F13" s="14" t="n">
        <v>30.36</v>
      </c>
      <c r="G13" s="20" t="n">
        <v>0.6394</v>
      </c>
      <c r="H13" s="21" t="n">
        <v>96.64</v>
      </c>
      <c r="I13" s="21" t="n">
        <v>0.93</v>
      </c>
    </row>
    <row r="14">
      <c r="A14" s="7" t="inlineStr">
        <is>
          <t>26</t>
        </is>
      </c>
      <c r="B14" s="28" t="n">
        <v>46.96</v>
      </c>
      <c r="C14" s="19" t="n">
        <v>8.5</v>
      </c>
      <c r="D14" s="15" t="inlineStr">
        <is>
          <t>1260 – 1855</t>
        </is>
      </c>
      <c r="E14" s="15" t="n">
        <v>595</v>
      </c>
      <c r="F14" s="15" t="n">
        <v>32.26</v>
      </c>
      <c r="G14" s="18" t="n">
        <v>0.6733</v>
      </c>
      <c r="H14" s="19" t="n">
        <v>97.29000000000001</v>
      </c>
      <c r="I14" s="19" t="n">
        <v>2.35</v>
      </c>
    </row>
    <row r="15">
      <c r="A15" s="13" t="inlineStr">
        <is>
          <t>60</t>
        </is>
      </c>
      <c r="B15" s="29" t="n">
        <v>40.13</v>
      </c>
      <c r="C15" s="21" t="n">
        <v>7.27</v>
      </c>
      <c r="D15" s="14" t="inlineStr">
        <is>
          <t>1638 – 2073</t>
        </is>
      </c>
      <c r="E15" s="14" t="n">
        <v>435</v>
      </c>
      <c r="F15" s="14" t="n">
        <v>32.67</v>
      </c>
      <c r="G15" s="20" t="n">
        <v>0.6745</v>
      </c>
      <c r="H15" s="21" t="n">
        <v>99.90000000000001</v>
      </c>
      <c r="I15" s="21" t="n">
        <v>0.61</v>
      </c>
    </row>
    <row r="16">
      <c r="A16" s="7" t="inlineStr">
        <is>
          <t>64</t>
        </is>
      </c>
      <c r="B16" s="28" t="n">
        <v>35.77</v>
      </c>
      <c r="C16" s="19" t="n">
        <v>6.48</v>
      </c>
      <c r="D16" s="15" t="inlineStr">
        <is>
          <t>2412 – 2651</t>
        </is>
      </c>
      <c r="E16" s="15" t="n">
        <v>239</v>
      </c>
      <c r="F16" s="15" t="n">
        <v>28.18</v>
      </c>
      <c r="G16" s="18" t="n">
        <v>0.5254</v>
      </c>
      <c r="H16" s="19" t="n">
        <v>78.22</v>
      </c>
      <c r="I16" s="19" t="n">
        <v>41.48</v>
      </c>
    </row>
    <row r="17">
      <c r="A17" s="13" t="inlineStr">
        <is>
          <t>37</t>
        </is>
      </c>
      <c r="B17" s="29" t="n">
        <v>35.49</v>
      </c>
      <c r="C17" s="21" t="n">
        <v>6.43</v>
      </c>
      <c r="D17" s="14" t="inlineStr">
        <is>
          <t>1184 – 1455</t>
        </is>
      </c>
      <c r="E17" s="14" t="n">
        <v>271</v>
      </c>
      <c r="F17" s="14" t="n">
        <v>23.59</v>
      </c>
      <c r="G17" s="20" t="n">
        <v>0.6588000000000001</v>
      </c>
      <c r="H17" s="21" t="n">
        <v>98.02</v>
      </c>
      <c r="I17" s="21" t="n">
        <v>1.92</v>
      </c>
    </row>
    <row r="18">
      <c r="A18" s="11" t="inlineStr">
        <is>
          <t>► 30</t>
        </is>
      </c>
      <c r="B18" s="30" t="n">
        <v>34.87</v>
      </c>
      <c r="C18" s="31" t="n">
        <v>6.31</v>
      </c>
      <c r="D18" s="12" t="inlineStr">
        <is>
          <t>1216 – 1541</t>
        </is>
      </c>
      <c r="E18" s="12" t="n">
        <v>325</v>
      </c>
      <c r="F18" s="12" t="n">
        <v>27.91</v>
      </c>
      <c r="G18" s="32" t="n">
        <v>0.6637999999999999</v>
      </c>
      <c r="H18" s="31" t="n">
        <v>99.38</v>
      </c>
      <c r="I18" s="31" t="n">
        <v>1.31</v>
      </c>
    </row>
    <row r="19">
      <c r="A19" s="13" t="inlineStr">
        <is>
          <t>40</t>
        </is>
      </c>
      <c r="B19" s="29" t="n">
        <v>28.52</v>
      </c>
      <c r="C19" s="21" t="n">
        <v>5.16</v>
      </c>
      <c r="D19" s="14" t="inlineStr">
        <is>
          <t>1407 – 1656</t>
        </is>
      </c>
      <c r="E19" s="14" t="n">
        <v>249</v>
      </c>
      <c r="F19" s="14"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1"/>
    <row r="22" ht="84" customHeight="1">
      <c r="A22" s="9" t="inlineStr">
        <is>
          <t>LECTURA INTRAMICROCUENCA. El bloque 30 ocupa el puesto 9 de 10 por superficie dentro de la microcuenca C1081-Q9591 (6.31 % de las 552.18 ha preliminares de la microcuenca). Su pendiente promedio (27.91 %, clase «25-50% (Mod. escarpado)») es la 3.ª más baja de 10 y se sitúa por debajo del promedio de la microcuenca (29.09 %). Su MSAVI 2024 (0.6638) es el 3.º de 10 y queda por encima del promedio local (0.6292). Amplitud altitudinal del bloque: 325 m (1216–1541 msnm). El cuadro conserva todos los bloques catalogados en la microcuenca, incluidos los descartados en el tamizaje, para referencia del conjunto. Los bloques sin ficha DT figuran con sus parámetros de gabinete. BRECHA ESPECTRAL. El 1.31 % de la superficie del bloque (0.456 ha de 34.874 ha) se sitúa bajo el umbral MSAVI 0.4976, por debajo del promedio local de la microcuenca (9.85 %)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9">
    <mergeCell ref="A1:I1"/>
    <mergeCell ref="A4:I4"/>
    <mergeCell ref="A3:I3"/>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(34.882 ha) coincide con la de catálogo (34.87 ha) dentro del ±2 % (+0.03 %)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11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«Chamelico y Sapce»; el cruce INEI-Bloques V5 identifica 2 centro(s) poblado(s) en el bloque: CHAMELICO, SAPCE</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6" t="inlineStr">
        <is>
          <t>D-07</t>
        </is>
      </c>
      <c r="B16" s="36" t="inlineStr">
        <is>
          <t>Distribución areal MSAVI 2024</t>
        </is>
      </c>
      <c r="C16" s="36" t="inlineStr">
        <is>
          <t>La distribución por clase de MSAVI no figuraba en los insumos del entregable y se consignaba «Por determinar»; se incorpora la estadística zonal del ráster MSAVI clasificado (91 polígonos, 34.874 ha)</t>
        </is>
      </c>
      <c r="D16" s="37" t="inlineStr">
        <is>
          <t>CORREGIDO</t>
        </is>
      </c>
      <c r="E1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7" ht="48" customHeight="1">
      <c r="A17" s="36" t="inlineStr">
        <is>
          <t>D-08</t>
        </is>
      </c>
      <c r="B17" s="36" t="inlineStr">
        <is>
          <t>Superficie MSAVI vs. catálogo</t>
        </is>
      </c>
      <c r="C17" s="36" t="inlineStr">
        <is>
          <t>La superficie total clasificada por el MSAVI 2024 (34.874 ha) frente a la de catálogo V5/V6 (34.870 ha): desviación de +0.01 %</t>
        </is>
      </c>
      <c r="D17" s="37" t="inlineStr">
        <is>
          <t>CONFORME</t>
        </is>
      </c>
      <c r="E17" s="36" t="inlineStr">
        <is>
          <t>Sin acción: la segmentación del ráster valida la geometría del bloque dentro del ±2 %.</t>
        </is>
      </c>
    </row>
    <row r="18" ht="48" customHeight="1">
      <c r="A18" s="36" t="inlineStr">
        <is>
          <t>D-09</t>
        </is>
      </c>
      <c r="B18" s="36" t="inlineStr">
        <is>
          <t>Media MSAVI vs. clase DN dominante</t>
        </is>
      </c>
      <c r="C18" s="36" t="inlineStr">
        <is>
          <t>La media del bloque (0.6638) cae en la clase «DN 5 · &gt; 0.6139 (Vigor alto)»; la clase de mayor superficie es «DN 5 · &gt; 0.6139 (Vigor alto)», con 71.11 % del bloque. Superficie bajo el umbral 0.4976: 0.456 ha (1.31 %)</t>
        </is>
      </c>
      <c r="D18" s="37" t="inlineStr">
        <is>
          <t>CONFORME</t>
        </is>
      </c>
      <c r="E18" s="36" t="inlineStr">
        <is>
          <t>Sin acción: la media del bloque y la clase de mayor superficie coinciden.</t>
        </is>
      </c>
    </row>
    <row r="19"/>
    <row r="20">
      <c r="A20" s="16" t="inlineStr">
        <is>
          <t>RESUMEN</t>
        </is>
      </c>
      <c r="B20" s="17" t="inlineStr">
        <is>
          <t>9 verificaciones</t>
        </is>
      </c>
      <c r="C20" s="17" t="inlineStr">
        <is>
          <t>CONFORME: 6 · CORREGIDO: 1 · SUSTANTIVA: 2</t>
        </is>
      </c>
      <c r="D20" s="17" t="inlineStr"/>
      <c r="E20" s="17" t="inlineStr"/>
    </row>
    <row r="21"/>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41" t="n"/>
      <c r="C22" s="41" t="n"/>
      <c r="D22" s="41" t="n"/>
      <c r="E22" s="42"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30 — IN Piura</dc:title>
  <dc:subject>Diagnóstico Territorial por bloque de intervención</dc:subject>
  <dcterms:created xsi:type="dcterms:W3CDTF">2026-09-08T03:39:54Z</dcterms:created>
  <dcterms:modified xsi:type="dcterms:W3CDTF">2026-09-09T23:30:51Z</dcterms:modified>
</cp:coreProperties>
</file>