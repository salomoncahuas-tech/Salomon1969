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66</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C1076-Q9584 (según ficha — valor por defecto de plantilla; catálogo: 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Huamala</t>
        </is>
      </c>
      <c r="C13" s="6" t="inlineStr">
        <is>
          <t>Comunidad campesina</t>
        </is>
      </c>
      <c r="D13" s="7" t="inlineStr">
        <is>
          <t>Por verificar</t>
        </is>
      </c>
      <c r="E13" s="8" t="n"/>
      <c r="F13" s="8" t="n"/>
    </row>
    <row r="14">
      <c r="A14" s="6" t="inlineStr">
        <is>
          <t>Superficie de catálogo (V5/V6), ha</t>
        </is>
      </c>
      <c r="B14" s="7" t="n">
        <v>102.34</v>
      </c>
      <c r="C14" s="6" t="inlineStr">
        <is>
          <t>Fuente de superficie</t>
        </is>
      </c>
      <c r="D14" s="7" t="inlineStr">
        <is>
          <t>Catálogo maestro Bloques V5/V6</t>
        </is>
      </c>
      <c r="E14" s="8" t="n"/>
      <c r="F14" s="8" t="n"/>
    </row>
    <row r="15">
      <c r="A15" s="6" t="inlineStr">
        <is>
          <t>Centroide UTM ESTE (m)</t>
        </is>
      </c>
      <c r="B15" s="7" t="n">
        <v>652566</v>
      </c>
      <c r="C15" s="6" t="inlineStr">
        <is>
          <t>Centroide UTM NORTE (m)</t>
        </is>
      </c>
      <c r="D15" s="7" t="n">
        <v>9417311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1171</v>
      </c>
      <c r="C19" s="6" t="inlineStr">
        <is>
          <t>Altitud máxima (msnm)</t>
        </is>
      </c>
      <c r="D19" s="7" t="n">
        <v>1769</v>
      </c>
      <c r="E19" s="8" t="n"/>
      <c r="F19" s="8" t="n"/>
    </row>
    <row r="20">
      <c r="A20" s="6" t="inlineStr">
        <is>
          <t>Amplitud altitudinal (m)</t>
        </is>
      </c>
      <c r="B20" s="7" t="n">
        <v>598</v>
      </c>
      <c r="C20" s="6" t="inlineStr">
        <is>
          <t>Piso altitudinal dominante</t>
        </is>
      </c>
      <c r="D20" s="7" t="inlineStr">
        <is>
          <t>1000-1500 m (Quechua baja)</t>
        </is>
      </c>
      <c r="E20" s="8" t="n"/>
      <c r="F20" s="8" t="n"/>
    </row>
    <row r="21">
      <c r="A21" s="6" t="inlineStr">
        <is>
          <t>Pendiente promedio (%)</t>
        </is>
      </c>
      <c r="B21" s="7" t="n">
        <v>31.55</v>
      </c>
      <c r="C21" s="6" t="inlineStr">
        <is>
          <t>Pendiente promedio (grados)</t>
        </is>
      </c>
      <c r="D21" s="7" t="n">
        <v>17.5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0.6403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(94.08 %)</t>
        </is>
      </c>
      <c r="E29" s="8" t="n"/>
      <c r="F29" s="8" t="n"/>
    </row>
    <row r="30">
      <c r="A30" s="6" t="inlineStr">
        <is>
          <t>Superficie clasificada NDVI 2025 (ha)</t>
        </is>
      </c>
      <c r="B30" s="7" t="n">
        <v>102.358</v>
      </c>
      <c r="C30" s="6" t="inlineStr">
        <is>
          <t>Desviación frente al catálogo (%)</t>
        </is>
      </c>
      <c r="D30" s="7" t="n">
        <v>0.02</v>
      </c>
      <c r="E30" s="8" t="n"/>
      <c r="F30" s="8" t="n"/>
    </row>
    <row r="31">
      <c r="A31" s="6" t="inlineStr">
        <is>
          <t>Superficie clasificada MSAVI 2024 (ha)</t>
        </is>
      </c>
      <c r="B31" s="38" t="n">
        <v>102.335</v>
      </c>
      <c r="C31" s="6" t="inlineStr">
        <is>
          <t>Desviación MSAVI frente al catálogo (%)</t>
        </is>
      </c>
      <c r="D31" s="39" t="n">
        <v>0</v>
      </c>
      <c r="E31" s="8" t="n"/>
      <c r="F31" s="8" t="n"/>
    </row>
    <row r="32">
      <c r="A32" s="6" t="inlineStr">
        <is>
          <t>Superficie bajo umbral MSAVI 0.4976 (ha)</t>
        </is>
      </c>
      <c r="B32" s="38" t="n">
        <v>9.047000000000001</v>
      </c>
      <c r="C32" s="6" t="inlineStr">
        <is>
          <t>% del bloque bajo umbral (brecha espectral)</t>
        </is>
      </c>
      <c r="D32" s="39" t="n">
        <v>8.84</v>
      </c>
      <c r="E32" s="8" t="n"/>
      <c r="F32" s="8" t="n"/>
    </row>
    <row r="33">
      <c r="A33" s="6" t="inlineStr">
        <is>
          <t>Clase DN dominante (MSAVI 2024)</t>
        </is>
      </c>
      <c r="B33" s="7" t="inlineStr">
        <is>
          <t>DN 5 · &gt; 0.6139 (Vigor alto)</t>
        </is>
      </c>
      <c r="C33" s="6" t="inlineStr">
        <is>
          <t>N.° de polígonos MSAVI del bloque</t>
        </is>
      </c>
      <c r="D33" s="40" t="n">
        <v>255</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verificar (Reporte de Ecosistemas por Bloques V5)</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92</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0 registradas — inventario NO ejecutado</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Héctor Cahuas — brigada: Albert Flores Mendoza (operador de dron)</t>
        </is>
      </c>
      <c r="C44" s="6" t="inlineStr">
        <is>
          <t>Fecha de evaluación</t>
        </is>
      </c>
      <c r="D44" s="7" t="inlineStr">
        <is>
          <t>2026-08-10</t>
        </is>
      </c>
      <c r="E44" s="8" t="n"/>
      <c r="F44" s="8" t="n"/>
    </row>
    <row r="45">
      <c r="A45" s="6" t="inlineStr">
        <is>
          <t>Hora de registro</t>
        </is>
      </c>
      <c r="B45" s="7" t="inlineStr">
        <is>
          <t>Vuelo RPAS — hora por confirmar con EXIF</t>
        </is>
      </c>
      <c r="C45" s="6" t="inlineStr">
        <is>
          <t>Correlativo de ficha</t>
        </is>
      </c>
      <c r="D45" s="7" t="inlineStr">
        <is>
          <t>DT-66-01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aplica — lectura aérea (sin parcela instalada)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61.0341</v>
      </c>
      <c r="C10" s="29">
        <f>ROUND(B10/$B$15*100,2)</f>
        <v/>
      </c>
      <c r="D10" s="12" t="inlineStr">
        <is>
          <t>Vigor alto</t>
        </is>
      </c>
      <c r="E10" s="12" t="inlineStr">
        <is>
          <t>Sobre umbral</t>
        </is>
      </c>
    </row>
    <row r="11">
      <c r="A11" s="13" t="inlineStr">
        <is>
          <t>0.4976 - 0.6139 · DN 4</t>
        </is>
      </c>
      <c r="B11" s="20" t="n">
        <v>32.2536</v>
      </c>
      <c r="C11" s="21">
        <f>ROUND(B11/$B$15*100,2)</f>
        <v/>
      </c>
      <c r="D11" s="14" t="inlineStr">
        <is>
          <t>Vigor moderado</t>
        </is>
      </c>
      <c r="E11" s="14" t="inlineStr">
        <is>
          <t>Sobre umbral</t>
        </is>
      </c>
    </row>
    <row r="12">
      <c r="A12" s="7" t="inlineStr">
        <is>
          <t>0.3813 - 0.4976 · DN 3</t>
        </is>
      </c>
      <c r="B12" s="18" t="n">
        <v>8.497400000000001</v>
      </c>
      <c r="C12" s="19">
        <f>ROUND(B12/$B$15*100,2)</f>
        <v/>
      </c>
      <c r="D12" s="15" t="inlineStr">
        <is>
          <t>Vigor bajo</t>
        </is>
      </c>
      <c r="E12" s="15" t="inlineStr">
        <is>
          <t>BAJO umbral 0.4976</t>
        </is>
      </c>
    </row>
    <row r="13">
      <c r="A13" s="13" t="inlineStr">
        <is>
          <t>0.2650 - 0.3813 · DN 2</t>
        </is>
      </c>
      <c r="B13" s="20" t="n">
        <v>0.5303</v>
      </c>
      <c r="C13" s="21">
        <f>ROUND(B13/$B$15*100,2)</f>
        <v/>
      </c>
      <c r="D13" s="14" t="inlineStr">
        <is>
          <t>Vigor muy bajo</t>
        </is>
      </c>
      <c r="E13" s="14" t="inlineStr">
        <is>
          <t>BAJO umbral 0.4976</t>
        </is>
      </c>
    </row>
    <row r="14">
      <c r="A14" s="7" t="inlineStr">
        <is>
          <t>&lt;= 0.2650 · DN 1</t>
        </is>
      </c>
      <c r="B14" s="18" t="n">
        <v>0.0198</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255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102.34</v>
      </c>
      <c r="C18" s="49" t="inlineStr">
        <is>
          <t>—</t>
        </is>
      </c>
      <c r="D18" s="46" t="inlineStr">
        <is>
          <t>Desviación planimétrica frente al catálogo</t>
        </is>
      </c>
      <c r="E18" s="46" t="inlineStr">
        <is>
          <t>+0.00 %</t>
        </is>
      </c>
    </row>
    <row r="19">
      <c r="A19" s="16" t="inlineStr">
        <is>
          <t>MSAVI 2024 — MEDIA DEL BLOQUE</t>
        </is>
      </c>
      <c r="B19" s="17" t="n">
        <v>0.640254</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255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(0.6403)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96.2992</v>
      </c>
      <c r="C25" s="19" t="n">
        <v>94.08</v>
      </c>
      <c r="D25" s="15" t="inlineStr">
        <is>
          <t>Dosel continuo, matorral denso o mosaico agroforestal</t>
        </is>
      </c>
      <c r="E25" s="15" t="inlineStr"/>
    </row>
    <row r="26">
      <c r="A26" s="13" t="inlineStr">
        <is>
          <t>Vegetación mediana</t>
        </is>
      </c>
      <c r="B26" s="20" t="n">
        <v>5.9798</v>
      </c>
      <c r="C26" s="21" t="n">
        <v>5.84</v>
      </c>
      <c r="D26" s="14" t="inlineStr">
        <is>
          <t>Pastizal cultivado, matorral ralo, parcelas agrícolas</t>
        </is>
      </c>
      <c r="E26" s="14" t="inlineStr"/>
    </row>
    <row r="27">
      <c r="A27" s="7" t="inlineStr">
        <is>
          <t>Vegetación ligera</t>
        </is>
      </c>
      <c r="B27" s="18" t="n">
        <v>0.0791</v>
      </c>
      <c r="C27" s="19" t="n">
        <v>0.08</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102.34</v>
      </c>
      <c r="C29" s="25" t="inlineStr">
        <is>
          <t>—</t>
        </is>
      </c>
      <c r="D29" s="25" t="inlineStr">
        <is>
          <t>Desviación planimétrica frente al catálogo</t>
        </is>
      </c>
      <c r="E29" s="25" t="inlineStr">
        <is>
          <t>+0.02 %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92 % frente a un 94.08 % del polígono clasificado como «Vegetación alta» por el NDVI 2025; la observación de campo corresponde a una parcela o recorrido puntual y no es estadísticamente representativa de las 102.340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66</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652566</v>
      </c>
      <c r="D10" s="26" t="n">
        <v>9417311</v>
      </c>
      <c r="E10" s="15" t="n">
        <v>0</v>
      </c>
      <c r="F10" s="15" t="inlineStr"/>
      <c r="G10" s="15" t="inlineStr">
        <is>
          <t>Coordenada consignada en F-DT-01</t>
        </is>
      </c>
    </row>
    <row r="11">
      <c r="A11" s="13" t="inlineStr">
        <is>
          <t>H-01</t>
        </is>
      </c>
      <c r="B11" s="14" t="inlineStr">
        <is>
          <t>Fuente de agua — Quebrada permanente</t>
        </is>
      </c>
      <c r="C11" s="27" t="inlineStr">
        <is>
          <t>Por verificar</t>
        </is>
      </c>
      <c r="D11" s="27" t="inlineStr">
        <is>
          <t>Por verificar</t>
        </is>
      </c>
      <c r="E11" s="14" t="inlineStr"/>
      <c r="F11" s="14" t="inlineStr">
        <is>
          <t>Permanente</t>
        </is>
      </c>
      <c r="G11" s="14" t="inlineStr">
        <is>
          <t>Cauce principal del flanco</t>
        </is>
      </c>
    </row>
    <row r="12">
      <c r="A12" s="7" t="inlineStr">
        <is>
          <t>H-02</t>
        </is>
      </c>
      <c r="B12" s="15" t="inlineStr">
        <is>
          <t>Fuente de agua — Quebrada estacional</t>
        </is>
      </c>
      <c r="C12" s="26" t="inlineStr">
        <is>
          <t>Por verificar</t>
        </is>
      </c>
      <c r="D12" s="26" t="inlineStr">
        <is>
          <t>Por verificar</t>
        </is>
      </c>
      <c r="E12" s="15" t="inlineStr"/>
      <c r="F12" s="15" t="inlineStr">
        <is>
          <t>Estacional</t>
        </is>
      </c>
      <c r="G12" s="15" t="inlineStr">
        <is>
          <t>Tributarios que disectan la ladera</t>
        </is>
      </c>
    </row>
    <row r="13">
      <c r="A13" s="13" t="inlineStr">
        <is>
          <t>H-03</t>
        </is>
      </c>
      <c r="B13" s="14" t="inlineStr">
        <is>
          <t>Fuente de agua — Río</t>
        </is>
      </c>
      <c r="C13" s="27" t="inlineStr">
        <is>
          <t>Por verificar</t>
        </is>
      </c>
      <c r="D13" s="27" t="inlineStr">
        <is>
          <t>Por verificar</t>
        </is>
      </c>
      <c r="E13" s="14" t="inlineStr"/>
      <c r="F13" s="14" t="inlineStr">
        <is>
          <t>Permanente</t>
        </is>
      </c>
      <c r="G13" s="14" t="inlineStr">
        <is>
          <t>Río de fondo de valle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652566</v>
      </c>
      <c r="C16" s="6" t="inlineStr">
        <is>
          <t>Centroide del bloque — UTM NORTE (m)</t>
        </is>
      </c>
      <c r="D16" s="7" t="n">
        <v>9417311</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6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EJECUTADA MEDIANTE VUELO DE DRON (RPAS) con tomas oblicuas y cenitales; NO hubo recorrido pedestre ni levantamiento GPS de puntos, por lo que las coordenadas consignadas corresponden al CENTROIDE del polígono (Bloques V4/V5). Superficie oficial 102.34 ha: EL BLOQUE MÁS EXTENSO de la microcuenca C1081-Q9591. Rango altitudinal 1 171-1 769 msnm (MDE), amplitud 598 m: el polígono cabalga las clases 1000-1500 m y 1500-2000 m; se consigna la primera por cota media (1 470 msnm) y se deja constancia del carácter transicional. Pendiente promedio zonal 31.55% ≈ 17.5° (clase 25-50%), muy por debajo del umbral de exclusión de 75%. Indicios verificados en las tomas: farallones y afloramientos en la divisoria, escarpe activo con suelo desnudo y material suelto en ladera de pastizal del sector centro-norte, terracetas y sendas de ganado (reptación) y socavamiento en el cauce principal. PMM PRELIMINAR: MEDIO-ALTO.</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66</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66</t>
        </is>
      </c>
      <c r="B10" s="28" t="n">
        <v>102.34</v>
      </c>
      <c r="C10" s="29" t="n">
        <v>18.53</v>
      </c>
      <c r="D10" s="12" t="inlineStr">
        <is>
          <t>1171 – 1769</t>
        </is>
      </c>
      <c r="E10" s="12" t="n">
        <v>598</v>
      </c>
      <c r="F10" s="12" t="n">
        <v>31.55</v>
      </c>
      <c r="G10" s="30" t="n">
        <v>0.6403</v>
      </c>
      <c r="H10" s="29" t="n">
        <v>94.08</v>
      </c>
      <c r="I10" s="29" t="n">
        <v>8.84</v>
      </c>
    </row>
    <row r="11">
      <c r="A11" s="13" t="inlineStr">
        <is>
          <t>M30B5</t>
        </is>
      </c>
      <c r="B11" s="31" t="n">
        <v>90.90000000000001</v>
      </c>
      <c r="C11" s="21" t="n">
        <v>16.46</v>
      </c>
      <c r="D11" s="14" t="inlineStr">
        <is>
          <t>1782 – 2307</t>
        </is>
      </c>
      <c r="E11" s="14" t="n">
        <v>525</v>
      </c>
      <c r="F11" s="14" t="n">
        <v>21.23</v>
      </c>
      <c r="G11" s="20" t="n">
        <v>0.5564</v>
      </c>
      <c r="H11" s="21" t="n">
        <v>79.45999999999999</v>
      </c>
      <c r="I11" s="21" t="n">
        <v>33.03</v>
      </c>
    </row>
    <row r="12">
      <c r="A12" s="7" t="inlineStr">
        <is>
          <t>21</t>
        </is>
      </c>
      <c r="B12" s="32" t="n">
        <v>84.23</v>
      </c>
      <c r="C12" s="19" t="n">
        <v>15.25</v>
      </c>
      <c r="D12" s="15" t="inlineStr">
        <is>
          <t>1353 – 2004</t>
        </is>
      </c>
      <c r="E12" s="15" t="n">
        <v>651</v>
      </c>
      <c r="F12" s="15" t="n">
        <v>31.71</v>
      </c>
      <c r="G12" s="18" t="n">
        <v>0.6201</v>
      </c>
      <c r="H12" s="19" t="n">
        <v>89.39</v>
      </c>
      <c r="I12" s="19" t="n">
        <v>5.17</v>
      </c>
    </row>
    <row r="13">
      <c r="A13" s="13" t="inlineStr">
        <is>
          <t>28</t>
        </is>
      </c>
      <c r="B13" s="31" t="n">
        <v>52.97</v>
      </c>
      <c r="C13" s="21" t="n">
        <v>9.59</v>
      </c>
      <c r="D13" s="14" t="inlineStr">
        <is>
          <t>1462 – 1856</t>
        </is>
      </c>
      <c r="E13" s="14" t="n">
        <v>394</v>
      </c>
      <c r="F13" s="14" t="n">
        <v>30.36</v>
      </c>
      <c r="G13" s="20" t="n">
        <v>0.6394</v>
      </c>
      <c r="H13" s="21" t="n">
        <v>96.64</v>
      </c>
      <c r="I13" s="21" t="n">
        <v>0.93</v>
      </c>
    </row>
    <row r="14">
      <c r="A14" s="7" t="inlineStr">
        <is>
          <t>26</t>
        </is>
      </c>
      <c r="B14" s="32" t="n">
        <v>46.96</v>
      </c>
      <c r="C14" s="19" t="n">
        <v>8.5</v>
      </c>
      <c r="D14" s="15" t="inlineStr">
        <is>
          <t>1260 – 1855</t>
        </is>
      </c>
      <c r="E14" s="15" t="n">
        <v>595</v>
      </c>
      <c r="F14" s="15" t="n">
        <v>32.26</v>
      </c>
      <c r="G14" s="18" t="n">
        <v>0.6733</v>
      </c>
      <c r="H14" s="19" t="n">
        <v>97.29000000000001</v>
      </c>
      <c r="I14" s="19" t="n">
        <v>2.35</v>
      </c>
    </row>
    <row r="15">
      <c r="A15" s="13" t="inlineStr">
        <is>
          <t>60</t>
        </is>
      </c>
      <c r="B15" s="31" t="n">
        <v>40.13</v>
      </c>
      <c r="C15" s="21" t="n">
        <v>7.27</v>
      </c>
      <c r="D15" s="14" t="inlineStr">
        <is>
          <t>1638 – 2073</t>
        </is>
      </c>
      <c r="E15" s="14" t="n">
        <v>435</v>
      </c>
      <c r="F15" s="14" t="n">
        <v>32.67</v>
      </c>
      <c r="G15" s="20" t="n">
        <v>0.6745</v>
      </c>
      <c r="H15" s="21" t="n">
        <v>99.90000000000001</v>
      </c>
      <c r="I15" s="21" t="n">
        <v>0.61</v>
      </c>
    </row>
    <row r="16">
      <c r="A16" s="7" t="inlineStr">
        <is>
          <t>64</t>
        </is>
      </c>
      <c r="B16" s="32" t="n">
        <v>35.77</v>
      </c>
      <c r="C16" s="19" t="n">
        <v>6.48</v>
      </c>
      <c r="D16" s="15" t="inlineStr">
        <is>
          <t>2412 – 2651</t>
        </is>
      </c>
      <c r="E16" s="15" t="n">
        <v>239</v>
      </c>
      <c r="F16" s="15" t="n">
        <v>28.18</v>
      </c>
      <c r="G16" s="18" t="n">
        <v>0.5254</v>
      </c>
      <c r="H16" s="19" t="n">
        <v>78.22</v>
      </c>
      <c r="I16" s="19" t="n">
        <v>41.48</v>
      </c>
    </row>
    <row r="17">
      <c r="A17" s="13" t="inlineStr">
        <is>
          <t>37</t>
        </is>
      </c>
      <c r="B17" s="31" t="n">
        <v>35.49</v>
      </c>
      <c r="C17" s="21" t="n">
        <v>6.43</v>
      </c>
      <c r="D17" s="14" t="inlineStr">
        <is>
          <t>1184 – 1455</t>
        </is>
      </c>
      <c r="E17" s="14" t="n">
        <v>271</v>
      </c>
      <c r="F17" s="14" t="n">
        <v>23.59</v>
      </c>
      <c r="G17" s="20" t="n">
        <v>0.6588000000000001</v>
      </c>
      <c r="H17" s="21" t="n">
        <v>98.02</v>
      </c>
      <c r="I17" s="21" t="n">
        <v>1.92</v>
      </c>
    </row>
    <row r="18">
      <c r="A18" s="7" t="inlineStr">
        <is>
          <t>30</t>
        </is>
      </c>
      <c r="B18" s="32" t="n">
        <v>34.87</v>
      </c>
      <c r="C18" s="19" t="n">
        <v>6.31</v>
      </c>
      <c r="D18" s="15" t="inlineStr">
        <is>
          <t>1216 – 1541</t>
        </is>
      </c>
      <c r="E18" s="15" t="n">
        <v>325</v>
      </c>
      <c r="F18" s="15" t="n">
        <v>27.91</v>
      </c>
      <c r="G18" s="18" t="n">
        <v>0.6637999999999999</v>
      </c>
      <c r="H18" s="19" t="n">
        <v>99.38</v>
      </c>
      <c r="I18" s="19" t="n">
        <v>1.31</v>
      </c>
    </row>
    <row r="19">
      <c r="A19" s="13" t="inlineStr">
        <is>
          <t>40</t>
        </is>
      </c>
      <c r="B19" s="31"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1"/>
    <row r="22" ht="84" customHeight="1">
      <c r="A22" s="9" t="inlineStr">
        <is>
          <t>LECTURA INTRAMICROCUENCA. El bloque 66 ocupa el puesto 1 de 10 por superficie dentro de la microcuenca C1081-Q9591 (18.53 % de las 552.18 ha preliminares de la microcuenca). Su pendiente promedio (31.55 %, clase «25-50% (Mod. escarpado)») es la 7.ª más baja de 10 y se sitúa por encima del promedio de la microcuenca (29.09 %). Su MSAVI 2024 (0.6403) es el 5.º de 10 y queda por encima del promedio local (0.6292). Amplitud altitudinal del bloque: 598 m (1171–1769 msnm). El cuadro conserva todos los bloques catalogados en la microcuenca, incluidos los descartados en el tamizaje, para referencia del conjunto. Los bloques sin ficha DT figuran con sus parámetros de gabinete. BRECHA ESPECTRAL. El 8.84 % de la superficie del bloque (9.047 ha de 102.335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C1081-Q9591)»; el catálogo maestro V5/V6 asigna el bloque a «C1081-Q9591»</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(102.358 ha) coincide con la de catálogo (102.34 ha) dentro del ±2 % (+0.02 %)</t>
        </is>
      </c>
      <c r="D12" s="37"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 transicional a 1500-2000 m»; el MDE sitúa el bloque entre 1171 y 1769 msnm, cuyo punto medio corresponde a «1000-1500 m (Quechua baja)»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5"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«Huamala»; el cruce INEI-Bloques V5 identifica 1 centro(s) poblado(s) en el bloque: HUAMALA BAJA</t>
        </is>
      </c>
      <c r="D15" s="37"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Ficha DT</t>
        </is>
      </c>
      <c r="C17" s="36" t="inlineStr">
        <is>
          <t>La ficha consigna microcuenca C1076-Q9584; el catálogo maestro asigna al bloque 66 la microcuenca C1081-Q9591</t>
        </is>
      </c>
      <c r="D17" s="35" t="inlineStr">
        <is>
          <t>SUSTANTIVA</t>
        </is>
      </c>
      <c r="E17" s="36" t="inlineStr">
        <is>
          <t>Valor por defecto de la plantilla; se conserva el del catálogo</t>
        </is>
      </c>
    </row>
    <row r="18" ht="48" customHeight="1">
      <c r="A18" s="34" t="inlineStr">
        <is>
          <t>D-09</t>
        </is>
      </c>
      <c r="B18" s="34" t="inlineStr">
        <is>
          <t>F-DT-01</t>
        </is>
      </c>
      <c r="C18" s="34" t="inlineStr">
        <is>
          <t>Verificación exclusivamente aérea (RPAS): coordenadas = centroide del polígono, no punto GPS de campo</t>
        </is>
      </c>
      <c r="D18" s="12" t="inlineStr">
        <is>
          <t>NO SUSTANTIVA</t>
        </is>
      </c>
      <c r="E18" s="34" t="inlineStr">
        <is>
          <t>Declarado en la propia ficha</t>
        </is>
      </c>
    </row>
    <row r="19" ht="48" customHeight="1">
      <c r="A19" s="36" t="inlineStr">
        <is>
          <t>D-10</t>
        </is>
      </c>
      <c r="B19" s="36" t="inlineStr">
        <is>
          <t>F-DT-01</t>
        </is>
      </c>
      <c r="C19" s="36" t="inlineStr">
        <is>
          <t>Rango altitudinal 1171-1769 msnm cabalga dos clases altitudinales</t>
        </is>
      </c>
      <c r="D19" s="12" t="inlineStr">
        <is>
          <t>NO SUSTANTIVA</t>
        </is>
      </c>
      <c r="E19" s="36" t="inlineStr">
        <is>
          <t>Se consigna la clase de la cota media y se deja constancia del carácter transicional</t>
        </is>
      </c>
    </row>
    <row r="20" ht="48" customHeight="1">
      <c r="A20" s="34" t="inlineStr">
        <is>
          <t>D-11</t>
        </is>
      </c>
      <c r="B20" s="34" t="inlineStr">
        <is>
          <t>F-DT-02</t>
        </is>
      </c>
      <c r="C20" s="34" t="inlineStr">
        <is>
          <t>0 cárcavas registradas con inventario NO ejecutado</t>
        </is>
      </c>
      <c r="D20" s="35" t="inlineStr">
        <is>
          <t>SUSTANTIVA</t>
        </is>
      </c>
      <c r="E20" s="34" t="inlineStr">
        <is>
          <t>No equivale a ausencia; pendiente de ortomosaico y MDS del propio vuelo</t>
        </is>
      </c>
    </row>
    <row r="21" ht="48" customHeight="1">
      <c r="A21" s="36" t="inlineStr">
        <is>
          <t>D-12</t>
        </is>
      </c>
      <c r="B21" s="36" t="inlineStr">
        <is>
          <t>F-DT-03</t>
        </is>
      </c>
      <c r="C21" s="36" t="inlineStr">
        <is>
          <t>Composición florística transferida POR ANALOGÍA con el Bloque 21</t>
        </is>
      </c>
      <c r="D21" s="35" t="inlineStr">
        <is>
          <t>SUSTANTIVA</t>
        </is>
      </c>
      <c r="E21" s="36" t="inlineStr">
        <is>
          <t>No constituye levantamiento propio; requiere colecta y determinación botánica</t>
        </is>
      </c>
    </row>
    <row r="22" ht="48" customHeight="1">
      <c r="A22" s="34" t="inlineStr">
        <is>
          <t>D-13</t>
        </is>
      </c>
      <c r="B22" s="34" t="inlineStr">
        <is>
          <t>F-DT-03</t>
        </is>
      </c>
      <c r="C22" s="34" t="inlineStr">
        <is>
          <t>Superficie de ecosistema por verificar contra el Reporte de Ecosistemas por Bloques V5</t>
        </is>
      </c>
      <c r="D22" s="12" t="inlineStr">
        <is>
          <t>NO SUSTANTIVA</t>
        </is>
      </c>
      <c r="E22" s="34" t="inlineStr">
        <is>
          <t>Pendiente de conciliación</t>
        </is>
      </c>
    </row>
    <row r="23" ht="48" customHeight="1">
      <c r="A23" s="36" t="inlineStr">
        <is>
          <t>D-14</t>
        </is>
      </c>
      <c r="B23" s="36" t="inlineStr">
        <is>
          <t>F-DT-04</t>
        </is>
      </c>
      <c r="C23" s="36" t="inlineStr">
        <is>
          <t>Indicador de brecha (R.M. 00213-2024-MINAM) no debe calcularse sobre las 102.34 ha del bloque</t>
        </is>
      </c>
      <c r="D23" s="35" t="inlineStr">
        <is>
          <t>SUSTANTIVA</t>
        </is>
      </c>
      <c r="E23" s="36" t="inlineStr">
        <is>
          <t>Calcular sobre la superficie efectivamente degradada</t>
        </is>
      </c>
    </row>
    <row r="24" ht="48" customHeight="1">
      <c r="A24" s="36" t="inlineStr">
        <is>
          <t>D-15</t>
        </is>
      </c>
      <c r="B24" s="36" t="inlineStr">
        <is>
          <t>Distribución areal MSAVI 2024</t>
        </is>
      </c>
      <c r="C24" s="36" t="inlineStr">
        <is>
          <t>La distribución por clase de MSAVI no figuraba en los insumos del entregable y se consignaba «Por determinar»; se incorpora la estadística zonal del ráster MSAVI clasificado (255 polígonos, 102.335 ha)</t>
        </is>
      </c>
      <c r="D24" s="35" t="inlineStr">
        <is>
          <t>CORREGIDO</t>
        </is>
      </c>
      <c r="E24"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6" t="inlineStr">
        <is>
          <t>D-16</t>
        </is>
      </c>
      <c r="B25" s="36" t="inlineStr">
        <is>
          <t>Superficie MSAVI vs. catálogo</t>
        </is>
      </c>
      <c r="C25" s="36" t="inlineStr">
        <is>
          <t>La superficie total clasificada por el MSAVI 2024 (102.335 ha) frente a la de catálogo V5/V6 (102.340 ha): desviación de +0.00 %</t>
        </is>
      </c>
      <c r="D25" s="35" t="inlineStr">
        <is>
          <t>CONFORME</t>
        </is>
      </c>
      <c r="E25" s="36" t="inlineStr">
        <is>
          <t>Sin acción: la segmentación del ráster valida la geometría del bloque dentro del ±2 %.</t>
        </is>
      </c>
    </row>
    <row r="26" ht="48" customHeight="1">
      <c r="A26" s="36" t="inlineStr">
        <is>
          <t>D-17</t>
        </is>
      </c>
      <c r="B26" s="36" t="inlineStr">
        <is>
          <t>Media MSAVI vs. clase DN dominante</t>
        </is>
      </c>
      <c r="C26" s="36" t="inlineStr">
        <is>
          <t>La media del bloque (0.6403) cae en la clase «DN 5 · &gt; 0.6139 (Vigor alto)»; la clase de mayor superficie es «DN 5 · &gt; 0.6139 (Vigor alto)», con 59.64 % del bloque. Superficie bajo el umbral 0.4976: 9.047 ha (8.84 %)</t>
        </is>
      </c>
      <c r="D26" s="35" t="inlineStr">
        <is>
          <t>CONFORME</t>
        </is>
      </c>
      <c r="E26" s="36" t="inlineStr">
        <is>
          <t>Sin acción: la media del bloque y la clase de mayor superficie coinciden.</t>
        </is>
      </c>
    </row>
    <row r="27"/>
    <row r="28">
      <c r="A28" s="16" t="inlineStr">
        <is>
          <t>RESUMEN</t>
        </is>
      </c>
      <c r="B28" s="17" t="inlineStr">
        <is>
          <t>17 verificaciones</t>
        </is>
      </c>
      <c r="C28" s="17" t="inlineStr">
        <is>
          <t>CONFORME: 5 · CORREGIDO: 1 · NO SUSTANTIVA: 4 · SUSTANTIVA: 7</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1" t="n"/>
      <c r="C30" s="41" t="n"/>
      <c r="D30" s="41" t="n"/>
      <c r="E30" s="42"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66 — IN Piura</dc:title>
  <dc:subject>Diagnóstico Territorial por bloque de intervención</dc:subject>
  <dcterms:created xsi:type="dcterms:W3CDTF">2026-09-08T03:39:57Z</dcterms:created>
  <dcterms:modified xsi:type="dcterms:W3CDTF">2026-09-09T23:30:53Z</dcterms:modified>
</cp:coreProperties>
</file>