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77</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t>
        </is>
      </c>
      <c r="C13" s="6" t="inlineStr">
        <is>
          <t>Comunidad campesina</t>
        </is>
      </c>
      <c r="D13" s="7" t="inlineStr">
        <is>
          <t>Por verificar</t>
        </is>
      </c>
      <c r="E13" s="8" t="n"/>
      <c r="F13" s="8" t="n"/>
    </row>
    <row r="14">
      <c r="A14" s="6" t="inlineStr">
        <is>
          <t>Superficie de catálogo (V5/V6), ha</t>
        </is>
      </c>
      <c r="B14" s="7" t="n">
        <v>17.82</v>
      </c>
      <c r="C14" s="6" t="inlineStr">
        <is>
          <t>Fuente de superficie</t>
        </is>
      </c>
      <c r="D14" s="7" t="inlineStr">
        <is>
          <t>Catálogo maestro Bloques V5/V6</t>
        </is>
      </c>
      <c r="E14" s="8" t="n"/>
      <c r="F14" s="8" t="n"/>
    </row>
    <row r="15">
      <c r="A15" s="6" t="inlineStr">
        <is>
          <t>Centroide UTM ESTE (m)</t>
        </is>
      </c>
      <c r="B15" s="7" t="n">
        <v>638648</v>
      </c>
      <c r="C15" s="6" t="inlineStr">
        <is>
          <t>Centroide UTM NORTE (m)</t>
        </is>
      </c>
      <c r="D15" s="7" t="n">
        <v>9411370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242</v>
      </c>
      <c r="C19" s="6" t="inlineStr">
        <is>
          <t>Altitud máxima (msnm)</t>
        </is>
      </c>
      <c r="D19" s="7" t="n">
        <v>346</v>
      </c>
      <c r="E19" s="8" t="n"/>
      <c r="F19" s="8" t="n"/>
    </row>
    <row r="20">
      <c r="A20" s="6" t="inlineStr">
        <is>
          <t>Amplitud altitudinal (m)</t>
        </is>
      </c>
      <c r="B20" s="7" t="n">
        <v>104</v>
      </c>
      <c r="C20" s="6" t="inlineStr">
        <is>
          <t>Piso altitudinal dominante</t>
        </is>
      </c>
      <c r="D20" s="7" t="inlineStr">
        <is>
          <t>&lt;1000 m (Yunga)</t>
        </is>
      </c>
      <c r="E20" s="8" t="n"/>
      <c r="F20" s="8" t="n"/>
    </row>
    <row r="21">
      <c r="A21" s="6" t="inlineStr">
        <is>
          <t>Pendiente promedio (%)</t>
        </is>
      </c>
      <c r="B21" s="7" t="n">
        <v>13.71</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Pie de ladera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0.2725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(61.69 %)</t>
        </is>
      </c>
      <c r="E29" s="8" t="n"/>
      <c r="F29" s="8" t="n"/>
    </row>
    <row r="30">
      <c r="A30" s="6" t="inlineStr">
        <is>
          <t>Superficie clasificada NDVI 2025 (ha)</t>
        </is>
      </c>
      <c r="B30" s="7" t="n">
        <v>17.827</v>
      </c>
      <c r="C30" s="6" t="inlineStr">
        <is>
          <t>Desviación frente al catálogo (%)</t>
        </is>
      </c>
      <c r="D30" s="7" t="n">
        <v>0.04</v>
      </c>
      <c r="E30" s="8" t="n"/>
      <c r="F30" s="8" t="n"/>
    </row>
    <row r="31">
      <c r="A31" s="6" t="inlineStr">
        <is>
          <t>Superficie clasificada MSAVI 2024 (ha)</t>
        </is>
      </c>
      <c r="B31" s="39" t="n">
        <v>17.821</v>
      </c>
      <c r="C31" s="6" t="inlineStr">
        <is>
          <t>Desviación MSAVI frente al catálogo (%)</t>
        </is>
      </c>
      <c r="D31" s="40" t="n">
        <v>0</v>
      </c>
      <c r="E31" s="8" t="n"/>
      <c r="F31" s="8" t="n"/>
    </row>
    <row r="32">
      <c r="A32" s="6" t="inlineStr">
        <is>
          <t>Superficie bajo umbral MSAVI 0.4976 (ha)</t>
        </is>
      </c>
      <c r="B32" s="39" t="n">
        <v>17.781</v>
      </c>
      <c r="C32" s="6" t="inlineStr">
        <is>
          <t>% del bloque bajo umbral (brecha espectral)</t>
        </is>
      </c>
      <c r="D32" s="40" t="n">
        <v>99.78</v>
      </c>
      <c r="E32" s="8" t="n"/>
      <c r="F32" s="8" t="n"/>
    </row>
    <row r="33">
      <c r="A33" s="6" t="inlineStr">
        <is>
          <t>Clase DN dominante (MSAVI 2024)</t>
        </is>
      </c>
      <c r="B33" s="7" t="inlineStr">
        <is>
          <t>DN 1 · &lt;= 0.2650 (Suelo desnudo / no vegetal)</t>
        </is>
      </c>
      <c r="C33" s="6" t="inlineStr">
        <is>
          <t>N.° de polígonos MSAVI del bloque</t>
        </is>
      </c>
      <c r="D33" s="41" t="n">
        <v>85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17.82 ha (100% del bloque)</t>
        </is>
      </c>
      <c r="E36" s="8" t="n"/>
      <c r="F36" s="8" t="n"/>
    </row>
    <row r="37">
      <c r="A37" s="6" t="inlineStr">
        <is>
          <t>Estado de conservación</t>
        </is>
      </c>
      <c r="B37" s="7" t="inlineStr">
        <is>
          <t>Alterado (intervención marcada)</t>
        </is>
      </c>
      <c r="C37" s="6" t="inlineStr">
        <is>
          <t>Uso actual dominante del suelo</t>
        </is>
      </c>
      <c r="D37" s="7" t="inlineStr">
        <is>
          <t>Pastoreo intensivo</t>
        </is>
      </c>
      <c r="E37" s="8" t="n"/>
      <c r="F37" s="8" t="n"/>
    </row>
    <row r="38">
      <c r="A38" s="6" t="inlineStr">
        <is>
          <t>Tipo de cobertura dominante</t>
        </is>
      </c>
      <c r="B38" s="7" t="inlineStr">
        <is>
          <t>Pastizal cultivado</t>
        </is>
      </c>
      <c r="C38" s="6" t="inlineStr">
        <is>
          <t>Cobertura vegetal total — campo (%)</t>
        </is>
      </c>
      <c r="D38" s="7" t="n">
        <v>10</v>
      </c>
      <c r="E38" s="8" t="n"/>
      <c r="F38" s="8" t="n"/>
    </row>
    <row r="39">
      <c r="A39" s="6" t="inlineStr">
        <is>
          <t>Suelo desnudo — campo (%)</t>
        </is>
      </c>
      <c r="B39" s="7" t="n">
        <v>0.25</v>
      </c>
      <c r="C39" s="6" t="inlineStr">
        <is>
          <t>Regeneración natural</t>
        </is>
      </c>
      <c r="D39" s="7" t="inlineStr">
        <is>
          <t>Ausente</t>
        </is>
      </c>
      <c r="E39" s="8" t="n"/>
      <c r="F39" s="8" t="n"/>
    </row>
    <row r="40">
      <c r="A40" s="6" t="inlineStr">
        <is>
          <t>Nivel general de erosión</t>
        </is>
      </c>
      <c r="B40" s="7" t="inlineStr">
        <is>
          <t>Moderada (surcos)</t>
        </is>
      </c>
      <c r="C40" s="6" t="inlineStr">
        <is>
          <t>N.° de cárcavas registradas</t>
        </is>
      </c>
      <c r="D40" s="7" t="n">
        <v>5</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 Domínguez / Petrov Arias</t>
        </is>
      </c>
      <c r="C44" s="6" t="inlineStr">
        <is>
          <t>Fecha de evaluación</t>
        </is>
      </c>
      <c r="D44" s="7" t="inlineStr">
        <is>
          <t>2026-06-03</t>
        </is>
      </c>
      <c r="E44" s="8" t="n"/>
      <c r="F44" s="8" t="n"/>
    </row>
    <row r="45">
      <c r="A45" s="6" t="inlineStr">
        <is>
          <t>Hora de registro</t>
        </is>
      </c>
      <c r="B45" s="7" t="inlineStr">
        <is>
          <t>09:31 - 10:12 h</t>
        </is>
      </c>
      <c r="C45" s="6" t="inlineStr">
        <is>
          <t>Correlativo de ficha</t>
        </is>
      </c>
      <c r="D45" s="7" t="inlineStr">
        <is>
          <t>F-DT-01..05/B77/2026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Potrero de cabras que pertenecen a los pobladores de Miguelpampa</t>
        </is>
      </c>
      <c r="C51" s="6" t="inlineStr">
        <is>
          <t>Velocidad de degradación</t>
        </is>
      </c>
      <c r="D51" s="7" t="inlineStr">
        <is>
          <t>Moderada</t>
        </is>
      </c>
      <c r="E51" s="8" t="n"/>
      <c r="F51" s="8" t="n"/>
    </row>
    <row r="52">
      <c r="A52" s="6" t="inlineStr">
        <is>
          <t>Reversibilidad técnica</t>
        </is>
      </c>
      <c r="B52" s="7" t="inlineStr">
        <is>
          <t>Difícilmente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0.0</v>
      </c>
      <c r="D10" s="11" t="inlineStr">
        <is>
          <t>Vigor alto</t>
        </is>
      </c>
      <c r="E10" s="11" t="inlineStr">
        <is>
          <t>Sobre umbral</t>
        </is>
      </c>
    </row>
    <row r="11">
      <c r="A11" s="12" t="inlineStr">
        <is>
          <t>0.4976 - 0.6139 · DN 4</t>
        </is>
      </c>
      <c r="B11" s="20" t="n">
        <v>0.0396</v>
      </c>
      <c r="C11" s="21">
        <f>ROUND(B11/$B$15*100,2)</f>
        <v>0.22</v>
      </c>
      <c r="D11" s="13" t="inlineStr">
        <is>
          <t>Vigor moderado</t>
        </is>
      </c>
      <c r="E11" s="13" t="inlineStr">
        <is>
          <t>Sobre umbral</t>
        </is>
      </c>
    </row>
    <row r="12">
      <c r="A12" s="7" t="inlineStr">
        <is>
          <t>0.3813 - 0.4976 · DN 3</t>
        </is>
      </c>
      <c r="B12" s="18" t="n">
        <v>0.6328</v>
      </c>
      <c r="C12" s="19">
        <f>ROUND(B12/$B$15*100,2)</f>
        <v>3.55</v>
      </c>
      <c r="D12" s="11" t="inlineStr">
        <is>
          <t>Vigor bajo</t>
        </is>
      </c>
      <c r="E12" s="11" t="inlineStr">
        <is>
          <t>BAJO umbral 0.4976</t>
        </is>
      </c>
    </row>
    <row r="13">
      <c r="A13" s="14" t="inlineStr">
        <is>
          <t>0.2650 - 0.3813 · DN 2</t>
        </is>
      </c>
      <c r="B13" s="32" t="n">
        <v>8.4437</v>
      </c>
      <c r="C13" s="31">
        <f>ROUND(B13/$B$15*100,2)</f>
        <v>47.38</v>
      </c>
      <c r="D13" s="15" t="inlineStr">
        <is>
          <t>Vigor muy bajo</t>
        </is>
      </c>
      <c r="E13" s="15" t="inlineStr">
        <is>
          <t>BAJO umbral 0.4976</t>
        </is>
      </c>
    </row>
    <row r="14">
      <c r="A14" s="7" t="inlineStr">
        <is>
          <t>&lt;= 0.2650 · DN 1</t>
        </is>
      </c>
      <c r="B14" s="18" t="n">
        <v>8.704800000000001</v>
      </c>
      <c r="C14" s="19">
        <f>ROUND(B14/$B$15*100,2)</f>
        <v>48.85</v>
      </c>
      <c r="D14" s="11" t="inlineStr">
        <is>
          <t>Suelo desnudo / no vegetal</t>
        </is>
      </c>
      <c r="E14" s="11" t="inlineStr">
        <is>
          <t>BAJO umbral 0.4976</t>
        </is>
      </c>
    </row>
    <row r="15" ht="30" customHeight="1">
      <c r="A15" s="44" t="inlineStr">
        <is>
          <t>TOTAL CLASIFICADO MSAVI 2024</t>
        </is>
      </c>
      <c r="B15" s="45">
        <f>SUM(B10:B14)</f>
        <v>17.8209</v>
      </c>
      <c r="C15" s="46">
        <f>SUM(C10:C14)</f>
        <v>100.0</v>
      </c>
      <c r="D15" s="44" t="inlineStr">
        <is>
          <t>Suma de la distribución areal · 85 polígonos</t>
        </is>
      </c>
      <c r="E15" s="44" t="inlineStr">
        <is>
          <t>—</t>
        </is>
      </c>
    </row>
    <row r="16" ht="30" customHeight="1">
      <c r="A16" s="47" t="inlineStr">
        <is>
          <t>Superficie SOBRE umbral 0.4976 (ha)</t>
        </is>
      </c>
      <c r="B16" s="48">
        <f>SUM(B10:B11)</f>
        <v>0.0396</v>
      </c>
      <c r="C16" s="49">
        <f>ROUND(B16/B15*100,2)</f>
        <v>0.22</v>
      </c>
      <c r="D16" s="47" t="inlineStr">
        <is>
          <t>Vigor alto y moderado (DN 4 y DN 5)</t>
        </is>
      </c>
      <c r="E16" s="47" t="inlineStr">
        <is>
          <t>Sobre umbral 0.4976</t>
        </is>
      </c>
    </row>
    <row r="17" ht="30" customHeight="1">
      <c r="A17" s="47" t="inlineStr">
        <is>
          <t>Superficie BAJO umbral 0.4976 (ha) — brecha</t>
        </is>
      </c>
      <c r="B17" s="48">
        <f>SUM(B12:B14)</f>
        <v>17.7813</v>
      </c>
      <c r="C17" s="49">
        <f>ROUND(B17/B15*100,2)</f>
        <v>99.78</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17.82</v>
      </c>
      <c r="C18" s="50" t="inlineStr">
        <is>
          <t>—</t>
        </is>
      </c>
      <c r="D18" s="47" t="inlineStr">
        <is>
          <t>Desviación planimétrica frente al catálogo</t>
        </is>
      </c>
      <c r="E18" s="47" t="inlineStr">
        <is>
          <t>+0.00 %</t>
        </is>
      </c>
    </row>
    <row r="19">
      <c r="A19" s="16" t="inlineStr">
        <is>
          <t>MSAVI 2024 — MEDIA DEL BLOQUE</t>
        </is>
      </c>
      <c r="B19" s="17" t="n">
        <v>0.272488</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(0.2725)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0.0198</v>
      </c>
      <c r="C25" s="19" t="n">
        <v>0.11</v>
      </c>
      <c r="D25" s="11" t="inlineStr">
        <is>
          <t>Dosel continuo, matorral denso o mosaico agroforestal</t>
        </is>
      </c>
      <c r="E25" s="11" t="inlineStr"/>
    </row>
    <row r="26">
      <c r="A26" s="12" t="inlineStr">
        <is>
          <t>Vegetación mediana</t>
        </is>
      </c>
      <c r="B26" s="20" t="n">
        <v>1.2784</v>
      </c>
      <c r="C26" s="21" t="n">
        <v>7.17</v>
      </c>
      <c r="D26" s="13" t="inlineStr">
        <is>
          <t>Pastizal cultivado, matorral ralo, parcelas agrícolas</t>
        </is>
      </c>
      <c r="E26" s="13" t="inlineStr"/>
    </row>
    <row r="27">
      <c r="A27" s="7" t="inlineStr">
        <is>
          <t>Vegetación ligera</t>
        </is>
      </c>
      <c r="B27" s="18" t="n">
        <v>10.9975</v>
      </c>
      <c r="C27" s="19" t="n">
        <v>61.69</v>
      </c>
      <c r="D27" s="11" t="inlineStr">
        <is>
          <t>Cobertura discontinua, suelo parcialmente expuesto</t>
        </is>
      </c>
      <c r="E27" s="11" t="inlineStr"/>
    </row>
    <row r="28">
      <c r="A28" s="12" t="inlineStr">
        <is>
          <t>Tierra desnuda</t>
        </is>
      </c>
      <c r="B28" s="20" t="n">
        <v>5.531</v>
      </c>
      <c r="C28" s="21" t="n">
        <v>31.03</v>
      </c>
      <c r="D28" s="13" t="inlineStr">
        <is>
          <t>Suelo desnudo, afloramientos, plataformas y taludes</t>
        </is>
      </c>
      <c r="E28" s="13" t="inlineStr"/>
    </row>
    <row r="29">
      <c r="A29" s="16" t="inlineStr">
        <is>
          <t>TOTAL CLASIFICADO</t>
        </is>
      </c>
      <c r="B29" s="22">
        <f>SUM(B25:B28)</f>
        <v>17.8267</v>
      </c>
      <c r="C29" s="23">
        <f>SUM(C25:C28)</f>
        <v>100.0</v>
      </c>
      <c r="D29" s="17" t="inlineStr"/>
      <c r="E29" s="17" t="inlineStr"/>
    </row>
    <row r="30">
      <c r="A30" s="24" t="inlineStr">
        <is>
          <t>Superficie de catálogo (V5/V6)</t>
        </is>
      </c>
      <c r="B30" s="25" t="n">
        <v>17.82</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10 % frente a un 0.11 % del polígono clasificado como «Vegetación alta» por el NDVI 2025; la observación de campo corresponde a una parcela o recorrido puntual y no es estadísticamente representativa de las 17.820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77</t>
        </is>
      </c>
    </row>
    <row r="6" ht="24" customHeight="1">
      <c r="A6" s="4" t="inlineStr">
        <is>
          <t>Levantamiento del 2026-06-03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638729</v>
      </c>
      <c r="D10" s="26" t="n">
        <v>9411392</v>
      </c>
      <c r="E10" s="11" t="n">
        <v>83.90000000000001</v>
      </c>
      <c r="F10" s="11" t="inlineStr"/>
      <c r="G10" s="11" t="inlineStr">
        <is>
          <t>Coordenada consignada en F-DT-01</t>
        </is>
      </c>
    </row>
    <row r="11">
      <c r="A11" s="12" t="inlineStr">
        <is>
          <t>C-01</t>
        </is>
      </c>
      <c r="B11" s="13" t="inlineStr">
        <is>
          <t>Rasgo erosivo — Surco (&lt;30 cm) — 10 m long., 0.3 m prof., 0.7 m ancho</t>
        </is>
      </c>
      <c r="C11" s="27" t="n">
        <v>638729</v>
      </c>
      <c r="D11" s="27" t="n">
        <v>9411392</v>
      </c>
      <c r="E11" s="13" t="n">
        <v>83.90000000000001</v>
      </c>
      <c r="F11" s="13" t="inlineStr">
        <is>
          <t>Activa</t>
        </is>
      </c>
      <c r="G11" s="13" t="inlineStr">
        <is>
          <t>Concentración natural de escorrentía</t>
        </is>
      </c>
    </row>
    <row r="12">
      <c r="A12" s="7" t="inlineStr">
        <is>
          <t>C-02</t>
        </is>
      </c>
      <c r="B12" s="11" t="inlineStr">
        <is>
          <t>Rasgo erosivo — Surco (&lt;30 cm) — 20 m long., 0.4 m prof., 1.0 m ancho</t>
        </is>
      </c>
      <c r="C12" s="26" t="n">
        <v>638755</v>
      </c>
      <c r="D12" s="26" t="n">
        <v>9411484</v>
      </c>
      <c r="E12" s="11" t="n">
        <v>156.3</v>
      </c>
      <c r="F12" s="11" t="inlineStr">
        <is>
          <t>Semi-activa</t>
        </is>
      </c>
      <c r="G12" s="11" t="inlineStr">
        <is>
          <t>Concentración natural de escorrentía</t>
        </is>
      </c>
    </row>
    <row r="13">
      <c r="A13" s="12" t="inlineStr">
        <is>
          <t>H-01</t>
        </is>
      </c>
      <c r="B13" s="13" t="inlineStr">
        <is>
          <t>Fuente de agua — Quebrada estacional</t>
        </is>
      </c>
      <c r="C13" s="27" t="n">
        <v>638762</v>
      </c>
      <c r="D13" s="27" t="n">
        <v>9411557</v>
      </c>
      <c r="E13" s="13" t="n">
        <v>219</v>
      </c>
      <c r="F13" s="13" t="inlineStr">
        <is>
          <t>Estacional</t>
        </is>
      </c>
      <c r="G13" s="13" t="inlineStr">
        <is>
          <t>Seca por la estación de estiaje</t>
        </is>
      </c>
    </row>
    <row r="14">
      <c r="A14" s="16" t="inlineStr">
        <is>
          <t>TOTAL: 4 puntos</t>
        </is>
      </c>
      <c r="B14" s="17" t="inlineStr"/>
      <c r="C14" s="17" t="inlineStr"/>
      <c r="D14" s="17" t="inlineStr"/>
      <c r="E14" s="17" t="inlineStr"/>
      <c r="F14" s="17" t="inlineStr"/>
      <c r="G14" s="17" t="inlineStr"/>
    </row>
    <row r="15"/>
    <row r="16">
      <c r="A16" s="6" t="inlineStr">
        <is>
          <t>Centroide del bloque — UTM ESTE (m)</t>
        </is>
      </c>
      <c r="B16" s="7" t="n">
        <v>638648</v>
      </c>
      <c r="C16" s="6" t="inlineStr">
        <is>
          <t>Centroide del bloque — UTM NORTE (m)</t>
        </is>
      </c>
      <c r="D16" s="7" t="n">
        <v>9411370</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8"/>
    <row r="19" ht="120"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desde el distrito de San Juan de Bigote al CCPP de Miguelpampa; se detuvo la camioneta a 200 m del centro poblado. Se ingresó al bloque por la zona oeste, colindante al talud de la vía. EL PERÍMETRO DEL BLOQUE COINCIDE CON UN CERCO DE GANADO que delimita un área empleada como POTRERO PARA EL PASTOREO DE GANADO CAPRINO. La pendiente del terreno es menor a 30%. El talud de la vía asfaltada presentaba derrumbes por tramos distanciados.</t>
        </is>
      </c>
      <c r="B19" s="42" t="n"/>
      <c r="C19" s="42" t="n"/>
      <c r="D19" s="42" t="n"/>
      <c r="E19" s="42" t="n"/>
      <c r="F19" s="42" t="n"/>
      <c r="G19" s="43"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77</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14" t="inlineStr">
        <is>
          <t>► 77</t>
        </is>
      </c>
      <c r="B16" s="30" t="n">
        <v>17.82</v>
      </c>
      <c r="C16" s="31" t="n">
        <v>4.48</v>
      </c>
      <c r="D16" s="15" t="inlineStr">
        <is>
          <t>242 – 346</t>
        </is>
      </c>
      <c r="E16" s="15" t="n">
        <v>104</v>
      </c>
      <c r="F16" s="15" t="n">
        <v>13.71</v>
      </c>
      <c r="G16" s="32" t="n">
        <v>0.2725</v>
      </c>
      <c r="H16" s="31" t="n">
        <v>0.11</v>
      </c>
      <c r="I16" s="31"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398.037</v>
      </c>
      <c r="C19" s="23">
        <f>SUM(C10:C18)</f>
        <v>100.01</v>
      </c>
      <c r="D19" s="17" t="inlineStr">
        <is>
          <t>242 – 2080</t>
        </is>
      </c>
      <c r="E19" s="17" t="inlineStr"/>
      <c r="F19" s="17">
        <f>ROUND(AVERAGE(F10:F18),2)</f>
        <v>25.07</v>
      </c>
      <c r="G19" s="22">
        <f>ROUND(AVERAGE(G10:G18),4)</f>
        <v>0.3616</v>
      </c>
      <c r="H19" s="23">
        <f>ROUND(AVERAGE(H10:H18),2)</f>
        <v>24.81</v>
      </c>
      <c r="I19" s="23">
        <f>ROUND(AVERAGE(I10:I18),2)</f>
        <v>76.96</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2" t="n"/>
      <c r="C20" s="42" t="n"/>
      <c r="D20" s="42" t="n"/>
      <c r="E20" s="42" t="n"/>
      <c r="F20" s="42" t="n"/>
      <c r="G20" s="42" t="n"/>
      <c r="H20" s="43" t="n"/>
    </row>
    <row r="21"/>
    <row r="22" ht="84" customHeight="1">
      <c r="A22" s="9" t="inlineStr">
        <is>
          <t>LECTURA INTRAMICROCUENCA. El bloque 77 ocupa el puesto 7 de 9 por superficie dentro de la microcuenca C1081-Q9583 (4.48 % de las 398.04 ha preliminares de la microcuenca). Su pendiente promedio (13.71 %, clase «8-15% (Mod. inclinado)») es la 1.ª más baja de 4 y se sitúa por debajo del promedio de la microcuenca (25.08 %). Su MSAVI 2024 (0.2725) es el 6.º de 9 y queda por debajo del promedio local (0.3616). Amplitud altitudinal del bloque: 104 m (242–346 msnm). El cuadro conserva todos los bloques catalogados en la microcuenca, incluidos los descartados en el tamizaje, para referencia del conjunto. Los bloques sin ficha DT figuran con sus parámetros de gabinete. BRECHA ESPECTRAL. El 99.78 % de la superficie del bloque (17.781 ha de 17.821 ha) se sitúa bajo el umbral MSAVI 0.4976, por encima del promedio local de la microcuenca (76.96 %) calculado sobre los bloques con dato MSAVI disponible.</t>
        </is>
      </c>
      <c r="B22" s="42" t="n"/>
      <c r="C22" s="42" t="n"/>
      <c r="D22" s="42" t="n"/>
      <c r="E22" s="42" t="n"/>
      <c r="F22" s="42" t="n"/>
      <c r="G22" s="42" t="n"/>
      <c r="H22" s="43"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3"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84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(17.827 ha) coincide con la de catálogo (17.82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13.71 %,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10 % de cobertura vegetal en campo; el NDVI mediana 2025 clasifica 68.97 %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5 rasgos erosivos, pero longitud, profundidad y ancho no fueron medidos instrumentalmente</t>
        </is>
      </c>
      <c r="D15" s="15"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5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Representatividad del levantamiento</t>
        </is>
      </c>
      <c r="C17" s="36" t="inlineStr">
        <is>
          <t>Ninguna de las estaciones fotográficas georreferenciadas se localiza dentro del polígono del bloque</t>
        </is>
      </c>
      <c r="D17" s="37" t="inlineStr">
        <is>
          <t>SUSTANTIVA</t>
        </is>
      </c>
      <c r="E17" s="36" t="inlineStr">
        <is>
          <t>La verificación documenta el perímetro y la vista panorámica del bloque, no su interior. Los parámetros que exigen recorrido interno se consignan «Por determinar».</t>
        </is>
      </c>
    </row>
    <row r="18" ht="48" customHeight="1">
      <c r="A18" s="34" t="inlineStr">
        <is>
          <t>D-09</t>
        </is>
      </c>
      <c r="B18" s="34" t="inlineStr">
        <is>
          <t>Centro poblado asociado</t>
        </is>
      </c>
      <c r="C18" s="34" t="inlineStr">
        <is>
          <t>La ficha DT declara «Miguel Pampa»; el cruce INEI-Bloques V5 identifica 1 centro(s) poblado(s) en el bloque: MIGUEL PAMPA</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4" t="inlineStr">
        <is>
          <t>D-11</t>
        </is>
      </c>
      <c r="B20" s="34" t="inlineStr">
        <is>
          <t>F-DT-02</t>
        </is>
      </c>
      <c r="C20" s="34" t="inlineStr">
        <is>
          <t>La ficha declara 5 cárcavas pero solo 2 cuentan con coordenadas y dimensiones</t>
        </is>
      </c>
      <c r="D20" s="37" t="inlineStr">
        <is>
          <t>SUSTANTIVA</t>
        </is>
      </c>
      <c r="E20" s="34" t="inlineStr">
        <is>
          <t>Georreferenciar los 3 rasgos restantes</t>
        </is>
      </c>
    </row>
    <row r="21" ht="48" customHeight="1">
      <c r="A21" s="36" t="inlineStr">
        <is>
          <t>D-12</t>
        </is>
      </c>
      <c r="B21" s="36" t="inlineStr">
        <is>
          <t>F-DT-03 / F-DT-04</t>
        </is>
      </c>
      <c r="C21" s="36" t="inlineStr">
        <is>
          <t>Suelo desnudo: F-DT-03 consigna 0.25% mientras el indicador N.° 2 de F-DT-04 consigna 90%</t>
        </is>
      </c>
      <c r="D21" s="37" t="inlineStr">
        <is>
          <t>SUSTANTIVA</t>
        </is>
      </c>
      <c r="E21" s="36" t="inlineStr">
        <is>
          <t>Inconsistencia interna a resolver; el valor 90% es coherente con cobertura vegetal total 10%</t>
        </is>
      </c>
    </row>
    <row r="22" ht="48" customHeight="1">
      <c r="A22" s="34" t="inlineStr">
        <is>
          <t>D-13</t>
        </is>
      </c>
      <c r="B22" s="34" t="inlineStr">
        <is>
          <t>F-DT-03</t>
        </is>
      </c>
      <c r="C22" s="34" t="inlineStr">
        <is>
          <t>Solo 5 taxones registrados frente al mínimo de 15 exigido por la ficha</t>
        </is>
      </c>
      <c r="D22" s="37" t="inlineStr">
        <is>
          <t>SUSTANTIVA</t>
        </is>
      </c>
      <c r="E22" s="34" t="inlineStr">
        <is>
          <t>Inventario florístico incompleto</t>
        </is>
      </c>
    </row>
    <row r="23" ht="48" customHeight="1">
      <c r="A23" s="36" t="inlineStr">
        <is>
          <t>D-14</t>
        </is>
      </c>
      <c r="B23" s="36" t="inlineStr">
        <is>
          <t>Plan de Ingreso</t>
        </is>
      </c>
      <c r="C23" s="36" t="inlineStr">
        <is>
          <t>Altitud = 0 msnm (captura por defecto del aplicativo)</t>
        </is>
      </c>
      <c r="D23" s="38" t="inlineStr">
        <is>
          <t>CORREGIDO</t>
        </is>
      </c>
      <c r="E23" s="36" t="inlineStr">
        <is>
          <t>Se reemplaza por la altitud GPS de campo (250 msnm)</t>
        </is>
      </c>
    </row>
    <row r="24" ht="48" customHeight="1">
      <c r="A24" s="34" t="inlineStr">
        <is>
          <t>D-15</t>
        </is>
      </c>
      <c r="B24" s="34" t="inlineStr">
        <is>
          <t>F-DS-02</t>
        </is>
      </c>
      <c r="C24" s="34" t="inlineStr">
        <is>
          <t>La ficha social consigna microcuenca C1076-Q9584 (valor heredado de plantilla)</t>
        </is>
      </c>
      <c r="D24" s="15" t="inlineStr">
        <is>
          <t>NO SUSTANTIVA</t>
        </is>
      </c>
      <c r="E24" s="34" t="inlineStr">
        <is>
          <t>Se conserva la microcuenca del catálogo C1081-Q9583</t>
        </is>
      </c>
    </row>
    <row r="25" ht="48" customHeight="1">
      <c r="A25" s="36" t="inlineStr">
        <is>
          <t>D-16</t>
        </is>
      </c>
      <c r="B25" s="36" t="inlineStr">
        <is>
          <t>F-DS-02</t>
        </is>
      </c>
      <c r="C25" s="36" t="inlineStr">
        <is>
          <t>Presidente de la Ronda Campesina con postura neutral y presunto interés político</t>
        </is>
      </c>
      <c r="D25" s="37" t="inlineStr">
        <is>
          <t>SUSTANTIVA</t>
        </is>
      </c>
      <c r="E25" s="36" t="inlineStr">
        <is>
          <t>Incorporar a la estrategia de gestión social del bloque</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(85 polígonos, 17.821 ha)</t>
        </is>
      </c>
      <c r="D26" s="37"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(17.821 ha) frente a la de catálogo V5/V6 (17.820 ha): desviación de +0.00 %</t>
        </is>
      </c>
      <c r="D27" s="37"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(0.2725) cae en la clase «DN 2 · 0.2650 - 0.3813 (Vigor muy bajo)»; la clase de mayor superficie es «DN 1 · &lt;= 0.2650 (Suelo desnudo / no vegetal)», con 48.85 % del bloque. Superficie bajo el umbral 0.4976: 17.781 ha (99.78 %)</t>
        </is>
      </c>
      <c r="D28" s="37" t="inlineStr">
        <is>
          <t>NO SUSTANTIVA</t>
        </is>
      </c>
      <c r="E28" s="36" t="inlineStr">
        <is>
          <t>Se declara la divergencia: en bloques de distribución asimétrica la media puede caer en una clase distinta de la modal. Para el dimensionamiento de metas físicas debe usarse la distribución areal, no la media.</t>
        </is>
      </c>
    </row>
    <row r="29"/>
    <row r="30">
      <c r="A30" s="16" t="inlineStr">
        <is>
          <t>RESUMEN</t>
        </is>
      </c>
      <c r="B30" s="17" t="inlineStr">
        <is>
          <t>19 verificaciones</t>
        </is>
      </c>
      <c r="C30" s="17" t="inlineStr">
        <is>
          <t>CONFORME: 5 · CORREGIDO: 2 · NO SUSTANTIVA: 5 · SUSTANTIVA: 7</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77 — IN Piura</dc:title>
  <dc:subject>Diagnóstico Territorial por bloque de intervención</dc:subject>
  <dcterms:created xsi:type="dcterms:W3CDTF">2026-09-08T03:39:54Z</dcterms:created>
  <dcterms:modified xsi:type="dcterms:W3CDTF">2026-09-10T00:28:29Z</dcterms:modified>
</cp:coreProperties>
</file>