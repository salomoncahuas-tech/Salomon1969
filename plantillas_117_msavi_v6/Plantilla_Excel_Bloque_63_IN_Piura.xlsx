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63</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Shuturumbe</t>
        </is>
      </c>
      <c r="C13" s="6" t="inlineStr">
        <is>
          <t>Comunidad campesina</t>
        </is>
      </c>
      <c r="D13" s="7" t="inlineStr">
        <is>
          <t>Por verificar</t>
        </is>
      </c>
      <c r="E13" s="8" t="n"/>
      <c r="F13" s="8" t="n"/>
    </row>
    <row r="14">
      <c r="A14" s="6" t="inlineStr">
        <is>
          <t>Superficie de catálogo (V5/V6), ha</t>
        </is>
      </c>
      <c r="B14" s="7" t="n">
        <v>50.46</v>
      </c>
      <c r="C14" s="6" t="inlineStr">
        <is>
          <t>Fuente de superficie</t>
        </is>
      </c>
      <c r="D14" s="7" t="inlineStr">
        <is>
          <t>Catálogo maestro Bloques V5/V6</t>
        </is>
      </c>
      <c r="E14" s="8" t="n"/>
      <c r="F14" s="8" t="n"/>
    </row>
    <row r="15">
      <c r="A15" s="6" t="inlineStr">
        <is>
          <t>Centroide UTM ESTE (m)</t>
        </is>
      </c>
      <c r="B15" s="7" t="n">
        <v>655059</v>
      </c>
      <c r="C15" s="6" t="inlineStr">
        <is>
          <t>Centroide UTM NORTE (m)</t>
        </is>
      </c>
      <c r="D15" s="7" t="n">
        <v>9413845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1508</v>
      </c>
      <c r="C19" s="6" t="inlineStr">
        <is>
          <t>Altitud máxima (msnm)</t>
        </is>
      </c>
      <c r="D19" s="7" t="n">
        <v>2080</v>
      </c>
      <c r="E19" s="8" t="n"/>
      <c r="F19" s="8" t="n"/>
    </row>
    <row r="20">
      <c r="A20" s="6" t="inlineStr">
        <is>
          <t>Amplitud altitudinal (m)</t>
        </is>
      </c>
      <c r="B20" s="7" t="n">
        <v>572</v>
      </c>
      <c r="C20" s="6" t="inlineStr">
        <is>
          <t>Piso altitudinal dominante</t>
        </is>
      </c>
      <c r="D20" s="7" t="inlineStr">
        <is>
          <t>1500-2000 m (Quechua media)</t>
        </is>
      </c>
      <c r="E20" s="8" t="n"/>
      <c r="F20" s="8" t="n"/>
    </row>
    <row r="21">
      <c r="A21" s="6" t="inlineStr">
        <is>
          <t>Pendiente promedio (%)</t>
        </is>
      </c>
      <c r="B21" s="7" t="n">
        <v>35.5</v>
      </c>
      <c r="C21" s="6" t="inlineStr">
        <is>
          <t>Pendiente promedio (grados)</t>
        </is>
      </c>
      <c r="D21" s="7" t="n">
        <v>19.5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0.6036</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(99.20 %)</t>
        </is>
      </c>
      <c r="E29" s="8" t="n"/>
      <c r="F29" s="8" t="n"/>
    </row>
    <row r="30">
      <c r="A30" s="6" t="inlineStr">
        <is>
          <t>Superficie clasificada NDVI 2025 (ha)</t>
        </is>
      </c>
      <c r="B30" s="7" t="n">
        <v>50.469</v>
      </c>
      <c r="C30" s="6" t="inlineStr">
        <is>
          <t>Desviación frente al catálogo (%)</t>
        </is>
      </c>
      <c r="D30" s="7" t="n">
        <v>0.02</v>
      </c>
      <c r="E30" s="8" t="n"/>
      <c r="F30" s="8" t="n"/>
    </row>
    <row r="31">
      <c r="A31" s="6" t="inlineStr">
        <is>
          <t>Superficie clasificada MSAVI 2024 (ha)</t>
        </is>
      </c>
      <c r="B31" s="38" t="n">
        <v>50.459</v>
      </c>
      <c r="C31" s="6" t="inlineStr">
        <is>
          <t>Desviación MSAVI frente al catálogo (%)</t>
        </is>
      </c>
      <c r="D31" s="39" t="n">
        <v>0</v>
      </c>
      <c r="E31" s="8" t="n"/>
      <c r="F31" s="8" t="n"/>
    </row>
    <row r="32">
      <c r="A32" s="6" t="inlineStr">
        <is>
          <t>Superficie bajo umbral MSAVI 0.4976 (ha)</t>
        </is>
      </c>
      <c r="B32" s="38" t="n">
        <v>1.488</v>
      </c>
      <c r="C32" s="6" t="inlineStr">
        <is>
          <t>% del bloque bajo umbral (brecha espectral)</t>
        </is>
      </c>
      <c r="D32" s="39" t="n">
        <v>2.95</v>
      </c>
      <c r="E32" s="8" t="n"/>
      <c r="F32" s="8" t="n"/>
    </row>
    <row r="33">
      <c r="A33" s="6" t="inlineStr">
        <is>
          <t>Clase DN dominante (MSAVI 2024)</t>
        </is>
      </c>
      <c r="B33" s="7" t="inlineStr">
        <is>
          <t>DN 4 · 0.4976 - 0.6139 (Vigor moderado)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Matorral Andino subhúmedo (declarado en campo: Matorral andino, Ma)</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y Blgo. Abel Aucasime</t>
        </is>
      </c>
      <c r="C44" s="6" t="inlineStr">
        <is>
          <t>Fecha de evaluación</t>
        </is>
      </c>
      <c r="D44" s="7" t="inlineStr">
        <is>
          <t>2026-07-21</t>
        </is>
      </c>
      <c r="E44" s="8" t="n"/>
      <c r="F44" s="8" t="n"/>
    </row>
    <row r="45">
      <c r="A45" s="6" t="inlineStr">
        <is>
          <t>Hora de registro</t>
        </is>
      </c>
      <c r="B45" s="7" t="inlineStr">
        <is>
          <t>Sin registro en ficha</t>
        </is>
      </c>
      <c r="C45" s="6" t="inlineStr">
        <is>
          <t>Correlativo de ficha</t>
        </is>
      </c>
      <c r="D45" s="7" t="inlineStr">
        <is>
          <t>F-DT-01-63</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18.3555</v>
      </c>
      <c r="C10" s="19">
        <f>ROUND(B10/$B$15*100,2)</f>
        <v>36.38</v>
      </c>
      <c r="D10" s="11" t="inlineStr">
        <is>
          <t>Vigor alto</t>
        </is>
      </c>
      <c r="E10" s="11" t="inlineStr">
        <is>
          <t>Sobre umbral</t>
        </is>
      </c>
    </row>
    <row r="11">
      <c r="A11" s="12" t="inlineStr">
        <is>
          <t>0.4976 - 0.6139 · DN 4</t>
        </is>
      </c>
      <c r="B11" s="32" t="n">
        <v>30.6155</v>
      </c>
      <c r="C11" s="31">
        <f>ROUND(B11/$B$15*100,2)</f>
        <v>60.67</v>
      </c>
      <c r="D11" s="13" t="inlineStr">
        <is>
          <t>Vigor moderado</t>
        </is>
      </c>
      <c r="E11" s="13" t="inlineStr">
        <is>
          <t>Sobre umbral</t>
        </is>
      </c>
    </row>
    <row r="12">
      <c r="A12" s="7" t="inlineStr">
        <is>
          <t>0.3813 - 0.4976 · DN 3</t>
        </is>
      </c>
      <c r="B12" s="18" t="n">
        <v>1.4877</v>
      </c>
      <c r="C12" s="19">
        <f>ROUND(B12/$B$15*100,2)</f>
        <v>2.95</v>
      </c>
      <c r="D12" s="11" t="inlineStr">
        <is>
          <t>Vigor bajo</t>
        </is>
      </c>
      <c r="E12" s="11" t="inlineStr">
        <is>
          <t>BAJO umbral 0.4976</t>
        </is>
      </c>
    </row>
    <row r="13">
      <c r="A13" s="14" t="inlineStr">
        <is>
          <t>0.2650 - 0.3813 · DN 2</t>
        </is>
      </c>
      <c r="B13" s="20" t="n">
        <v>0</v>
      </c>
      <c r="C13" s="21">
        <f>ROUND(B13/$B$15*100,2)</f>
        <v>0.0</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50.4587</v>
      </c>
      <c r="C15" s="45">
        <f>SUM(C10:C14)</f>
        <v>100.0</v>
      </c>
      <c r="D15" s="43" t="inlineStr">
        <is>
          <t>Suma de la distribución areal · 113 polígonos</t>
        </is>
      </c>
      <c r="E15" s="43" t="inlineStr">
        <is>
          <t>—</t>
        </is>
      </c>
    </row>
    <row r="16" ht="30" customHeight="1">
      <c r="A16" s="46" t="inlineStr">
        <is>
          <t>Superficie SOBRE umbral 0.4976 (ha)</t>
        </is>
      </c>
      <c r="B16" s="47">
        <f>SUM(B10:B11)</f>
        <v>48.971</v>
      </c>
      <c r="C16" s="48">
        <f>ROUND(B16/B15*100,2)</f>
        <v>97.05</v>
      </c>
      <c r="D16" s="46" t="inlineStr">
        <is>
          <t>Vigor alto y moderado (DN 4 y DN 5)</t>
        </is>
      </c>
      <c r="E16" s="46" t="inlineStr">
        <is>
          <t>Sobre umbral 0.4976</t>
        </is>
      </c>
    </row>
    <row r="17" ht="30" customHeight="1">
      <c r="A17" s="46" t="inlineStr">
        <is>
          <t>Superficie BAJO umbral 0.4976 (ha) — brecha</t>
        </is>
      </c>
      <c r="B17" s="47">
        <f>SUM(B12:B14)</f>
        <v>1.4877</v>
      </c>
      <c r="C17" s="48">
        <f>ROUND(B17/B15*100,2)</f>
        <v>2.95</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50.46</v>
      </c>
      <c r="C18" s="49" t="inlineStr">
        <is>
          <t>—</t>
        </is>
      </c>
      <c r="D18" s="46" t="inlineStr">
        <is>
          <t>Desviación planimétrica frente al catálogo</t>
        </is>
      </c>
      <c r="E18" s="46" t="inlineStr">
        <is>
          <t>+0.00 %</t>
        </is>
      </c>
    </row>
    <row r="19">
      <c r="A19" s="16" t="inlineStr">
        <is>
          <t>MSAVI 2024 — MEDIA DEL BLOQUE</t>
        </is>
      </c>
      <c r="B19" s="17" t="n">
        <v>0.603582</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(0.6036)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50.0651</v>
      </c>
      <c r="C25" s="19" t="n">
        <v>99.2</v>
      </c>
      <c r="D25" s="11" t="inlineStr">
        <is>
          <t>Dosel continuo, matorral denso o mosaico agroforestal</t>
        </is>
      </c>
      <c r="E25" s="11" t="inlineStr"/>
    </row>
    <row r="26">
      <c r="A26" s="14" t="inlineStr">
        <is>
          <t>Vegetación mediana</t>
        </is>
      </c>
      <c r="B26" s="20" t="n">
        <v>0.394</v>
      </c>
      <c r="C26" s="21" t="n">
        <v>0.78</v>
      </c>
      <c r="D26" s="15" t="inlineStr">
        <is>
          <t>Pastizal cultivado, matorral ralo, parcelas agrícolas</t>
        </is>
      </c>
      <c r="E26" s="15" t="inlineStr"/>
    </row>
    <row r="27">
      <c r="A27" s="7" t="inlineStr">
        <is>
          <t>Vegetación ligera</t>
        </is>
      </c>
      <c r="B27" s="18" t="n">
        <v>0.009900000000000001</v>
      </c>
      <c r="C27" s="19" t="n">
        <v>0.02</v>
      </c>
      <c r="D27" s="11" t="inlineStr">
        <is>
          <t>Cobertura discontinua, suelo parcialmente expuesto</t>
        </is>
      </c>
      <c r="E27" s="11" t="inlineStr"/>
    </row>
    <row r="28">
      <c r="A28" s="16" t="inlineStr">
        <is>
          <t>TOTAL CLASIFICADO</t>
        </is>
      </c>
      <c r="B28" s="22">
        <f>SUM(B25:B27)</f>
        <v>50.469</v>
      </c>
      <c r="C28" s="23">
        <f>SUM(C25:C27)</f>
        <v>100.0</v>
      </c>
      <c r="D28" s="17" t="inlineStr"/>
      <c r="E28" s="17" t="inlineStr"/>
    </row>
    <row r="29">
      <c r="A29" s="24" t="inlineStr">
        <is>
          <t>Superficie de catálogo (V5/V6)</t>
        </is>
      </c>
      <c r="B29" s="25" t="n">
        <v>50.46</v>
      </c>
      <c r="C29" s="25" t="inlineStr">
        <is>
          <t>—</t>
        </is>
      </c>
      <c r="D29" s="25" t="inlineStr">
        <is>
          <t>Desviación planimétrica frente al catálogo</t>
        </is>
      </c>
      <c r="E29" s="25" t="inlineStr">
        <is>
          <t>+0.02 %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63</t>
        </is>
      </c>
    </row>
    <row r="6" ht="24" customHeight="1">
      <c r="A6" s="4" t="inlineStr">
        <is>
          <t>Levantamiento del 2026-07-21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655059</v>
      </c>
      <c r="D10" s="26" t="n">
        <v>9413845</v>
      </c>
      <c r="E10" s="11" t="n">
        <v>0</v>
      </c>
      <c r="F10" s="11" t="inlineStr"/>
      <c r="G10" s="11" t="inlineStr">
        <is>
          <t>Coordenada consignada en F-DT-01</t>
        </is>
      </c>
    </row>
    <row r="11">
      <c r="A11" s="14" t="inlineStr">
        <is>
          <t>H-01</t>
        </is>
      </c>
      <c r="B11" s="15" t="inlineStr">
        <is>
          <t>Fuente de agua — Quebrada permanente</t>
        </is>
      </c>
      <c r="C11" s="27" t="inlineStr">
        <is>
          <t>Por determinar</t>
        </is>
      </c>
      <c r="D11" s="27" t="inlineStr">
        <is>
          <t>Por determinar</t>
        </is>
      </c>
      <c r="E11" s="15" t="inlineStr"/>
      <c r="F11" s="15" t="inlineStr">
        <is>
          <t>Permanente</t>
        </is>
      </c>
      <c r="G11" s="15" t="inlineStr">
        <is>
          <t>Quebrada activa colindante</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Drenajes tributarios</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655059</v>
      </c>
      <c r="C15" s="6" t="inlineStr">
        <is>
          <t>Centroide del bloque — UTM NORTE (m)</t>
        </is>
      </c>
      <c r="D15" s="7" t="n">
        <v>9413845</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7"/>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GPS de campo 1 520 msnm. Rango altitudinal del bloque según MDE: 1 508-2 080 msnm (amplitud 572 m); pendiente promedio 35.50%. Centro poblado asociado: Shuturumbe. Acceso: vía afirmada Canchaque – Coyona, margen izquierda de una quebrada s/n.</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63</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4" t="inlineStr">
        <is>
          <t>24</t>
        </is>
      </c>
      <c r="B11" s="29" t="n">
        <v>90.16</v>
      </c>
      <c r="C11" s="21" t="n">
        <v>22.65</v>
      </c>
      <c r="D11" s="15" t="inlineStr">
        <is>
          <t>1319 – 1887</t>
        </is>
      </c>
      <c r="E11" s="15" t="n">
        <v>568</v>
      </c>
      <c r="F11" s="15"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 63</t>
        </is>
      </c>
      <c r="B13" s="30" t="n">
        <v>50.46</v>
      </c>
      <c r="C13" s="31" t="n">
        <v>12.68</v>
      </c>
      <c r="D13" s="13" t="inlineStr">
        <is>
          <t>1508 – 2080</t>
        </is>
      </c>
      <c r="E13" s="13" t="n">
        <v>572</v>
      </c>
      <c r="F13" s="13" t="n">
        <v>35.5</v>
      </c>
      <c r="G13" s="32" t="n">
        <v>0.6036</v>
      </c>
      <c r="H13" s="31" t="n">
        <v>99.2</v>
      </c>
      <c r="I13" s="3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4" t="inlineStr">
        <is>
          <t>83</t>
        </is>
      </c>
      <c r="B15" s="29" t="n">
        <v>24.344</v>
      </c>
      <c r="C15" s="21" t="n">
        <v>6.12</v>
      </c>
      <c r="D15" s="15" t="inlineStr">
        <is>
          <t>Por determinar</t>
        </is>
      </c>
      <c r="E15" s="15" t="inlineStr">
        <is>
          <t>Por determinar</t>
        </is>
      </c>
      <c r="F15" s="15"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4" t="inlineStr">
        <is>
          <t>85</t>
        </is>
      </c>
      <c r="B17" s="29" t="n">
        <v>11.906</v>
      </c>
      <c r="C17" s="21" t="n">
        <v>2.99</v>
      </c>
      <c r="D17" s="15" t="inlineStr">
        <is>
          <t>Por determinar</t>
        </is>
      </c>
      <c r="E17" s="15" t="inlineStr">
        <is>
          <t>Por determinar</t>
        </is>
      </c>
      <c r="F17" s="15"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398.037</v>
      </c>
      <c r="C19" s="23">
        <f>SUM(C10:C18)</f>
        <v>100.01</v>
      </c>
      <c r="D19" s="17" t="inlineStr">
        <is>
          <t>242 – 2080</t>
        </is>
      </c>
      <c r="E19" s="17" t="inlineStr"/>
      <c r="F19" s="17">
        <f>ROUND(AVERAGE(F10:F18),2)</f>
        <v>25.07</v>
      </c>
      <c r="G19" s="22">
        <f>ROUND(AVERAGE(G10:G18),4)</f>
        <v>0.3616</v>
      </c>
      <c r="H19" s="23">
        <f>ROUND(AVERAGE(H10:H18),2)</f>
        <v>24.81</v>
      </c>
      <c r="I19" s="23">
        <f>ROUND(AVERAGE(I10:I18),2)</f>
        <v>76.96</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63 ocupa el puesto 4 de 9 por superficie dentro de la microcuenca C1081-Q9583 (12.68 % de las 398.04 ha preliminares de la microcuenca). Su pendiente promedio (35.50 %, clase «25-50% (Mod. escarpado)») es la 4.ª más baja de 4 y se sitúa por encima del promedio de la microcuenca (25.08 %). Su MSAVI 2024 (0.6036) es el 2.º de 9 y queda por encima del promedio local (0.3616). Amplitud altitudinal del bloque: 572 m (1508–2080 msnm). El cuadro conserva todos los bloques catalogados en la microcuenca, incluidos los descartados en el tamizaje, para referencia del conjunto. Los bloques sin ficha DT figuran con sus parámetros de gabinete. BRECHA ESPECTRAL. El 2.95 % de la superficie del bloque (1.488 ha de 50.459 ha) se sitúa bajo el umbral MSAVI 0.4976, por debajo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(50.469 ha) coincide con la de catálogo (50.46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«Shuturumbe»; el cruce INEI-Bloques V5 identifica 1 centro(s) poblado(s) en el bloque: SHUTURUMBE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F-DT-02</t>
        </is>
      </c>
      <c r="C17" s="36" t="inlineStr">
        <is>
          <t>N.° de cárcavas = 0 sin inventario georreferenciado; no equivale a ausencia verificada</t>
        </is>
      </c>
      <c r="D17" s="37" t="inlineStr">
        <is>
          <t>SUSTANTIVA</t>
        </is>
      </c>
      <c r="E17" s="36" t="inlineStr">
        <is>
          <t>Declarado en la propia ficha; levantar con ortomosaico y MDS</t>
        </is>
      </c>
    </row>
    <row r="18" ht="48" customHeight="1">
      <c r="A18" s="34" t="inlineStr">
        <is>
          <t>D-09</t>
        </is>
      </c>
      <c r="B18" s="34" t="inlineStr">
        <is>
          <t>F-DT-03</t>
        </is>
      </c>
      <c r="C18" s="34" t="inlineStr">
        <is>
          <t>Registro florístico de 10 entradas (incluidas especies cultivadas) frente a las 15 especies exigidas por la ficha</t>
        </is>
      </c>
      <c r="D18" s="37" t="inlineStr">
        <is>
          <t>SUSTANTIVA</t>
        </is>
      </c>
      <c r="E18" s="34" t="inlineStr">
        <is>
          <t>Colecta e identificación botánica pendientes</t>
        </is>
      </c>
    </row>
    <row r="19" ht="48" customHeight="1">
      <c r="A19" s="36" t="inlineStr">
        <is>
          <t>D-10</t>
        </is>
      </c>
      <c r="B19" s="36" t="inlineStr">
        <is>
          <t>F-DT-03 / F-DT-04</t>
        </is>
      </c>
      <c r="C19" s="36" t="inlineStr">
        <is>
          <t>Cobertura MSAVI 97.16% frente a estado de conservación «Alterado» y cobertura dominante «Matorral ralo»</t>
        </is>
      </c>
      <c r="D19" s="37" t="inlineStr">
        <is>
          <t>SUSTANTIVA</t>
        </is>
      </c>
      <c r="E19" s="36" t="inlineStr">
        <is>
          <t>Contraste a resolver: el MSAVI alto puede corresponder a cultivos (café, pastos) y no a ecosistema natural conservado</t>
        </is>
      </c>
    </row>
    <row r="20" ht="48" customHeight="1">
      <c r="A20" s="34" t="inlineStr">
        <is>
          <t>D-11</t>
        </is>
      </c>
      <c r="B20" s="34" t="inlineStr">
        <is>
          <t>F-DT-03</t>
        </is>
      </c>
      <c r="C20" s="34" t="inlineStr">
        <is>
          <t>Cobertura vegetal total, superficie de ecosistema, coberturas por estrato, alturas y DAP sin medición</t>
        </is>
      </c>
      <c r="D20" s="13" t="inlineStr">
        <is>
          <t>NO SUSTANTIVA</t>
        </is>
      </c>
      <c r="E20" s="34" t="inlineStr">
        <is>
          <t>Pendientes de levantamiento instrumental</t>
        </is>
      </c>
    </row>
    <row r="21" ht="48" customHeight="1">
      <c r="A21" s="36" t="inlineStr">
        <is>
          <t>D-12</t>
        </is>
      </c>
      <c r="B21" s="36" t="inlineStr">
        <is>
          <t>F-DT-01</t>
        </is>
      </c>
      <c r="C21" s="36" t="inlineStr">
        <is>
          <t>Punto de registro = centroide del polígono, no punto GPS de campo</t>
        </is>
      </c>
      <c r="D21" s="13" t="inlineStr">
        <is>
          <t>NO SUSTANTIVA</t>
        </is>
      </c>
      <c r="E21" s="36" t="inlineStr">
        <is>
          <t>Declarado en la propia ficha</t>
        </is>
      </c>
    </row>
    <row r="22" ht="48" customHeight="1">
      <c r="A22" s="36" t="inlineStr">
        <is>
          <t>D-13</t>
        </is>
      </c>
      <c r="B22" s="36" t="inlineStr">
        <is>
          <t>Distribución areal MSAVI 2024</t>
        </is>
      </c>
      <c r="C22" s="36" t="inlineStr">
        <is>
          <t>La distribución por clase de MSAVI no figuraba en los insumos del entregable y se consignaba «Por determinar»; se incorpora la estadística zonal del ráster MSAVI clasificado (113 polígonos, 50.459 ha)</t>
        </is>
      </c>
      <c r="D22" s="13" t="inlineStr">
        <is>
          <t>CORREGIDO</t>
        </is>
      </c>
      <c r="E22"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6" t="inlineStr">
        <is>
          <t>D-14</t>
        </is>
      </c>
      <c r="B23" s="36" t="inlineStr">
        <is>
          <t>Superficie MSAVI vs. catálogo</t>
        </is>
      </c>
      <c r="C23" s="36" t="inlineStr">
        <is>
          <t>La superficie total clasificada por el MSAVI 2024 (50.459 ha) frente a la de catálogo V5/V6 (50.460 ha): desviación de +0.00 %</t>
        </is>
      </c>
      <c r="D23" s="13" t="inlineStr">
        <is>
          <t>CONFORME</t>
        </is>
      </c>
      <c r="E23" s="36" t="inlineStr">
        <is>
          <t>Sin acción: la segmentación del ráster valida la geometría del bloque dentro del ±2 %.</t>
        </is>
      </c>
    </row>
    <row r="24" ht="48" customHeight="1">
      <c r="A24" s="36" t="inlineStr">
        <is>
          <t>D-15</t>
        </is>
      </c>
      <c r="B24" s="36" t="inlineStr">
        <is>
          <t>Media MSAVI vs. clase DN dominante</t>
        </is>
      </c>
      <c r="C24" s="36" t="inlineStr">
        <is>
          <t>La media del bloque (0.6036) cae en la clase «DN 4 · 0.4976 - 0.6139 (Vigor moderado)»; la clase de mayor superficie es «DN 4 · 0.4976 - 0.6139 (Vigor moderado)», con 60.67 % del bloque. Superficie bajo el umbral 0.4976: 1.488 ha (2.95 %)</t>
        </is>
      </c>
      <c r="D24" s="13" t="inlineStr">
        <is>
          <t>CONFORME</t>
        </is>
      </c>
      <c r="E24" s="36" t="inlineStr">
        <is>
          <t>Sin acción: la media del bloque y la clase de mayor superficie coinciden.</t>
        </is>
      </c>
    </row>
    <row r="25"/>
    <row r="26">
      <c r="A26" s="16" t="inlineStr">
        <is>
          <t>RESUMEN</t>
        </is>
      </c>
      <c r="B26" s="17" t="inlineStr">
        <is>
          <t>15 verificaciones</t>
        </is>
      </c>
      <c r="C26" s="17" t="inlineStr">
        <is>
          <t>CONFORME: 6 · CORREGIDO: 1 · NO SUSTANTIVA: 2 · SUSTANTIVA: 6</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1" t="n"/>
      <c r="C28" s="41" t="n"/>
      <c r="D28" s="41" t="n"/>
      <c r="E28" s="42"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63 — IN Piura</dc:title>
  <dc:subject>Diagnóstico Territorial por bloque de intervención</dc:subject>
  <dcterms:created xsi:type="dcterms:W3CDTF">2026-09-08T03:39:54Z</dcterms:created>
  <dcterms:modified xsi:type="dcterms:W3CDTF">2026-09-10T00:28:29Z</dcterms:modified>
</cp:coreProperties>
</file>