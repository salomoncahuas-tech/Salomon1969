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4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44</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44</t>
        </is>
      </c>
      <c r="C9" s="6" t="inlineStr">
        <is>
          <t>Microcuenca (catálogo)</t>
        </is>
      </c>
      <c r="D9" s="7" t="inlineStr">
        <is>
          <t>C1076-Q9586</t>
        </is>
      </c>
      <c r="E9" s="8" t="n"/>
      <c r="F9" s="8" t="n"/>
    </row>
    <row r="10">
      <c r="A10" s="6" t="inlineStr">
        <is>
          <t>Zona de planificación</t>
        </is>
      </c>
      <c r="B10" s="7" t="inlineStr">
        <is>
          <t>Z12</t>
        </is>
      </c>
      <c r="C10" s="6" t="inlineStr">
        <is>
          <t>Microcuenca declarada en ficha DT</t>
        </is>
      </c>
      <c r="D10" s="7" t="inlineStr">
        <is>
          <t>C1076-Q9586</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San Miguel de El Faique</t>
        </is>
      </c>
      <c r="C12" s="6" t="inlineStr">
        <is>
          <t>Capital distrital</t>
        </is>
      </c>
      <c r="D12" s="7" t="inlineStr">
        <is>
          <t>San Miguel de El Faique</t>
        </is>
      </c>
      <c r="E12" s="8" t="n"/>
      <c r="F12" s="8" t="n"/>
    </row>
    <row r="13">
      <c r="A13" s="6" t="inlineStr">
        <is>
          <t>Centro poblado asociado</t>
        </is>
      </c>
      <c r="B13" s="7" t="inlineStr">
        <is>
          <t>Cruz de Piedra</t>
        </is>
      </c>
      <c r="C13" s="6" t="inlineStr">
        <is>
          <t>Comunidad campesina</t>
        </is>
      </c>
      <c r="D13" s="7" t="inlineStr">
        <is>
          <t>Por verificar</t>
        </is>
      </c>
      <c r="E13" s="8" t="n"/>
      <c r="F13" s="8" t="n"/>
    </row>
    <row r="14">
      <c r="A14" s="6" t="inlineStr">
        <is>
          <t>Superficie de catálogo (V5/V6), ha</t>
        </is>
      </c>
      <c r="B14" s="7" t="n">
        <v>28.23</v>
      </c>
      <c r="C14" s="6" t="inlineStr">
        <is>
          <t>Fuente de superficie</t>
        </is>
      </c>
      <c r="D14" s="7" t="inlineStr">
        <is>
          <t>Catálogo maestro Bloques V5/V6</t>
        </is>
      </c>
      <c r="E14" s="8" t="n"/>
      <c r="F14" s="8" t="n"/>
    </row>
    <row r="15">
      <c r="A15" s="6" t="inlineStr">
        <is>
          <t>Centroide UTM ESTE (m)</t>
        </is>
      </c>
      <c r="B15" s="7" t="n">
        <v>663637</v>
      </c>
      <c r="C15" s="6" t="inlineStr">
        <is>
          <t>Centroide UTM NORTE (m)</t>
        </is>
      </c>
      <c r="D15" s="7" t="n">
        <v>9400618</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3091</v>
      </c>
      <c r="C19" s="6" t="inlineStr">
        <is>
          <t>Altitud máxima (msnm)</t>
        </is>
      </c>
      <c r="D19" s="7" t="n">
        <v>3277</v>
      </c>
      <c r="E19" s="8" t="n"/>
      <c r="F19" s="8" t="n"/>
    </row>
    <row r="20">
      <c r="A20" s="6" t="inlineStr">
        <is>
          <t>Amplitud altitudinal (m)</t>
        </is>
      </c>
      <c r="B20" s="7" t="n">
        <v>186</v>
      </c>
      <c r="C20" s="6" t="inlineStr">
        <is>
          <t>Piso altitudinal dominante</t>
        </is>
      </c>
      <c r="D20" s="7" t="inlineStr">
        <is>
          <t>3000-3500 m (Puna baja)</t>
        </is>
      </c>
      <c r="E20" s="8" t="n"/>
      <c r="F20" s="8" t="n"/>
    </row>
    <row r="21">
      <c r="A21" s="6" t="inlineStr">
        <is>
          <t>Pendiente promedio (%)</t>
        </is>
      </c>
      <c r="B21" s="7" t="n">
        <v>22.21</v>
      </c>
      <c r="C21" s="6" t="inlineStr">
        <is>
          <t>Pendiente promedio (grados)</t>
        </is>
      </c>
      <c r="D21" s="7" t="n">
        <v>12.5</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alta</t>
        </is>
      </c>
      <c r="E23" s="8" t="n"/>
      <c r="F23" s="8" t="n"/>
    </row>
    <row r="24">
      <c r="A24" s="6" t="inlineStr">
        <is>
          <t>Exposición / orientación</t>
        </is>
      </c>
      <c r="B24" s="7" t="inlineStr">
        <is>
          <t>Oeste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0.5113</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(83.85 %)</t>
        </is>
      </c>
      <c r="E29" s="8" t="n"/>
      <c r="F29" s="8" t="n"/>
    </row>
    <row r="30">
      <c r="A30" s="6" t="inlineStr">
        <is>
          <t>Superficie clasificada NDVI 2025 (ha)</t>
        </is>
      </c>
      <c r="B30" s="7" t="n">
        <v>28.238</v>
      </c>
      <c r="C30" s="6" t="inlineStr">
        <is>
          <t>Desviación frente al catálogo (%)</t>
        </is>
      </c>
      <c r="D30" s="7" t="n">
        <v>0.03</v>
      </c>
      <c r="E30" s="8" t="n"/>
      <c r="F30" s="8" t="n"/>
    </row>
    <row r="31">
      <c r="A31" s="6" t="inlineStr">
        <is>
          <t>Superficie clasificada MSAVI 2024 (ha)</t>
        </is>
      </c>
      <c r="B31" s="37" t="n">
        <v>28.234</v>
      </c>
      <c r="C31" s="6" t="inlineStr">
        <is>
          <t>Desviación MSAVI frente al catálogo (%)</t>
        </is>
      </c>
      <c r="D31" s="38" t="n">
        <v>0.02</v>
      </c>
      <c r="E31" s="8" t="n"/>
      <c r="F31" s="8" t="n"/>
    </row>
    <row r="32">
      <c r="A32" s="6" t="inlineStr">
        <is>
          <t>Superficie bajo umbral MSAVI 0.4976 (ha)</t>
        </is>
      </c>
      <c r="B32" s="37" t="n">
        <v>14.699</v>
      </c>
      <c r="C32" s="6" t="inlineStr">
        <is>
          <t>% del bloque bajo umbral (brecha espectral)</t>
        </is>
      </c>
      <c r="D32" s="38" t="n">
        <v>52.06</v>
      </c>
      <c r="E32" s="8" t="n"/>
      <c r="F32" s="8" t="n"/>
    </row>
    <row r="33">
      <c r="A33" s="6" t="inlineStr">
        <is>
          <t>Clase DN dominante (MSAVI 2024)</t>
        </is>
      </c>
      <c r="B33" s="7" t="inlineStr">
        <is>
          <t>DN 3 · 0.3813 - 0.4976 (Vigor bajo)</t>
        </is>
      </c>
      <c r="C33" s="6" t="inlineStr">
        <is>
          <t>N.° de polígonos MSAVI del bloque</t>
        </is>
      </c>
      <c r="D33" s="39" t="n">
        <v>97</v>
      </c>
      <c r="E33" s="8" t="n"/>
      <c r="F33" s="8" t="n"/>
    </row>
    <row r="34"/>
    <row r="35" ht="18" customHeight="1">
      <c r="A35" s="5" t="inlineStr">
        <is>
          <t>4. ECOSISTEMA Y ESTADO DE CONSERVACIÓN</t>
        </is>
      </c>
    </row>
    <row r="36">
      <c r="A36" s="6" t="inlineStr">
        <is>
          <t>Tipo de ecosistema (UP)</t>
        </is>
      </c>
      <c r="B36" s="7" t="inlineStr">
        <is>
          <t>Páramo</t>
        </is>
      </c>
      <c r="C36" s="6" t="inlineStr">
        <is>
          <t>Superficie de ecosistema (ha)</t>
        </is>
      </c>
      <c r="D36" s="7" t="inlineStr">
        <is>
          <t>Páramo 26.89 ha + Matorral andino 1.34 ha = 28.23 ha</t>
        </is>
      </c>
      <c r="E36" s="8" t="n"/>
      <c r="F36" s="8" t="n"/>
    </row>
    <row r="37">
      <c r="A37" s="6" t="inlineStr">
        <is>
          <t>Estado de conservación</t>
        </is>
      </c>
      <c r="B37" s="7" t="inlineStr">
        <is>
          <t>Medianamente alterado</t>
        </is>
      </c>
      <c r="C37" s="6" t="inlineStr">
        <is>
          <t>Uso actual dominante del suelo</t>
        </is>
      </c>
      <c r="D37" s="7" t="inlineStr">
        <is>
          <t>Pastoreo extensivo</t>
        </is>
      </c>
      <c r="E37" s="8" t="n"/>
      <c r="F37" s="8" t="n"/>
    </row>
    <row r="38">
      <c r="A38" s="6" t="inlineStr">
        <is>
          <t>Tipo de cobertura dominante</t>
        </is>
      </c>
      <c r="B38" s="7" t="inlineStr">
        <is>
          <t>Pastizal natural</t>
        </is>
      </c>
      <c r="C38" s="6" t="inlineStr">
        <is>
          <t>Cobertura vegetal total — campo (%)</t>
        </is>
      </c>
      <c r="D38" s="7" t="n">
        <v>85</v>
      </c>
      <c r="E38" s="8" t="n"/>
      <c r="F38" s="8" t="n"/>
    </row>
    <row r="39">
      <c r="A39" s="6" t="inlineStr">
        <is>
          <t>Suelo desnudo — campo (%)</t>
        </is>
      </c>
      <c r="B39" s="7" t="n">
        <v>8</v>
      </c>
      <c r="C39" s="6" t="inlineStr">
        <is>
          <t>Regeneración natural</t>
        </is>
      </c>
      <c r="D39" s="7" t="inlineStr">
        <is>
          <t>No aplica (ecosistema no arbóreo)</t>
        </is>
      </c>
      <c r="E39" s="8" t="n"/>
      <c r="F39" s="8" t="n"/>
    </row>
    <row r="40">
      <c r="A40" s="6" t="inlineStr">
        <is>
          <t>Nivel general de erosión</t>
        </is>
      </c>
      <c r="B40" s="7" t="inlineStr">
        <is>
          <t>Ligera (laminar)</t>
        </is>
      </c>
      <c r="C40" s="6" t="inlineStr">
        <is>
          <t>N.° de cárcavas registradas</t>
        </is>
      </c>
      <c r="D40" s="7" t="n">
        <v>0</v>
      </c>
      <c r="E40" s="8" t="n"/>
      <c r="F40" s="8" t="n"/>
    </row>
    <row r="41">
      <c r="A41" s="6" t="inlineStr">
        <is>
          <t>Elenco florístico (n.° de taxones)</t>
        </is>
      </c>
      <c r="B41" s="7" t="n">
        <v>10</v>
      </c>
      <c r="C41" s="6" t="inlineStr">
        <is>
          <t>Estado sanitario</t>
        </is>
      </c>
      <c r="D41" s="7" t="inlineStr">
        <is>
          <t>No aplica</t>
        </is>
      </c>
      <c r="E41" s="8" t="n"/>
      <c r="F41" s="8" t="n"/>
    </row>
    <row r="42"/>
    <row r="43" ht="18" customHeight="1">
      <c r="A43" s="5" t="inlineStr">
        <is>
          <t>5. RESPONSABLE Y MODALIDAD DE LA EVALUACIÓN</t>
        </is>
      </c>
    </row>
    <row r="44">
      <c r="A44" s="6" t="inlineStr">
        <is>
          <t>Responsable de la evaluación</t>
        </is>
      </c>
      <c r="B44" s="7" t="inlineStr">
        <is>
          <t>Ing. Héctor S. Cahuas Miller</t>
        </is>
      </c>
      <c r="C44" s="6" t="inlineStr">
        <is>
          <t>Fecha de evaluación</t>
        </is>
      </c>
      <c r="D44" s="7" t="inlineStr">
        <is>
          <t>2026-07-22</t>
        </is>
      </c>
      <c r="E44" s="8" t="n"/>
      <c r="F44" s="8" t="n"/>
    </row>
    <row r="45">
      <c r="A45" s="6" t="inlineStr">
        <is>
          <t>Hora de registro</t>
        </is>
      </c>
      <c r="B45" s="7" t="inlineStr">
        <is>
          <t>15:00 - 15:24</t>
        </is>
      </c>
      <c r="C45" s="6" t="inlineStr">
        <is>
          <t>Correlativo de ficha</t>
        </is>
      </c>
      <c r="D45" s="7" t="inlineStr">
        <is>
          <t>F-DT-01/B44</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Recorrido de reconocimiento (sin parcela permanente)</t>
        </is>
      </c>
      <c r="E47" s="8" t="n"/>
      <c r="F47" s="8" t="n"/>
    </row>
    <row r="48">
      <c r="A48" s="6" t="inlineStr">
        <is>
          <t>Estaciones fotográficas georreferenciadas</t>
        </is>
      </c>
      <c r="B48" s="7" t="inlineStr">
        <is>
          <t>Sin registro en la ficha DT</t>
        </is>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Ausencia de un régimen de manejo del pastizal altoandino (sin control de carga, sin rotación ni clausura)</t>
        </is>
      </c>
      <c r="C51" s="6" t="inlineStr">
        <is>
          <t>Velocidad de degradación</t>
        </is>
      </c>
      <c r="D51" s="7" t="inlineStr">
        <is>
          <t>Lenta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0" t="n"/>
      <c r="C57" s="40" t="n"/>
      <c r="D57" s="40" t="n"/>
      <c r="E57" s="40" t="n"/>
      <c r="F57" s="41"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44</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2.1458</v>
      </c>
      <c r="C10" s="19">
        <f>ROUND(B10/$B$15*100,2)</f>
        <v>7.6</v>
      </c>
      <c r="D10" s="11" t="inlineStr">
        <is>
          <t>Vigor alto</t>
        </is>
      </c>
      <c r="E10" s="11" t="inlineStr">
        <is>
          <t>Sobre umbral</t>
        </is>
      </c>
    </row>
    <row r="11">
      <c r="A11" s="12" t="inlineStr">
        <is>
          <t>0.4976 - 0.6139 · DN 4</t>
        </is>
      </c>
      <c r="B11" s="31" t="n">
        <v>11.3894</v>
      </c>
      <c r="C11" s="30">
        <f>ROUND(B11/$B$15*100,2)</f>
        <v>40.34</v>
      </c>
      <c r="D11" s="13" t="inlineStr">
        <is>
          <t>Vigor moderado</t>
        </is>
      </c>
      <c r="E11" s="13" t="inlineStr">
        <is>
          <t>Sobre umbral</t>
        </is>
      </c>
    </row>
    <row r="12">
      <c r="A12" s="7" t="inlineStr">
        <is>
          <t>0.3813 - 0.4976 · DN 3</t>
        </is>
      </c>
      <c r="B12" s="18" t="n">
        <v>14.6992</v>
      </c>
      <c r="C12" s="19">
        <f>ROUND(B12/$B$15*100,2)</f>
        <v>52.06</v>
      </c>
      <c r="D12" s="11" t="inlineStr">
        <is>
          <t>Vigor bajo</t>
        </is>
      </c>
      <c r="E12" s="11" t="inlineStr">
        <is>
          <t>BAJO umbral 0.4976</t>
        </is>
      </c>
    </row>
    <row r="13">
      <c r="A13" s="14" t="inlineStr">
        <is>
          <t>0.2650 - 0.3813 · DN 2</t>
        </is>
      </c>
      <c r="B13" s="20" t="n">
        <v>0</v>
      </c>
      <c r="C13" s="21">
        <f>ROUND(B13/$B$15*100,2)</f>
        <v>0.0</v>
      </c>
      <c r="D13" s="15" t="inlineStr">
        <is>
          <t>Vigor muy bajo</t>
        </is>
      </c>
      <c r="E13" s="15" t="inlineStr">
        <is>
          <t>BAJO umbral 0.4976</t>
        </is>
      </c>
    </row>
    <row r="14">
      <c r="A14" s="7" t="inlineStr">
        <is>
          <t>&lt;= 0.2650 · DN 1</t>
        </is>
      </c>
      <c r="B14" s="18" t="n">
        <v>0</v>
      </c>
      <c r="C14" s="19">
        <f>ROUND(B14/$B$15*100,2)</f>
        <v>0.0</v>
      </c>
      <c r="D14" s="11" t="inlineStr">
        <is>
          <t>Suelo desnudo / no vegetal</t>
        </is>
      </c>
      <c r="E14" s="11" t="inlineStr">
        <is>
          <t>BAJO umbral 0.4976</t>
        </is>
      </c>
    </row>
    <row r="15" ht="30" customHeight="1">
      <c r="A15" s="42" t="inlineStr">
        <is>
          <t>TOTAL CLASIFICADO MSAVI 2024</t>
        </is>
      </c>
      <c r="B15" s="43">
        <f>SUM(B10:B14)</f>
        <v>28.2344</v>
      </c>
      <c r="C15" s="44">
        <f>SUM(C10:C14)</f>
        <v>100.0</v>
      </c>
      <c r="D15" s="42" t="inlineStr">
        <is>
          <t>Suma de la distribución areal · 97 polígonos</t>
        </is>
      </c>
      <c r="E15" s="42" t="inlineStr">
        <is>
          <t>—</t>
        </is>
      </c>
    </row>
    <row r="16" ht="30" customHeight="1">
      <c r="A16" s="45" t="inlineStr">
        <is>
          <t>Superficie SOBRE umbral 0.4976 (ha)</t>
        </is>
      </c>
      <c r="B16" s="46">
        <f>SUM(B10:B11)</f>
        <v>13.5352</v>
      </c>
      <c r="C16" s="47">
        <f>ROUND(B16/B15*100,2)</f>
        <v>47.94</v>
      </c>
      <c r="D16" s="45" t="inlineStr">
        <is>
          <t>Vigor alto y moderado (DN 4 y DN 5)</t>
        </is>
      </c>
      <c r="E16" s="45" t="inlineStr">
        <is>
          <t>Sobre umbral 0.4976</t>
        </is>
      </c>
    </row>
    <row r="17" ht="30" customHeight="1">
      <c r="A17" s="45" t="inlineStr">
        <is>
          <t>Superficie BAJO umbral 0.4976 (ha) — brecha</t>
        </is>
      </c>
      <c r="B17" s="46">
        <f>SUM(B12:B14)</f>
        <v>14.6992</v>
      </c>
      <c r="C17" s="47">
        <f>ROUND(B17/B15*100,2)</f>
        <v>52.06</v>
      </c>
      <c r="D17" s="45" t="inlineStr">
        <is>
          <t>Vigor bajo, muy bajo y suelo desnudo (DN 1 a DN 3)</t>
        </is>
      </c>
      <c r="E17" s="45" t="inlineStr">
        <is>
          <t>Base para el indicador de brecha (R.M. N.° 00213-2024-MINAM)</t>
        </is>
      </c>
    </row>
    <row r="18" ht="30" customHeight="1">
      <c r="A18" s="45" t="inlineStr">
        <is>
          <t>Superficie de catálogo (V5/V6) — contraste MSAVI</t>
        </is>
      </c>
      <c r="B18" s="46" t="n">
        <v>28.23</v>
      </c>
      <c r="C18" s="48" t="inlineStr">
        <is>
          <t>—</t>
        </is>
      </c>
      <c r="D18" s="45" t="inlineStr">
        <is>
          <t>Desviación planimétrica frente al catálogo</t>
        </is>
      </c>
      <c r="E18" s="45" t="inlineStr">
        <is>
          <t>+0.02 %</t>
        </is>
      </c>
    </row>
    <row r="19">
      <c r="A19" s="16" t="inlineStr">
        <is>
          <t>MSAVI 2024 — MEDIA DEL BLOQUE</t>
        </is>
      </c>
      <c r="B19" s="17" t="n">
        <v>0.511324</v>
      </c>
      <c r="C19" s="17" t="inlineStr">
        <is>
          <t>—</t>
        </is>
      </c>
      <c r="D19" s="17" t="inlineStr">
        <is>
          <t>Vigor moderado · clase 0.4976 - 0.6139</t>
        </is>
      </c>
      <c r="E19" s="17" t="inlineStr">
        <is>
          <t>Sobre umbral</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97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(0.5113) se conserva del catálogo maestro y es dato oficial; la fila resaltada indica la clase en la que cae dicha media. Los totales y porcentajes se calculan con fórmulas sobre las filas del cuadro.</t>
        </is>
      </c>
      <c r="B21" s="40" t="n"/>
      <c r="C21" s="40" t="n"/>
      <c r="D21" s="40" t="n"/>
      <c r="E21" s="41"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23.6771</v>
      </c>
      <c r="C25" s="19" t="n">
        <v>83.84999999999999</v>
      </c>
      <c r="D25" s="11" t="inlineStr">
        <is>
          <t>Dosel continuo, matorral denso o mosaico agroforestal</t>
        </is>
      </c>
      <c r="E25" s="11" t="inlineStr"/>
    </row>
    <row r="26">
      <c r="A26" s="14" t="inlineStr">
        <is>
          <t>Vegetación mediana</t>
        </is>
      </c>
      <c r="B26" s="20" t="n">
        <v>4.5611</v>
      </c>
      <c r="C26" s="21" t="n">
        <v>16.15</v>
      </c>
      <c r="D26" s="15" t="inlineStr">
        <is>
          <t>Pastizal cultivado, matorral ralo, parcelas agrícolas</t>
        </is>
      </c>
      <c r="E26" s="15" t="inlineStr"/>
    </row>
    <row r="27">
      <c r="A27" s="16" t="inlineStr">
        <is>
          <t>TOTAL CLASIFICADO</t>
        </is>
      </c>
      <c r="B27" s="22">
        <f>SUM(B25:B26)</f>
        <v>28.2382</v>
      </c>
      <c r="C27" s="23">
        <f>SUM(C25:C26)</f>
        <v>100.0</v>
      </c>
      <c r="D27" s="17" t="inlineStr"/>
      <c r="E27" s="17" t="inlineStr"/>
    </row>
    <row r="28">
      <c r="A28" s="24" t="inlineStr">
        <is>
          <t>Superficie de catálogo (V5/V6)</t>
        </is>
      </c>
      <c r="B28" s="25" t="n">
        <v>28.23</v>
      </c>
      <c r="C28" s="25" t="inlineStr">
        <is>
          <t>—</t>
        </is>
      </c>
      <c r="D28" s="25" t="inlineStr">
        <is>
          <t>Desviación planimétrica frente al catálogo</t>
        </is>
      </c>
      <c r="E28" s="25" t="inlineStr">
        <is>
          <t>+0.03 %</t>
        </is>
      </c>
    </row>
    <row r="29"/>
    <row r="30" ht="108" customHeight="1">
      <c r="A30"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85 % frente a un 83.85 % del polígono clasificado como «Vegetación alta» por el NDVI 2025; la observación de campo corresponde a una parcela o recorrido puntual y no es estadísticamente representativa de las 28.230 ha del bloque.</t>
        </is>
      </c>
      <c r="B30" s="40" t="n"/>
      <c r="C30" s="40" t="n"/>
      <c r="D30" s="40" t="n"/>
      <c r="E30" s="41" t="n"/>
    </row>
  </sheetData>
  <mergeCells count="10">
    <mergeCell ref="A30:E30"/>
    <mergeCell ref="A21:E21"/>
    <mergeCell ref="A4:E4"/>
    <mergeCell ref="A2:E2"/>
    <mergeCell ref="A1:E1"/>
    <mergeCell ref="A23:E23"/>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44</t>
        </is>
      </c>
    </row>
    <row r="6" ht="24" customHeight="1">
      <c r="A6" s="4" t="inlineStr">
        <is>
          <t>Levantamiento del 2026-07-22 · Sistema de referencia UTM WGS 84 Zona 17S (EPSG:32717)</t>
        </is>
      </c>
    </row>
    <row r="7"/>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663790</v>
      </c>
      <c r="D10" s="26" t="n">
        <v>9400681</v>
      </c>
      <c r="E10" s="11" t="n">
        <v>165.5</v>
      </c>
      <c r="F10" s="11" t="inlineStr"/>
      <c r="G10" s="11" t="inlineStr">
        <is>
          <t>Coordenada consignada en F-DT-01</t>
        </is>
      </c>
    </row>
    <row r="11">
      <c r="A11" s="16" t="inlineStr">
        <is>
          <t>TOTAL: 1 puntos</t>
        </is>
      </c>
      <c r="B11" s="17" t="inlineStr"/>
      <c r="C11" s="17" t="inlineStr"/>
      <c r="D11" s="17" t="inlineStr"/>
      <c r="E11" s="17" t="inlineStr"/>
      <c r="F11" s="17" t="inlineStr"/>
      <c r="G11" s="17" t="inlineStr"/>
    </row>
    <row r="12"/>
    <row r="13">
      <c r="A13" s="6" t="inlineStr">
        <is>
          <t>Centroide del bloque — UTM ESTE (m)</t>
        </is>
      </c>
      <c r="B13" s="7" t="n">
        <v>663637</v>
      </c>
      <c r="C13" s="6" t="inlineStr">
        <is>
          <t>Centroide del bloque — UTM NORTE (m)</t>
        </is>
      </c>
      <c r="D13" s="7" t="n">
        <v>9400618</v>
      </c>
      <c r="E13" s="8" t="n"/>
      <c r="F13" s="8" t="n"/>
      <c r="G13" s="8" t="n"/>
      <c r="H13" s="8" t="n"/>
    </row>
    <row r="14">
      <c r="A14" s="6" t="inlineStr">
        <is>
          <t>N.° de estaciones fotográficas declaradas</t>
        </is>
      </c>
      <c r="B14" s="7" t="inlineStr">
        <is>
          <t>Sin registro en la ficha DT</t>
        </is>
      </c>
      <c r="C14" s="6" t="inlineStr">
        <is>
          <t>Estaciones dentro del polígono</t>
        </is>
      </c>
      <c r="D14" s="7" t="inlineStr">
        <is>
          <t>Por determinar</t>
        </is>
      </c>
      <c r="E14" s="8" t="n"/>
      <c r="F14" s="8" t="n"/>
      <c r="G14" s="8" t="n"/>
      <c r="H14" s="8" t="n"/>
    </row>
    <row r="15"/>
    <row r="16" ht="108" customHeight="1">
      <c r="A16"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Recorrido de reconocimiento sobre el sector central-norte del bloque. La altitud GPS no fue registrada; el perfil Google Earth arroja cotas entre 3079 y 3232 msnm. La exposición «Oeste» corresponde al sector muestreado; la exposición dominante a escala de polígono queda pendiente de confirmación en GIS. Se observa REPTACIÓN expresada como terracetas de pisoteo continuas en ladera.</t>
        </is>
      </c>
      <c r="B16" s="40" t="n"/>
      <c r="C16" s="40" t="n"/>
      <c r="D16" s="40" t="n"/>
      <c r="E16" s="40" t="n"/>
      <c r="F16" s="40" t="n"/>
      <c r="G16" s="41" t="n"/>
    </row>
  </sheetData>
  <mergeCells count="8">
    <mergeCell ref="A1:G1"/>
    <mergeCell ref="A8:G8"/>
    <mergeCell ref="A3:G3"/>
    <mergeCell ref="A6:G6"/>
    <mergeCell ref="A4:G4"/>
    <mergeCell ref="A2:G2"/>
    <mergeCell ref="A16:G16"/>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1"/>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C1076-Q9586 — BLOQUE 44</t>
        </is>
      </c>
    </row>
    <row r="6" ht="24" customHeight="1">
      <c r="A6" s="4" t="inlineStr">
        <is>
          <t>Distrito de San Miguel de El Faique · Provincia de Huancabamba · Comparación de los bloques preliminares de intervención de la misma microcuenca</t>
        </is>
      </c>
    </row>
    <row r="7"/>
    <row r="8" ht="18" customHeight="1">
      <c r="A8" s="5" t="inlineStr">
        <is>
          <t>BLOQUES DE LA MICROCUENCA C1076-Q9586</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9</t>
        </is>
      </c>
      <c r="B10" s="27" t="n">
        <v>109.86</v>
      </c>
      <c r="C10" s="19" t="n">
        <v>40.1</v>
      </c>
      <c r="D10" s="11" t="inlineStr">
        <is>
          <t>1529 – 2264</t>
        </is>
      </c>
      <c r="E10" s="11" t="n">
        <v>735</v>
      </c>
      <c r="F10" s="11" t="n">
        <v>34.82</v>
      </c>
      <c r="G10" s="18" t="n">
        <v>0.5745</v>
      </c>
      <c r="H10" s="19" t="n">
        <v>90.23999999999999</v>
      </c>
      <c r="I10" s="19" t="n">
        <v>11.68</v>
      </c>
    </row>
    <row r="11">
      <c r="A11" s="14" t="inlineStr">
        <is>
          <t>M22B1</t>
        </is>
      </c>
      <c r="B11" s="28" t="n">
        <v>55.17</v>
      </c>
      <c r="C11" s="21" t="n">
        <v>20.14</v>
      </c>
      <c r="D11" s="15" t="inlineStr">
        <is>
          <t>3216 – 3436</t>
        </is>
      </c>
      <c r="E11" s="15" t="n">
        <v>220</v>
      </c>
      <c r="F11" s="15" t="n">
        <v>19.98</v>
      </c>
      <c r="G11" s="20" t="n">
        <v>0.594</v>
      </c>
      <c r="H11" s="21" t="n">
        <v>91.05</v>
      </c>
      <c r="I11" s="21" t="n">
        <v>4.1</v>
      </c>
    </row>
    <row r="12">
      <c r="A12" s="7" t="inlineStr">
        <is>
          <t>35</t>
        </is>
      </c>
      <c r="B12" s="27" t="n">
        <v>30.8</v>
      </c>
      <c r="C12" s="19" t="n">
        <v>11.24</v>
      </c>
      <c r="D12" s="11" t="inlineStr">
        <is>
          <t>1376 – 1621</t>
        </is>
      </c>
      <c r="E12" s="11" t="n">
        <v>245</v>
      </c>
      <c r="F12" s="11" t="n">
        <v>33.66</v>
      </c>
      <c r="G12" s="18" t="n">
        <v>0.6245000000000001</v>
      </c>
      <c r="H12" s="19" t="n">
        <v>98.17</v>
      </c>
      <c r="I12" s="19" t="n">
        <v>1.19</v>
      </c>
    </row>
    <row r="13">
      <c r="A13" s="12" t="inlineStr">
        <is>
          <t>► 44</t>
        </is>
      </c>
      <c r="B13" s="29" t="n">
        <v>28.23</v>
      </c>
      <c r="C13" s="30" t="n">
        <v>10.3</v>
      </c>
      <c r="D13" s="13" t="inlineStr">
        <is>
          <t>3091 – 3277</t>
        </is>
      </c>
      <c r="E13" s="13" t="n">
        <v>186</v>
      </c>
      <c r="F13" s="13" t="n">
        <v>22.21</v>
      </c>
      <c r="G13" s="31" t="n">
        <v>0.5113</v>
      </c>
      <c r="H13" s="30" t="n">
        <v>83.84999999999999</v>
      </c>
      <c r="I13" s="30" t="n">
        <v>52.06</v>
      </c>
    </row>
    <row r="14">
      <c r="A14" s="7" t="inlineStr">
        <is>
          <t>43</t>
        </is>
      </c>
      <c r="B14" s="27" t="n">
        <v>23.17</v>
      </c>
      <c r="C14" s="19" t="n">
        <v>8.460000000000001</v>
      </c>
      <c r="D14" s="11" t="inlineStr">
        <is>
          <t>251 – 811</t>
        </is>
      </c>
      <c r="E14" s="11" t="n">
        <v>560</v>
      </c>
      <c r="F14" s="11" t="n">
        <v>31.39</v>
      </c>
      <c r="G14" s="18" t="n">
        <v>0.5515</v>
      </c>
      <c r="H14" s="19" t="n">
        <v>78.91</v>
      </c>
      <c r="I14" s="19" t="n">
        <v>21.28</v>
      </c>
    </row>
    <row r="15">
      <c r="A15" s="14" t="inlineStr">
        <is>
          <t>47</t>
        </is>
      </c>
      <c r="B15" s="28" t="n">
        <v>13.55</v>
      </c>
      <c r="C15" s="21" t="n">
        <v>4.95</v>
      </c>
      <c r="D15" s="15" t="inlineStr">
        <is>
          <t>2105 – 2333</t>
        </is>
      </c>
      <c r="E15" s="15" t="n">
        <v>228</v>
      </c>
      <c r="F15" s="15" t="n">
        <v>32.43</v>
      </c>
      <c r="G15" s="20" t="n">
        <v>0.5936</v>
      </c>
      <c r="H15" s="21" t="n">
        <v>91.26000000000001</v>
      </c>
      <c r="I15" s="21" t="n">
        <v>9.84</v>
      </c>
    </row>
    <row r="16">
      <c r="A16" s="7" t="inlineStr">
        <is>
          <t>67</t>
        </is>
      </c>
      <c r="B16" s="27" t="n">
        <v>13.18</v>
      </c>
      <c r="C16" s="19" t="n">
        <v>4.81</v>
      </c>
      <c r="D16" s="11" t="inlineStr">
        <is>
          <t>1575 – 1770</t>
        </is>
      </c>
      <c r="E16" s="11" t="n">
        <v>195</v>
      </c>
      <c r="F16" s="11" t="n">
        <v>30.33</v>
      </c>
      <c r="G16" s="18" t="n">
        <v>0.6052999999999999</v>
      </c>
      <c r="H16" s="19" t="n">
        <v>97.5</v>
      </c>
      <c r="I16" s="19" t="n">
        <v>2.12</v>
      </c>
    </row>
    <row r="17">
      <c r="A17" s="16" t="inlineStr">
        <is>
          <t>TOTAL / PROMEDIO</t>
        </is>
      </c>
      <c r="B17" s="32">
        <f>SUM(B10:B16)</f>
        <v>273.96</v>
      </c>
      <c r="C17" s="23">
        <f>SUM(C10:C16)</f>
        <v>100.0</v>
      </c>
      <c r="D17" s="17" t="inlineStr">
        <is>
          <t>251 – 3436</t>
        </is>
      </c>
      <c r="E17" s="17" t="inlineStr"/>
      <c r="F17" s="17">
        <f>ROUND(AVERAGE(F10:F16),2)</f>
        <v>29.26</v>
      </c>
      <c r="G17" s="22">
        <f>ROUND(AVERAGE(G10:G16),4)</f>
        <v>0.5792</v>
      </c>
      <c r="H17" s="23">
        <f>ROUND(AVERAGE(H10:H16),2)</f>
        <v>90.14</v>
      </c>
      <c r="I17" s="23">
        <f>ROUND(AVERAGE(I10:I16),2)</f>
        <v>14.61</v>
      </c>
    </row>
    <row r="18"/>
    <row r="19" ht="84" customHeight="1">
      <c r="A19" s="9" t="inlineStr">
        <is>
          <t>LECTURA INTRAMICROCUENCA. El bloque 44 ocupa el puesto 4 de 7 por superficie dentro de la microcuenca C1076-Q9586 (10.30 % de las 273.96 ha preliminares de la microcuenca). Su pendiente promedio (22.21 %, clase «15-25% (Fuert. inclinado)») es la 2.ª más baja de 7 y se sitúa por debajo del promedio de la microcuenca (29.26 %). Su MSAVI 2024 (0.5113) es el 7.º de 7 y queda por debajo del promedio local (0.5793). Amplitud altitudinal del bloque: 186 m (3091–3277 msnm). El cuadro conserva todos los bloques catalogados en la microcuenca, incluidos los descartados en el tamizaje, para referencia del conjunto. Los bloques sin ficha DT figuran con sus parámetros de gabinete. BRECHA ESPECTRAL. El 52.06 % de la superficie del bloque (14.699 ha de 28.234 ha) se sitúa bajo el umbral MSAVI 0.4976, por encima del promedio local de la microcuenca (14.61 %) calculado sobre los bloques con dato MSAVI disponible.</t>
        </is>
      </c>
      <c r="B19" s="40" t="n"/>
      <c r="C19" s="40" t="n"/>
      <c r="D19" s="40" t="n"/>
      <c r="E19" s="40" t="n"/>
      <c r="F19" s="40" t="n"/>
      <c r="G19" s="40" t="n"/>
      <c r="H19" s="41" t="n"/>
    </row>
    <row r="20"/>
    <row r="21" ht="60" customHeight="1">
      <c r="A21"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1" s="40" t="n"/>
      <c r="C21" s="40" t="n"/>
      <c r="D21" s="40" t="n"/>
      <c r="E21" s="40" t="n"/>
      <c r="F21" s="40" t="n"/>
      <c r="G21" s="40" t="n"/>
      <c r="H21" s="41" t="n"/>
    </row>
  </sheetData>
  <mergeCells count="9">
    <mergeCell ref="A1:I1"/>
    <mergeCell ref="A4:I4"/>
    <mergeCell ref="A3:I3"/>
    <mergeCell ref="A21:I21"/>
    <mergeCell ref="A2:I2"/>
    <mergeCell ref="A19:I19"/>
    <mergeCell ref="A5:I5"/>
    <mergeCell ref="A8:I8"/>
    <mergeCell ref="A6:I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4"/>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44</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3" t="inlineStr">
        <is>
          <t>D-01</t>
        </is>
      </c>
      <c r="B10" s="33" t="inlineStr">
        <is>
          <t>Código de microcuenca</t>
        </is>
      </c>
      <c r="C10" s="33" t="inlineStr">
        <is>
          <t>Ficha DT y catálogo maestro coinciden en «C1076-Q9586»</t>
        </is>
      </c>
      <c r="D10" s="34" t="inlineStr">
        <is>
          <t>CONFORME</t>
        </is>
      </c>
      <c r="E10" s="33" t="inlineStr">
        <is>
          <t>Sin acción.</t>
        </is>
      </c>
    </row>
    <row r="11" ht="48" customHeight="1">
      <c r="A11" s="35" t="inlineStr">
        <is>
          <t>D-02</t>
        </is>
      </c>
      <c r="B11" s="35" t="inlineStr">
        <is>
          <t>UTM del punto de muestreo</t>
        </is>
      </c>
      <c r="C11" s="35" t="inlineStr">
        <is>
          <t>El punto de muestreo declarado dista 166 m del centroide de catálogo, compatible con la extensión del bloque</t>
        </is>
      </c>
      <c r="D11" s="34" t="inlineStr">
        <is>
          <t>CONFORME</t>
        </is>
      </c>
      <c r="E11" s="35" t="inlineStr">
        <is>
          <t>Sin acción.</t>
        </is>
      </c>
    </row>
    <row r="12" ht="48" customHeight="1">
      <c r="A12" s="33" t="inlineStr">
        <is>
          <t>D-03</t>
        </is>
      </c>
      <c r="B12" s="33" t="inlineStr">
        <is>
          <t>Superficie del polígono</t>
        </is>
      </c>
      <c r="C12" s="33" t="inlineStr">
        <is>
          <t>La superficie clasificada por el NDVI 2025 (28.238 ha) coincide con la de catálogo (28.23 ha) dentro del ±2 % (+0.03 %)</t>
        </is>
      </c>
      <c r="D12" s="34" t="inlineStr">
        <is>
          <t>CONFORME</t>
        </is>
      </c>
      <c r="E12" s="33" t="inlineStr">
        <is>
          <t>Sin acción: la segmentación valida la geometría del bloque.</t>
        </is>
      </c>
    </row>
    <row r="13" ht="48" customHeight="1">
      <c r="A13" s="35" t="inlineStr">
        <is>
          <t>D-04</t>
        </is>
      </c>
      <c r="B13" s="35" t="inlineStr">
        <is>
          <t>Rango de pendiente dominante</t>
        </is>
      </c>
      <c r="C13" s="35" t="inlineStr">
        <is>
          <t>La ficha DT declara «25-50% (Mod. escarpado)»; la estadística zonal sobre el MDE arroja una pendiente promedio de 22.21 %, que corresponde a la clase «15-25% (Fuert. inclinado)»</t>
        </is>
      </c>
      <c r="D13" s="13" t="inlineStr">
        <is>
          <t>NO SUSTANTIVA</t>
        </is>
      </c>
      <c r="E13" s="35"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3" t="inlineStr">
        <is>
          <t>D-05</t>
        </is>
      </c>
      <c r="B14" s="33" t="inlineStr">
        <is>
          <t>Altitud GPS del punto de muestreo</t>
        </is>
      </c>
      <c r="C14" s="33" t="inlineStr">
        <is>
          <t>La aplicación de captura no registró altitud GPS en campo</t>
        </is>
      </c>
      <c r="D14" s="13" t="inlineStr">
        <is>
          <t>NO SUSTANTIVA</t>
        </is>
      </c>
      <c r="E14" s="33" t="inlineStr">
        <is>
          <t>El rango altitudinal del bloque (3091–3277 msnm) y la pendiente promedio (22.21 %) se toman de la estadística zonal sobre el MDE, no de medición de campo. Se declara la fuente.</t>
        </is>
      </c>
    </row>
    <row r="15" ht="48" customHeight="1">
      <c r="A15" s="35" t="inlineStr">
        <is>
          <t>D-06</t>
        </is>
      </c>
      <c r="B15" s="35" t="inlineStr">
        <is>
          <t>Elenco florístico</t>
        </is>
      </c>
      <c r="C15" s="35" t="inlineStr">
        <is>
          <t>La ficha registra 10 taxones, por debajo del mínimo de 15 que exige el formato V5</t>
        </is>
      </c>
      <c r="D15" s="36" t="inlineStr">
        <is>
          <t>SUSTANTIVA</t>
        </is>
      </c>
      <c r="E15" s="35" t="inlineStr">
        <is>
          <t>Registro florístico preliminar, sin colecta ni determinación botánica formal. Debe cerrarse con colecta botánica en la siguiente campaña.</t>
        </is>
      </c>
    </row>
    <row r="16" ht="48" customHeight="1">
      <c r="A16" s="33" t="inlineStr">
        <is>
          <t>D-07</t>
        </is>
      </c>
      <c r="B16" s="33" t="inlineStr">
        <is>
          <t>Centro poblado asociado</t>
        </is>
      </c>
      <c r="C16" s="33" t="inlineStr">
        <is>
          <t>La ficha DT declara «Cruz de Piedra»; el cruce INEI-Bloques V5 identifica 1 centro(s) poblado(s) en el bloque: CRUZ DE PIEDRA</t>
        </is>
      </c>
      <c r="D16" s="34" t="inlineStr">
        <is>
          <t>CONFORME</t>
        </is>
      </c>
      <c r="E16" s="33" t="inlineStr">
        <is>
          <t>Se conserva el registro de campo como referencia y se adopta el listado INEI para el diagnóstico social y el cálculo de población beneficiaria.</t>
        </is>
      </c>
    </row>
    <row r="17" ht="48" customHeight="1">
      <c r="A17" s="35" t="inlineStr">
        <is>
          <t>D-08</t>
        </is>
      </c>
      <c r="B17" s="35" t="inlineStr">
        <is>
          <t>Peligro integrado (MCA-AHP)</t>
        </is>
      </c>
      <c r="C17" s="35" t="inlineStr">
        <is>
          <t>El nivel de peligro integrado no está disponible en los insumos de este entregable</t>
        </is>
      </c>
      <c r="D17" s="36" t="inlineStr">
        <is>
          <t>SUSTANTIVA</t>
        </is>
      </c>
      <c r="E17" s="35" t="inlineStr">
        <is>
          <t>Debe tomarse del modelamiento de mesolocalización (PMM + EPH + PGI ponderados por AHP) antes de fijar la prioridad definitiva de intervención del bloque.</t>
        </is>
      </c>
    </row>
    <row r="18" ht="48" customHeight="1">
      <c r="A18" s="35" t="inlineStr">
        <is>
          <t>D-09</t>
        </is>
      </c>
      <c r="B18" s="35" t="inlineStr">
        <is>
          <t>Distribución areal MSAVI 2024</t>
        </is>
      </c>
      <c r="C18" s="35" t="inlineStr">
        <is>
          <t>La distribución por clase de MSAVI no figuraba en los insumos del entregable y se consignaba «Por determinar»; se incorpora la estadística zonal del ráster MSAVI clasificado (97 polígonos, 28.234 ha)</t>
        </is>
      </c>
      <c r="D18" s="36" t="inlineStr">
        <is>
          <t>CORREGIDO</t>
        </is>
      </c>
      <c r="E18" s="35"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19" ht="48" customHeight="1">
      <c r="A19" s="35" t="inlineStr">
        <is>
          <t>D-10</t>
        </is>
      </c>
      <c r="B19" s="35" t="inlineStr">
        <is>
          <t>Superficie MSAVI vs. catálogo</t>
        </is>
      </c>
      <c r="C19" s="35" t="inlineStr">
        <is>
          <t>La superficie total clasificada por el MSAVI 2024 (28.234 ha) frente a la de catálogo V5/V6 (28.230 ha): desviación de +0.02 %</t>
        </is>
      </c>
      <c r="D19" s="36" t="inlineStr">
        <is>
          <t>CONFORME</t>
        </is>
      </c>
      <c r="E19" s="35" t="inlineStr">
        <is>
          <t>Sin acción: la segmentación del ráster valida la geometría del bloque dentro del ±2 %.</t>
        </is>
      </c>
    </row>
    <row r="20" ht="48" customHeight="1">
      <c r="A20" s="35" t="inlineStr">
        <is>
          <t>D-11</t>
        </is>
      </c>
      <c r="B20" s="35" t="inlineStr">
        <is>
          <t>Media MSAVI vs. clase DN dominante</t>
        </is>
      </c>
      <c r="C20" s="35" t="inlineStr">
        <is>
          <t>La media del bloque (0.5113) cae en la clase «DN 4 · 0.4976 - 0.6139 (Vigor moderado)»; la clase de mayor superficie es «DN 3 · 0.3813 - 0.4976 (Vigor bajo)», con 52.06 % del bloque. Superficie bajo el umbral 0.4976: 14.699 ha (52.06 %)</t>
        </is>
      </c>
      <c r="D20" s="36" t="inlineStr">
        <is>
          <t>NO SUSTANTIVA</t>
        </is>
      </c>
      <c r="E20" s="35" t="inlineStr">
        <is>
          <t>Se declara la divergencia: en bloques de distribución asimétrica la media puede caer en una clase distinta de la modal. Para el dimensionamiento de metas físicas debe usarse la distribución areal, no la media.</t>
        </is>
      </c>
    </row>
    <row r="21"/>
    <row r="22">
      <c r="A22" s="16" t="inlineStr">
        <is>
          <t>RESUMEN</t>
        </is>
      </c>
      <c r="B22" s="17" t="inlineStr">
        <is>
          <t>11 verificaciones</t>
        </is>
      </c>
      <c r="C22" s="17" t="inlineStr">
        <is>
          <t>CONFORME: 5 · CORREGIDO: 1 · NO SUSTANTIVA: 3 · SUSTANTIVA: 2</t>
        </is>
      </c>
      <c r="D22" s="17" t="inlineStr"/>
      <c r="E22" s="17" t="inlineStr"/>
    </row>
    <row r="23"/>
    <row r="24" ht="60" customHeight="1">
      <c r="A24"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4" s="40" t="n"/>
      <c r="C24" s="40" t="n"/>
      <c r="D24" s="40" t="n"/>
      <c r="E24" s="41" t="n"/>
    </row>
  </sheetData>
  <mergeCells count="8">
    <mergeCell ref="A4:E4"/>
    <mergeCell ref="A24:E24"/>
    <mergeCell ref="A2:E2"/>
    <mergeCell ref="A5:E5"/>
    <mergeCell ref="A1:E1"/>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44 — IN Piura</dc:title>
  <dc:subject>Diagnóstico Territorial por bloque de intervención</dc:subject>
  <dcterms:created xsi:type="dcterms:W3CDTF">2026-09-08T03:39:56Z</dcterms:created>
  <dcterms:modified xsi:type="dcterms:W3CDTF">2026-09-10T00:28:28Z</dcterms:modified>
</cp:coreProperties>
</file>