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44</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Cruz de Piedra</t>
        </is>
      </c>
      <c r="C13" s="6" t="inlineStr">
        <is>
          <t>Comunidad campesina</t>
        </is>
      </c>
      <c r="D13" s="7" t="inlineStr">
        <is>
          <t>Por verificar</t>
        </is>
      </c>
      <c r="E13" s="8" t="n"/>
      <c r="F13" s="8" t="n"/>
    </row>
    <row r="14">
      <c r="A14" s="6" t="inlineStr">
        <is>
          <t>Superficie de catálogo (V5/V6), ha</t>
        </is>
      </c>
      <c r="B14" s="7" t="n">
        <v>28.23</v>
      </c>
      <c r="C14" s="6" t="inlineStr">
        <is>
          <t>Fuente de superficie</t>
        </is>
      </c>
      <c r="D14" s="7" t="inlineStr">
        <is>
          <t>Catálogo maestro Bloques V5/V6</t>
        </is>
      </c>
      <c r="E14" s="8" t="n"/>
      <c r="F14" s="8" t="n"/>
    </row>
    <row r="15">
      <c r="A15" s="6" t="inlineStr">
        <is>
          <t>Centroide UTM ESTE (m)</t>
        </is>
      </c>
      <c r="B15" s="7" t="n">
        <v>663637</v>
      </c>
      <c r="C15" s="6" t="inlineStr">
        <is>
          <t>Centroide UTM NORTE (m)</t>
        </is>
      </c>
      <c r="D15" s="7" t="n">
        <v>9400618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3091</v>
      </c>
      <c r="C19" s="6" t="inlineStr">
        <is>
          <t>Altitud máxima (msnm)</t>
        </is>
      </c>
      <c r="D19" s="7" t="n">
        <v>3277</v>
      </c>
      <c r="E19" s="8" t="n"/>
      <c r="F19" s="8" t="n"/>
    </row>
    <row r="20">
      <c r="A20" s="6" t="inlineStr">
        <is>
          <t>Amplitud altitudinal (m)</t>
        </is>
      </c>
      <c r="B20" s="7" t="n">
        <v>186</v>
      </c>
      <c r="C20" s="6" t="inlineStr">
        <is>
          <t>Piso altitudinal dominante</t>
        </is>
      </c>
      <c r="D20" s="7" t="inlineStr">
        <is>
          <t>3000-3500 m (Puna baja)</t>
        </is>
      </c>
      <c r="E20" s="8" t="n"/>
      <c r="F20" s="8" t="n"/>
    </row>
    <row r="21">
      <c r="A21" s="6" t="inlineStr">
        <is>
          <t>Pendiente promedio (%)</t>
        </is>
      </c>
      <c r="B21" s="7" t="n">
        <v>22.21</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0.5113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(83.85 %)</t>
        </is>
      </c>
      <c r="E29" s="8" t="n"/>
      <c r="F29" s="8" t="n"/>
    </row>
    <row r="30">
      <c r="A30" s="6" t="inlineStr">
        <is>
          <t>Superficie clasificada NDVI 2025 (ha)</t>
        </is>
      </c>
      <c r="B30" s="7" t="n">
        <v>28.238</v>
      </c>
      <c r="C30" s="6" t="inlineStr">
        <is>
          <t>Desviación frente al catálogo (%)</t>
        </is>
      </c>
      <c r="D30" s="7" t="n">
        <v>0.03</v>
      </c>
      <c r="E30" s="8" t="n"/>
      <c r="F30" s="8" t="n"/>
    </row>
    <row r="31">
      <c r="A31" s="6" t="inlineStr">
        <is>
          <t>Superficie clasificada MSAVI 2024 (ha)</t>
        </is>
      </c>
      <c r="B31" s="37" t="n">
        <v>28.234</v>
      </c>
      <c r="C31" s="6" t="inlineStr">
        <is>
          <t>Desviación MSAVI frente al catálogo (%)</t>
        </is>
      </c>
      <c r="D31" s="38" t="n">
        <v>0.02</v>
      </c>
      <c r="E31" s="8" t="n"/>
      <c r="F31" s="8" t="n"/>
    </row>
    <row r="32">
      <c r="A32" s="6" t="inlineStr">
        <is>
          <t>Superficie bajo umbral MSAVI 0.4976 (ha)</t>
        </is>
      </c>
      <c r="B32" s="37" t="n">
        <v>14.699</v>
      </c>
      <c r="C32" s="6" t="inlineStr">
        <is>
          <t>% del bloque bajo umbral (brecha espectral)</t>
        </is>
      </c>
      <c r="D32" s="38" t="n">
        <v>52.06</v>
      </c>
      <c r="E32" s="8" t="n"/>
      <c r="F32" s="8" t="n"/>
    </row>
    <row r="33">
      <c r="A33" s="6" t="inlineStr">
        <is>
          <t>Clase DN dominante (MSAVI 2024)</t>
        </is>
      </c>
      <c r="B33" s="7" t="inlineStr">
        <is>
          <t>DN 3 · 0.3813 - 0.4976 (Vigor bajo)</t>
        </is>
      </c>
      <c r="C33" s="6" t="inlineStr">
        <is>
          <t>N.° de polígonos MSAVI del bloque</t>
        </is>
      </c>
      <c r="D33" s="39" t="n">
        <v>97</v>
      </c>
      <c r="E33" s="8" t="n"/>
      <c r="F33" s="8" t="n"/>
    </row>
    <row r="34"/>
    <row r="35" ht="18" customHeight="1">
      <c r="A35" s="5" t="inlineStr">
        <is>
          <t>4. ECOSISTEMA Y ESTADO DE CONSERVACIÓN</t>
        </is>
      </c>
    </row>
    <row r="36">
      <c r="A36" s="6" t="inlineStr">
        <is>
          <t>Tipo de ecosistema (UP)</t>
        </is>
      </c>
      <c r="B36" s="7" t="inlineStr">
        <is>
          <t>Páramo</t>
        </is>
      </c>
      <c r="C36" s="6" t="inlineStr">
        <is>
          <t>Superficie de ecosistema (ha)</t>
        </is>
      </c>
      <c r="D36" s="7" t="inlineStr">
        <is>
          <t>Páramo 26.89 ha + Matorral andino 1.34 ha = 28.23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85</v>
      </c>
      <c r="E38" s="8" t="n"/>
      <c r="F38" s="8" t="n"/>
    </row>
    <row r="39">
      <c r="A39" s="6" t="inlineStr">
        <is>
          <t>Suelo desnudo — campo (%)</t>
        </is>
      </c>
      <c r="B39" s="7" t="n">
        <v>8</v>
      </c>
      <c r="C39" s="6" t="inlineStr">
        <is>
          <t>Regeneración natural</t>
        </is>
      </c>
      <c r="D39" s="7" t="inlineStr">
        <is>
          <t>No aplica (ecosistema no arbóreo)</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10</v>
      </c>
      <c r="C41" s="6" t="inlineStr">
        <is>
          <t>Estado sanitario</t>
        </is>
      </c>
      <c r="D41" s="7" t="inlineStr">
        <is>
          <t>No aplica</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2026-07-22</t>
        </is>
      </c>
      <c r="E44" s="8" t="n"/>
      <c r="F44" s="8" t="n"/>
    </row>
    <row r="45">
      <c r="A45" s="6" t="inlineStr">
        <is>
          <t>Hora de registro</t>
        </is>
      </c>
      <c r="B45" s="7" t="inlineStr">
        <is>
          <t>15:00 - 15:24</t>
        </is>
      </c>
      <c r="C45" s="6" t="inlineStr">
        <is>
          <t>Correlativo de ficha</t>
        </is>
      </c>
      <c r="D45" s="7" t="inlineStr">
        <is>
          <t>F-DT-01/B44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pastizal altoandino (sin control de carga, sin rotación ni clausura)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2.1458</v>
      </c>
      <c r="C10" s="19">
        <f>ROUND(B10/$B$15*100,2)</f>
        <v/>
      </c>
      <c r="D10" s="11" t="inlineStr">
        <is>
          <t>Vigor alto</t>
        </is>
      </c>
      <c r="E10" s="11" t="inlineStr">
        <is>
          <t>Sobre umbral</t>
        </is>
      </c>
    </row>
    <row r="11">
      <c r="A11" s="12" t="inlineStr">
        <is>
          <t>0.4976 - 0.6139 · DN 4</t>
        </is>
      </c>
      <c r="B11" s="31" t="n">
        <v>11.3894</v>
      </c>
      <c r="C11" s="30">
        <f>ROUND(B11/$B$15*100,2)</f>
        <v/>
      </c>
      <c r="D11" s="13" t="inlineStr">
        <is>
          <t>Vigor moderado</t>
        </is>
      </c>
      <c r="E11" s="13" t="inlineStr">
        <is>
          <t>Sobre umbral</t>
        </is>
      </c>
    </row>
    <row r="12">
      <c r="A12" s="7" t="inlineStr">
        <is>
          <t>0.3813 - 0.4976 · DN 3</t>
        </is>
      </c>
      <c r="B12" s="18" t="n">
        <v>14.6992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28.23</v>
      </c>
      <c r="C18" s="48" t="inlineStr">
        <is>
          <t>—</t>
        </is>
      </c>
      <c r="D18" s="45" t="inlineStr">
        <is>
          <t>Desviación planimétrica frente al catálogo</t>
        </is>
      </c>
      <c r="E18" s="45" t="inlineStr">
        <is>
          <t>+0.02 %</t>
        </is>
      </c>
    </row>
    <row r="19">
      <c r="A19" s="16" t="inlineStr">
        <is>
          <t>MSAVI 2024 — MEDIA DEL BLOQUE</t>
        </is>
      </c>
      <c r="B19" s="17" t="n">
        <v>0.511324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(0.5113)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23.6771</v>
      </c>
      <c r="C25" s="19" t="n">
        <v>83.84999999999999</v>
      </c>
      <c r="D25" s="11" t="inlineStr">
        <is>
          <t>Dosel continuo, matorral denso o mosaico agroforestal</t>
        </is>
      </c>
      <c r="E25" s="11" t="inlineStr"/>
    </row>
    <row r="26">
      <c r="A26" s="14" t="inlineStr">
        <is>
          <t>Vegetación mediana</t>
        </is>
      </c>
      <c r="B26" s="20" t="n">
        <v>4.5611</v>
      </c>
      <c r="C26" s="21" t="n">
        <v>16.15</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28.23</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83.85 % del polígono clasificado como «Vegetación alta» por el NDVI 2025; la observación de campo corresponde a una parcela o recorrido puntual y no es estadísticamente representativa de las 28.230 ha del bloque.</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44</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663790</v>
      </c>
      <c r="D10" s="26" t="n">
        <v>9400681</v>
      </c>
      <c r="E10" s="11" t="n">
        <v>165.5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663637</v>
      </c>
      <c r="C13" s="6" t="inlineStr">
        <is>
          <t>Centroide del bloque — UTM NORTE (m)</t>
        </is>
      </c>
      <c r="D13" s="7" t="n">
        <v>9400618</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0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sobre el sector central-norte del bloque. La altitud GPS no fue registrada; el perfil Google Earth arroja cotas entre 3079 y 3232 msnm. La exposición «Oeste» corresponde al sector muestreado; la exposición dominante a escala de polígono queda pendiente de confirmación en GIS. Se observa REPTACIÓN expresada como terracetas de pisoteo continuas en ladera.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44</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7" t="n">
        <v>109.86</v>
      </c>
      <c r="C10" s="19" t="n">
        <v>40.1</v>
      </c>
      <c r="D10" s="11" t="inlineStr">
        <is>
          <t>1529 – 2264</t>
        </is>
      </c>
      <c r="E10" s="11" t="n">
        <v>735</v>
      </c>
      <c r="F10" s="11" t="n">
        <v>34.82</v>
      </c>
      <c r="G10" s="18" t="n">
        <v>0.5745</v>
      </c>
      <c r="H10" s="19" t="n">
        <v>90.23999999999999</v>
      </c>
      <c r="I10" s="19" t="n">
        <v>11.68</v>
      </c>
    </row>
    <row r="11">
      <c r="A11" s="14" t="inlineStr">
        <is>
          <t>M22B1</t>
        </is>
      </c>
      <c r="B11" s="28" t="n">
        <v>55.17</v>
      </c>
      <c r="C11" s="21" t="n">
        <v>20.14</v>
      </c>
      <c r="D11" s="15" t="inlineStr">
        <is>
          <t>3216 – 3436</t>
        </is>
      </c>
      <c r="E11" s="15" t="n">
        <v>220</v>
      </c>
      <c r="F11" s="15" t="n">
        <v>19.98</v>
      </c>
      <c r="G11" s="20" t="n">
        <v>0.594</v>
      </c>
      <c r="H11" s="21" t="n">
        <v>91.05</v>
      </c>
      <c r="I11" s="21" t="n">
        <v>4.1</v>
      </c>
    </row>
    <row r="12">
      <c r="A12" s="7" t="inlineStr">
        <is>
          <t>35</t>
        </is>
      </c>
      <c r="B12" s="27" t="n">
        <v>30.8</v>
      </c>
      <c r="C12" s="19" t="n">
        <v>11.24</v>
      </c>
      <c r="D12" s="11" t="inlineStr">
        <is>
          <t>1376 – 1621</t>
        </is>
      </c>
      <c r="E12" s="11" t="n">
        <v>245</v>
      </c>
      <c r="F12" s="11" t="n">
        <v>33.66</v>
      </c>
      <c r="G12" s="18" t="n">
        <v>0.6245000000000001</v>
      </c>
      <c r="H12" s="19" t="n">
        <v>98.17</v>
      </c>
      <c r="I12" s="19" t="n">
        <v>1.19</v>
      </c>
    </row>
    <row r="13">
      <c r="A13" s="12" t="inlineStr">
        <is>
          <t>► 44</t>
        </is>
      </c>
      <c r="B13" s="29" t="n">
        <v>28.23</v>
      </c>
      <c r="C13" s="30" t="n">
        <v>10.3</v>
      </c>
      <c r="D13" s="13" t="inlineStr">
        <is>
          <t>3091 – 3277</t>
        </is>
      </c>
      <c r="E13" s="13" t="n">
        <v>186</v>
      </c>
      <c r="F13" s="13" t="n">
        <v>22.21</v>
      </c>
      <c r="G13" s="31" t="n">
        <v>0.5113</v>
      </c>
      <c r="H13" s="30" t="n">
        <v>83.84999999999999</v>
      </c>
      <c r="I13" s="30" t="n">
        <v>52.06</v>
      </c>
    </row>
    <row r="14">
      <c r="A14" s="7" t="inlineStr">
        <is>
          <t>43</t>
        </is>
      </c>
      <c r="B14" s="27" t="n">
        <v>23.17</v>
      </c>
      <c r="C14" s="19" t="n">
        <v>8.460000000000001</v>
      </c>
      <c r="D14" s="11" t="inlineStr">
        <is>
          <t>251 – 811</t>
        </is>
      </c>
      <c r="E14" s="11" t="n">
        <v>560</v>
      </c>
      <c r="F14" s="11" t="n">
        <v>31.39</v>
      </c>
      <c r="G14" s="18" t="n">
        <v>0.5515</v>
      </c>
      <c r="H14" s="19" t="n">
        <v>78.91</v>
      </c>
      <c r="I14" s="19" t="n">
        <v>21.28</v>
      </c>
    </row>
    <row r="15">
      <c r="A15" s="14" t="inlineStr">
        <is>
          <t>47</t>
        </is>
      </c>
      <c r="B15" s="28" t="n">
        <v>13.55</v>
      </c>
      <c r="C15" s="21" t="n">
        <v>4.95</v>
      </c>
      <c r="D15" s="15" t="inlineStr">
        <is>
          <t>2105 – 2333</t>
        </is>
      </c>
      <c r="E15" s="15" t="n">
        <v>228</v>
      </c>
      <c r="F15" s="15" t="n">
        <v>32.43</v>
      </c>
      <c r="G15" s="20" t="n">
        <v>0.5936</v>
      </c>
      <c r="H15" s="21" t="n">
        <v>91.26000000000001</v>
      </c>
      <c r="I15" s="21" t="n">
        <v>9.84</v>
      </c>
    </row>
    <row r="16">
      <c r="A16" s="7" t="inlineStr">
        <is>
          <t>67</t>
        </is>
      </c>
      <c r="B16" s="27" t="n">
        <v>13.18</v>
      </c>
      <c r="C16" s="19" t="n">
        <v>4.81</v>
      </c>
      <c r="D16" s="11" t="inlineStr">
        <is>
          <t>1575 – 1770</t>
        </is>
      </c>
      <c r="E16" s="11" t="n">
        <v>195</v>
      </c>
      <c r="F16" s="11" t="n">
        <v>30.33</v>
      </c>
      <c r="G16" s="18" t="n">
        <v>0.6052999999999999</v>
      </c>
      <c r="H16" s="19" t="n">
        <v>97.5</v>
      </c>
      <c r="I16" s="19" t="n">
        <v>2.12</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c r="I17" s="23">
        <f>ROUND(AVERAGE(I10:I16),2)</f>
        <v/>
      </c>
    </row>
    <row r="18"/>
    <row r="19" ht="84" customHeight="1">
      <c r="A19" s="9" t="inlineStr">
        <is>
          <t>LECTURA INTRAMICROCUENCA. El bloque 44 ocupa el puesto 4 de 7 por superficie dentro de la microcuenca C1076-Q9586 (10.30 % de las 273.96 ha preliminares de la microcuenca). Su pendiente promedio (22.21 %, clase «15-25% (Fuert. inclinado)») es la 2.ª más baja de 7 y se sitúa por debajo del promedio de la microcuenca (29.26 %). Su MSAVI 2024 (0.5113) es el 7.º de 7 y queda por debajo del promedio local (0.5793). Amplitud altitudinal del bloque: 186 m (3091–3277 msnm). El cuadro conserva todos los bloques catalogados en la microcuenca, incluidos los descartados en el tamizaje, para referencia del conjunto. Los bloques sin ficha DT figuran con sus parámetros de gabinete. BRECHA ESPECTRAL. El 52.06 % de la superficie del bloque (14.699 ha de 28.234 ha) se sitúa bajo el umbral MSAVI 0.4976, por encima del promedio local de la microcuenca (14.61 %) calculado sobre los bloques con dato MSAVI disponible.</t>
        </is>
      </c>
      <c r="B19" s="40" t="n"/>
      <c r="C19" s="40" t="n"/>
      <c r="D19" s="40" t="n"/>
      <c r="E19" s="40" t="n"/>
      <c r="F19" s="40" t="n"/>
      <c r="G19" s="40" t="n"/>
      <c r="H19" s="41"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0" t="n"/>
      <c r="C21" s="40" t="n"/>
      <c r="D21" s="40" t="n"/>
      <c r="E21" s="40" t="n"/>
      <c r="F21" s="40" t="n"/>
      <c r="G21" s="40" t="n"/>
      <c r="H21" s="41"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166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(28.238 ha) coincide con la de catálogo (28.23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22.21 %,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(3091–3277 msnm) y la pendiente promedio (22.21 %) se toman de la estadística zonal sobre el MDE, no de medición de campo. Se declara la fuente.</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«Cruz de Piedra»; el cruce INEI-Bloques V5 identifica 1 centro(s) poblado(s) en el bloque: CRUZ DE PIEDRA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5" t="inlineStr">
        <is>
          <t>D-09</t>
        </is>
      </c>
      <c r="B18" s="35" t="inlineStr">
        <is>
          <t>Distribución areal MSAVI 2024</t>
        </is>
      </c>
      <c r="C18" s="35" t="inlineStr">
        <is>
          <t>La distribución por clase de MSAVI no figuraba en los insumos del entregable y se consignaba «Por determinar»; se incorpora la estadística zonal del ráster MSAVI clasificado (97 polígonos, 28.234 ha)</t>
        </is>
      </c>
      <c r="D18" s="36" t="inlineStr">
        <is>
          <t>CORREGIDO</t>
        </is>
      </c>
      <c r="E1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5" t="inlineStr">
        <is>
          <t>D-10</t>
        </is>
      </c>
      <c r="B19" s="35" t="inlineStr">
        <is>
          <t>Superficie MSAVI vs. catálogo</t>
        </is>
      </c>
      <c r="C19" s="35" t="inlineStr">
        <is>
          <t>La superficie total clasificada por el MSAVI 2024 (28.234 ha) frente a la de catálogo V5/V6 (28.230 ha): desviación de +0.02 %</t>
        </is>
      </c>
      <c r="D19" s="36" t="inlineStr">
        <is>
          <t>CONFORME</t>
        </is>
      </c>
      <c r="E19" s="35" t="inlineStr">
        <is>
          <t>Sin acción: la segmentación del ráster valida la geometría del bloque dentro del ±2 %.</t>
        </is>
      </c>
    </row>
    <row r="20" ht="48" customHeight="1">
      <c r="A20" s="35" t="inlineStr">
        <is>
          <t>D-11</t>
        </is>
      </c>
      <c r="B20" s="35" t="inlineStr">
        <is>
          <t>Media MSAVI vs. clase DN dominante</t>
        </is>
      </c>
      <c r="C20" s="35" t="inlineStr">
        <is>
          <t>La media del bloque (0.5113) cae en la clase «DN 4 · 0.4976 - 0.6139 (Vigor moderado)»; la clase de mayor superficie es «DN 3 · 0.3813 - 0.4976 (Vigor bajo)», con 52.06 % del bloque. Superficie bajo el umbral 0.4976: 14.699 ha (52.06 %)</t>
        </is>
      </c>
      <c r="D20" s="36" t="inlineStr">
        <is>
          <t>NO SUSTANTIVA</t>
        </is>
      </c>
      <c r="E20" s="35" t="inlineStr">
        <is>
          <t>Se declara la divergencia: en bloques de distribución asimétrica la media puede caer en una clase distinta de la modal. Para el dimensionamiento de metas físicas debe usarse la distribución areal, no la media.</t>
        </is>
      </c>
    </row>
    <row r="21"/>
    <row r="22">
      <c r="A22" s="16" t="inlineStr">
        <is>
          <t>RESUMEN</t>
        </is>
      </c>
      <c r="B22" s="17" t="inlineStr">
        <is>
          <t>11 verificaciones</t>
        </is>
      </c>
      <c r="C22" s="17" t="inlineStr">
        <is>
          <t>CONFORME: 5 · CORREGIDO: 1 · NO SUSTANTIVA: 3 · SUSTANTIVA: 2</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0" t="n"/>
      <c r="C24" s="40" t="n"/>
      <c r="D24" s="40" t="n"/>
      <c r="E24" s="41"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44 — IN Piura</dc:title>
  <dc:subject>Diagnóstico Territorial por bloque de intervención</dc:subject>
  <dcterms:created xsi:type="dcterms:W3CDTF">2026-09-08T03:39:56Z</dcterms:created>
  <dcterms:modified xsi:type="dcterms:W3CDTF">2026-09-09T23:30:52Z</dcterms:modified>
</cp:coreProperties>
</file>