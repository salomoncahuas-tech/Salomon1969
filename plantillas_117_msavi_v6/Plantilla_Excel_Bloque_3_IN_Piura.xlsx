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t>
        </is>
      </c>
      <c r="C9" s="6" t="inlineStr">
        <is>
          <t>Microcuenca (catálogo)</t>
        </is>
      </c>
      <c r="D9" s="7" t="inlineStr">
        <is>
          <t>C1096-Q9545</t>
        </is>
      </c>
      <c r="E9" s="8" t="n"/>
      <c r="F9" s="8" t="n"/>
    </row>
    <row r="10">
      <c r="A10" s="6" t="inlineStr">
        <is>
          <t>Zona de planificación</t>
        </is>
      </c>
      <c r="B10" s="7" t="inlineStr">
        <is>
          <t>Z02</t>
        </is>
      </c>
      <c r="C10" s="6" t="inlineStr">
        <is>
          <t>Microcuenca declarada en ficha DT</t>
        </is>
      </c>
      <c r="D10" s="7" t="inlineStr">
        <is>
          <t>C1096-Q9545</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Huayabal</t>
        </is>
      </c>
      <c r="C13" s="6" t="inlineStr">
        <is>
          <t>Comunidad campesina</t>
        </is>
      </c>
      <c r="D13" s="7" t="inlineStr">
        <is>
          <t>Por verificar</t>
        </is>
      </c>
      <c r="E13" s="8" t="n"/>
      <c r="F13" s="8" t="n"/>
    </row>
    <row r="14">
      <c r="A14" s="6" t="inlineStr">
        <is>
          <t>Superficie de catálogo (V5/V6), ha</t>
        </is>
      </c>
      <c r="B14" s="7" t="n">
        <v>459.29</v>
      </c>
      <c r="C14" s="6" t="inlineStr">
        <is>
          <t>Fuente de superficie</t>
        </is>
      </c>
      <c r="D14" s="7" t="inlineStr">
        <is>
          <t>Catálogo maestro Bloques V5/V6</t>
        </is>
      </c>
      <c r="E14" s="8" t="n"/>
      <c r="F14" s="8" t="n"/>
    </row>
    <row r="15">
      <c r="A15" s="6" t="inlineStr">
        <is>
          <t>Centroide UTM ESTE (m)</t>
        </is>
      </c>
      <c r="B15" s="7" t="n">
        <v>606816</v>
      </c>
      <c r="C15" s="6" t="inlineStr">
        <is>
          <t>Centroide UTM NORTE (m)</t>
        </is>
      </c>
      <c r="D15" s="7" t="n">
        <v>9458469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951</v>
      </c>
      <c r="C19" s="6" t="inlineStr">
        <is>
          <t>Altitud máxima (msnm)</t>
        </is>
      </c>
      <c r="D19" s="7" t="n">
        <v>2173</v>
      </c>
      <c r="E19" s="8" t="n"/>
      <c r="F19" s="8" t="n"/>
    </row>
    <row r="20">
      <c r="A20" s="6" t="inlineStr">
        <is>
          <t>Amplitud altitudinal (m)</t>
        </is>
      </c>
      <c r="B20" s="7" t="n">
        <v>1222</v>
      </c>
      <c r="C20" s="6" t="inlineStr">
        <is>
          <t>Piso altitudinal dominante</t>
        </is>
      </c>
      <c r="D20" s="7" t="inlineStr">
        <is>
          <t>1500-2000 m (Quechua media)</t>
        </is>
      </c>
      <c r="E20" s="8" t="n"/>
      <c r="F20" s="8" t="n"/>
    </row>
    <row r="21">
      <c r="A21" s="6" t="inlineStr">
        <is>
          <t>Pendiente promedio (%)</t>
        </is>
      </c>
      <c r="B21" s="7" t="n">
        <v>29.52</v>
      </c>
      <c r="C21" s="6" t="inlineStr">
        <is>
          <t>Pendiente promedio (grados)</t>
        </is>
      </c>
      <c r="D21" s="7" t="n">
        <v>16.4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0.5677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(57.21 %)</t>
        </is>
      </c>
      <c r="E29" s="8" t="n"/>
      <c r="F29" s="8" t="n"/>
    </row>
    <row r="30">
      <c r="A30" s="6" t="inlineStr">
        <is>
          <t>Superficie clasificada NDVI 2025 (ha)</t>
        </is>
      </c>
      <c r="B30" s="7" t="n">
        <v>459.532</v>
      </c>
      <c r="C30" s="6" t="inlineStr">
        <is>
          <t>Desviación frente al catálogo (%)</t>
        </is>
      </c>
      <c r="D30" s="7" t="n">
        <v>0.05</v>
      </c>
      <c r="E30" s="8" t="n"/>
      <c r="F30" s="8" t="n"/>
    </row>
    <row r="31">
      <c r="A31" s="6" t="inlineStr">
        <is>
          <t>Superficie clasificada MSAVI 2024 (ha)</t>
        </is>
      </c>
      <c r="B31" s="37" t="n">
        <v>459.295</v>
      </c>
      <c r="C31" s="6" t="inlineStr">
        <is>
          <t>Desviación MSAVI frente al catálogo (%)</t>
        </is>
      </c>
      <c r="D31" s="38" t="n">
        <v>0</v>
      </c>
      <c r="E31" s="8" t="n"/>
      <c r="F31" s="8" t="n"/>
    </row>
    <row r="32">
      <c r="A32" s="6" t="inlineStr">
        <is>
          <t>Superficie bajo umbral MSAVI 0.4976 (ha)</t>
        </is>
      </c>
      <c r="B32" s="37" t="n">
        <v>133.481</v>
      </c>
      <c r="C32" s="6" t="inlineStr">
        <is>
          <t>% del bloque bajo umbral (brecha espectral)</t>
        </is>
      </c>
      <c r="D32" s="38" t="n">
        <v>29.06</v>
      </c>
      <c r="E32" s="8" t="n"/>
      <c r="F32" s="8" t="n"/>
    </row>
    <row r="33">
      <c r="A33" s="6" t="inlineStr">
        <is>
          <t>Clase DN dominante (MSAVI 2024)</t>
        </is>
      </c>
      <c r="B33" s="7" t="inlineStr">
        <is>
          <t>DN 4 · 0.4976 - 0.6139 (Vigor moderado)</t>
        </is>
      </c>
      <c r="C33" s="6" t="inlineStr">
        <is>
          <t>N.° de polígonos MSAVI del bloque</t>
        </is>
      </c>
      <c r="D33" s="39" t="n">
        <v>1561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434.20 ha Zona agrícola (total bloque 459.29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≈85</t>
        </is>
      </c>
      <c r="E38" s="8" t="n"/>
      <c r="F38" s="8" t="n"/>
    </row>
    <row r="39">
      <c r="A39" s="6" t="inlineStr">
        <is>
          <t>Suelo desnudo — campo (%)</t>
        </is>
      </c>
      <c r="B39" s="7" t="inlineStr">
        <is>
          <t>≈10</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2026-06-26</t>
        </is>
      </c>
      <c r="E44" s="8" t="n"/>
      <c r="F44" s="8" t="n"/>
    </row>
    <row r="45">
      <c r="A45" s="6" t="inlineStr">
        <is>
          <t>Hora de registro</t>
        </is>
      </c>
      <c r="B45" s="7" t="inlineStr">
        <is>
          <t>11:15 a.m. - 1:34 p.m.</t>
        </is>
      </c>
      <c r="C45" s="6" t="inlineStr">
        <is>
          <t>Correlativo de ficha</t>
        </is>
      </c>
      <c r="D45" s="7" t="inlineStr">
        <is>
          <t>DT-B3-2026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t>
        </is>
      </c>
      <c r="E47" s="8" t="n"/>
      <c r="F47" s="8" t="n"/>
    </row>
    <row r="48">
      <c r="A48" s="6" t="inlineStr">
        <is>
          <t>Estaciones fotográficas georreferenciadas</t>
        </is>
      </c>
      <c r="B48" s="7" t="n">
        <v>15</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de subsistencia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150.8762</v>
      </c>
      <c r="C10" s="19">
        <f>ROUND(B10/$B$15*100,2)</f>
        <v/>
      </c>
      <c r="D10" s="11" t="inlineStr">
        <is>
          <t>Vigor alto</t>
        </is>
      </c>
      <c r="E10" s="11" t="inlineStr">
        <is>
          <t>Sobre umbral</t>
        </is>
      </c>
    </row>
    <row r="11">
      <c r="A11" s="12" t="inlineStr">
        <is>
          <t>0.4976 - 0.6139 · DN 4</t>
        </is>
      </c>
      <c r="B11" s="30" t="n">
        <v>174.9372</v>
      </c>
      <c r="C11" s="29">
        <f>ROUND(B11/$B$15*100,2)</f>
        <v/>
      </c>
      <c r="D11" s="13" t="inlineStr">
        <is>
          <t>Vigor moderado</t>
        </is>
      </c>
      <c r="E11" s="13" t="inlineStr">
        <is>
          <t>Sobre umbral</t>
        </is>
      </c>
    </row>
    <row r="12">
      <c r="A12" s="7" t="inlineStr">
        <is>
          <t>0.3813 - 0.4976 · DN 3</t>
        </is>
      </c>
      <c r="B12" s="18" t="n">
        <v>127.8584</v>
      </c>
      <c r="C12" s="19">
        <f>ROUND(B12/$B$15*100,2)</f>
        <v/>
      </c>
      <c r="D12" s="11" t="inlineStr">
        <is>
          <t>Vigor bajo</t>
        </is>
      </c>
      <c r="E12" s="11" t="inlineStr">
        <is>
          <t>BAJO umbral 0.4976</t>
        </is>
      </c>
    </row>
    <row r="13">
      <c r="A13" s="14" t="inlineStr">
        <is>
          <t>0.2650 - 0.3813 · DN 2</t>
        </is>
      </c>
      <c r="B13" s="20" t="n">
        <v>5.6207</v>
      </c>
      <c r="C13" s="21">
        <f>ROUND(B13/$B$15*100,2)</f>
        <v/>
      </c>
      <c r="D13" s="15" t="inlineStr">
        <is>
          <t>Vigor muy bajo</t>
        </is>
      </c>
      <c r="E13" s="15" t="inlineStr">
        <is>
          <t>BAJO umbral 0.4976</t>
        </is>
      </c>
    </row>
    <row r="14">
      <c r="A14" s="7" t="inlineStr">
        <is>
          <t>&lt;= 0.2650 · DN 1</t>
        </is>
      </c>
      <c r="B14" s="18" t="n">
        <v>0.0022</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1 561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459.29</v>
      </c>
      <c r="C18" s="48" t="inlineStr">
        <is>
          <t>—</t>
        </is>
      </c>
      <c r="D18" s="45" t="inlineStr">
        <is>
          <t>Desviación planimétrica frente al catálogo</t>
        </is>
      </c>
      <c r="E18" s="45" t="inlineStr">
        <is>
          <t>+0.00 %</t>
        </is>
      </c>
    </row>
    <row r="19">
      <c r="A19" s="16" t="inlineStr">
        <is>
          <t>MSAVI 2024 — MEDIA DEL BLOQUE</t>
        </is>
      </c>
      <c r="B19" s="17" t="n">
        <v>0.567707</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1 561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(0.5677)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262.8806</v>
      </c>
      <c r="C25" s="19" t="n">
        <v>57.21</v>
      </c>
      <c r="D25" s="11" t="inlineStr">
        <is>
          <t>Dosel continuo, matorral denso o mosaico agroforestal</t>
        </is>
      </c>
      <c r="E25" s="11" t="inlineStr"/>
    </row>
    <row r="26">
      <c r="A26" s="14" t="inlineStr">
        <is>
          <t>Vegetación mediana</t>
        </is>
      </c>
      <c r="B26" s="20" t="n">
        <v>189.5765</v>
      </c>
      <c r="C26" s="21" t="n">
        <v>41.25</v>
      </c>
      <c r="D26" s="15" t="inlineStr">
        <is>
          <t>Pastizal cultivado, matorral ralo, parcelas agrícolas</t>
        </is>
      </c>
      <c r="E26" s="15" t="inlineStr"/>
    </row>
    <row r="27">
      <c r="A27" s="7" t="inlineStr">
        <is>
          <t>Vegetación ligera</t>
        </is>
      </c>
      <c r="B27" s="18" t="n">
        <v>7.0266</v>
      </c>
      <c r="C27" s="19" t="n">
        <v>1.53</v>
      </c>
      <c r="D27" s="11" t="inlineStr">
        <is>
          <t>Cobertura discontinua, suelo parcialmente expuesto</t>
        </is>
      </c>
      <c r="E27" s="11" t="inlineStr"/>
    </row>
    <row r="28">
      <c r="A28" s="14" t="inlineStr">
        <is>
          <t>Tierra desnuda</t>
        </is>
      </c>
      <c r="B28" s="20" t="n">
        <v>0.0486</v>
      </c>
      <c r="C28" s="21" t="n">
        <v>0.01</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459.29</v>
      </c>
      <c r="C30" s="25" t="inlineStr">
        <is>
          <t>—</t>
        </is>
      </c>
      <c r="D30" s="25" t="inlineStr">
        <is>
          <t>Desviación planimétrica frente al catálogo</t>
        </is>
      </c>
      <c r="E30" s="25" t="inlineStr">
        <is>
          <t>+0.05 %</t>
        </is>
      </c>
    </row>
    <row r="31"/>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t>
        </is>
      </c>
    </row>
    <row r="6" ht="24" customHeight="1">
      <c r="A6" s="4" t="inlineStr">
        <is>
          <t>Levantamiento del 2026-06-26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605299</v>
      </c>
      <c r="D10" s="26" t="n">
        <v>9458681</v>
      </c>
      <c r="E10" s="11" t="n">
        <v>1531.7</v>
      </c>
      <c r="F10" s="11" t="inlineStr"/>
      <c r="G10" s="11" t="inlineStr">
        <is>
          <t>Coordenada consignada en F-DT-01</t>
        </is>
      </c>
    </row>
    <row r="11">
      <c r="A11" s="14" t="inlineStr">
        <is>
          <t>C-01</t>
        </is>
      </c>
      <c r="B11" s="15" t="inlineStr">
        <is>
          <t>Rasgo erosivo — Cárcava incipiente (30-50 cm)</t>
        </is>
      </c>
      <c r="C11" s="27" t="n">
        <v>607136</v>
      </c>
      <c r="D11" s="27" t="n">
        <v>9459234</v>
      </c>
      <c r="E11" s="15" t="n">
        <v>829.2</v>
      </c>
      <c r="F11" s="15" t="inlineStr">
        <is>
          <t>Activa</t>
        </is>
      </c>
      <c r="G11" s="15" t="inlineStr">
        <is>
          <t>Caminos / huellas de ganado</t>
        </is>
      </c>
    </row>
    <row r="12">
      <c r="A12" s="7" t="inlineStr">
        <is>
          <t>C-02</t>
        </is>
      </c>
      <c r="B12" s="11" t="inlineStr">
        <is>
          <t>Rasgo erosivo — Surco (&lt;30 cm)</t>
        </is>
      </c>
      <c r="C12" s="26" t="n">
        <v>607148</v>
      </c>
      <c r="D12" s="26" t="n">
        <v>9459234</v>
      </c>
      <c r="E12" s="11" t="n">
        <v>833.9</v>
      </c>
      <c r="F12" s="11" t="inlineStr">
        <is>
          <t>Activa</t>
        </is>
      </c>
      <c r="G12" s="11" t="inlineStr">
        <is>
          <t>Caminos / huellas de ganado</t>
        </is>
      </c>
    </row>
    <row r="13">
      <c r="A13" s="14" t="inlineStr">
        <is>
          <t>H-01</t>
        </is>
      </c>
      <c r="B13" s="15" t="inlineStr">
        <is>
          <t>Fuente de agua — Quebrada estacional</t>
        </is>
      </c>
      <c r="C13" s="27" t="n">
        <v>606000</v>
      </c>
      <c r="D13" s="27" t="n">
        <v>9459000</v>
      </c>
      <c r="E13" s="15" t="n">
        <v>973.6</v>
      </c>
      <c r="F13" s="15" t="inlineStr">
        <is>
          <t>Estacional (lluvias)</t>
        </is>
      </c>
      <c r="G13" s="15" t="inlineStr">
        <is>
          <t>Quebrada tributaria</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606816</v>
      </c>
      <c r="C16" s="6" t="inlineStr">
        <is>
          <t>Centroide del bloque — UTM NORTE (m)</t>
        </is>
      </c>
      <c r="D16" s="7" t="n">
        <v>9458469</v>
      </c>
      <c r="E16" s="8" t="n"/>
      <c r="F16" s="8" t="n"/>
      <c r="G16" s="8" t="n"/>
      <c r="H16" s="8" t="n"/>
    </row>
    <row r="17">
      <c r="A17" s="6" t="inlineStr">
        <is>
          <t>N.° de estaciones fotográficas declaradas</t>
        </is>
      </c>
      <c r="B17" s="7" t="n">
        <v>15</v>
      </c>
      <c r="C17" s="6" t="inlineStr">
        <is>
          <t>Estaciones dentro del polígono</t>
        </is>
      </c>
      <c r="D17" s="7" t="inlineStr">
        <is>
          <t>Por determinar</t>
        </is>
      </c>
      <c r="E17" s="8" t="n"/>
      <c r="F17" s="8" t="n"/>
      <c r="G17" s="8" t="n"/>
      <c r="H17" s="8" t="n"/>
    </row>
    <row r="19" ht="108"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Rango altitudinal observado 1328-1803 msnm (perfil Google Earth, 1.47 km; pendiente media 31.9%, máx 46.4%). La app fotográfica no registró altitud GPS. Un registro presentó coordenada anómala (17M 539535 9428686), descartada. Escarpes/erosión localizados en taludes de camino y sendas de ganado, no en superficie natural.</t>
        </is>
      </c>
      <c r="B19" s="40" t="n"/>
      <c r="C19" s="40" t="n"/>
      <c r="D19" s="40" t="n"/>
      <c r="E19" s="40" t="n"/>
      <c r="F19" s="40" t="n"/>
      <c r="G19" s="41"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C1096-Q9545 — BLOQUE 3</t>
        </is>
      </c>
    </row>
    <row r="6" ht="24" customHeight="1">
      <c r="A6" s="4" t="inlineStr">
        <is>
          <t>Distrito de Frias · Provincia de Ayabaca · Comparación de los bloques preliminares de intervención de la misma microcuenca</t>
        </is>
      </c>
    </row>
    <row r="7"/>
    <row r="8" ht="18" customHeight="1">
      <c r="A8" s="5" t="inlineStr">
        <is>
          <t>BLOQUES DE LA MICROCUENCA C1096-Q9545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3</t>
        </is>
      </c>
      <c r="B10" s="28" t="n">
        <v>459.29</v>
      </c>
      <c r="C10" s="29" t="n">
        <v>56.38</v>
      </c>
      <c r="D10" s="13" t="inlineStr">
        <is>
          <t>951 – 2173</t>
        </is>
      </c>
      <c r="E10" s="13" t="n">
        <v>1222</v>
      </c>
      <c r="F10" s="13" t="n">
        <v>29.52</v>
      </c>
      <c r="G10" s="30" t="n">
        <v>0.5677</v>
      </c>
      <c r="H10" s="29" t="n">
        <v>57.21</v>
      </c>
      <c r="I10" s="29" t="n">
        <v>29.06</v>
      </c>
    </row>
    <row r="11">
      <c r="A11" s="14" t="inlineStr">
        <is>
          <t>M9B1</t>
        </is>
      </c>
      <c r="B11" s="31" t="n">
        <v>355.36</v>
      </c>
      <c r="C11" s="21" t="n">
        <v>43.62</v>
      </c>
      <c r="D11" s="15" t="inlineStr">
        <is>
          <t>147 – 265</t>
        </is>
      </c>
      <c r="E11" s="15" t="n">
        <v>118</v>
      </c>
      <c r="F11" s="15" t="n">
        <v>10.17</v>
      </c>
      <c r="G11" s="20" t="n">
        <v>0.3143</v>
      </c>
      <c r="H11" s="21" t="n">
        <v>0.15</v>
      </c>
      <c r="I11" s="21" t="n">
        <v>99.33</v>
      </c>
    </row>
    <row r="12">
      <c r="A12" s="16" t="inlineStr">
        <is>
          <t>TOTAL / PROMEDIO</t>
        </is>
      </c>
      <c r="B12" s="32">
        <f>SUM(B10:B11)</f>
        <v/>
      </c>
      <c r="C12" s="23">
        <f>SUM(C10:C11)</f>
        <v/>
      </c>
      <c r="D12" s="17" t="inlineStr">
        <is>
          <t>147 – 2173</t>
        </is>
      </c>
      <c r="E12" s="17" t="inlineStr"/>
      <c r="F12" s="17">
        <f>ROUND(AVERAGE(F10:F11),2)</f>
        <v/>
      </c>
      <c r="G12" s="22">
        <f>ROUND(AVERAGE(G10:G11),4)</f>
        <v/>
      </c>
      <c r="H12" s="23">
        <f>ROUND(AVERAGE(H10:H11),2)</f>
        <v/>
      </c>
      <c r="I12" s="23">
        <f>ROUND(AVERAGE(I10:I11),2)</f>
        <v/>
      </c>
    </row>
    <row r="13"/>
    <row r="14" ht="84" customHeight="1">
      <c r="A14" s="9" t="inlineStr">
        <is>
          <t>LECTURA INTRAMICROCUENCA. El bloque 3 ocupa el puesto 1 de 2 por superficie dentro de la microcuenca C1096-Q9545 (56.38 % de las 814.65 ha preliminares de la microcuenca). Su pendiente promedio (29.52 %, clase «25-50% (Mod. escarpado)») es la 2.ª más baja de 2 y se sitúa por encima del promedio de la microcuenca (19.84 %). Su MSAVI 2024 (0.5677) es el 1.º de 2 y queda por encima del promedio local (0.4410). Amplitud altitudinal del bloque: 1222 m (951–2173 msnm). El cuadro conserva todos los bloques catalogados en la microcuenca, incluidos los descartados en el tamizaje, para referencia del conjunto. Los bloques sin ficha DT figuran con sus parámetros de gabinete. BRECHA ESPECTRAL. El 29.06 % de la superficie del bloque (133.481 ha de 459.295 ha) se sitúa bajo el umbral MSAVI 0.4976, por debajo del promedio local de la microcuenca (64.20 %) calculado sobre los bloques con dato MSAVI disponible.</t>
        </is>
      </c>
      <c r="B14" s="40" t="n"/>
      <c r="C14" s="40" t="n"/>
      <c r="D14" s="40" t="n"/>
      <c r="E14" s="40" t="n"/>
      <c r="F14" s="40" t="n"/>
      <c r="G14" s="40" t="n"/>
      <c r="H14" s="41"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1"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«C1096-Q9545»</t>
        </is>
      </c>
      <c r="D10" s="34" t="inlineStr">
        <is>
          <t>CONFORME</t>
        </is>
      </c>
      <c r="E10" s="33" t="inlineStr">
        <is>
          <t>Sin acción.</t>
        </is>
      </c>
    </row>
    <row r="11" ht="48" customHeight="1">
      <c r="A11" s="35" t="inlineStr">
        <is>
          <t>D-02</t>
        </is>
      </c>
      <c r="B11" s="35" t="inlineStr">
        <is>
          <t>UTM del punto de muestreo</t>
        </is>
      </c>
      <c r="C11" s="35" t="inlineStr">
        <is>
          <t>El punto de muestreo declarado (605299 E / 9458681 N) dista 1,532 m del centroide de catálogo (606816 E / 9458469 N), distancia incompatible con la superficie del bloque (459.29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(459.532 ha) coincide con la de catálogo (459.29 ha) dentro del ±2 % (+0.05 %)</t>
        </is>
      </c>
      <c r="D12" s="34" t="inlineStr">
        <is>
          <t>CONFORME</t>
        </is>
      </c>
      <c r="E12" s="33" t="inlineStr">
        <is>
          <t>Sin acción: la segmentación valida la geometría del bloque.</t>
        </is>
      </c>
    </row>
    <row r="13" ht="48" customHeight="1">
      <c r="A13" s="35" t="inlineStr">
        <is>
          <t>D-04</t>
        </is>
      </c>
      <c r="B13" s="35" t="inlineStr">
        <is>
          <t>Altitud GPS del punto de muestreo</t>
        </is>
      </c>
      <c r="C13" s="35" t="inlineStr">
        <is>
          <t>La aplicación de captura no registró altitud GPS en campo</t>
        </is>
      </c>
      <c r="D13" s="13" t="inlineStr">
        <is>
          <t>NO SUSTANTIVA</t>
        </is>
      </c>
      <c r="E13" s="35" t="inlineStr">
        <is>
          <t>El rango altitudinal del bloque (951–2173 msnm) y la pendiente promedio (29.52 %) se toman de la estadística zonal sobre el MDE, no de medición de campo. Se declara la fuente.</t>
        </is>
      </c>
    </row>
    <row r="14" ht="48" customHeight="1">
      <c r="A14" s="33" t="inlineStr">
        <is>
          <t>D-05</t>
        </is>
      </c>
      <c r="B14" s="33" t="inlineStr">
        <is>
          <t>Dimensiones del inventario de cárcavas</t>
        </is>
      </c>
      <c r="C14" s="33" t="inlineStr">
        <is>
          <t>Se registran 2 rasgos erosivos, pero longitud, profundidad y ancho no fueron medidos instrumentalmente</t>
        </is>
      </c>
      <c r="D14" s="13"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11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Centro poblado asociado</t>
        </is>
      </c>
      <c r="C16" s="33" t="inlineStr">
        <is>
          <t>La ficha DT declara «Huayabal»; el cruce INEI-Bloques V5 identifica 5 centro(s) poblado(s) en el bloque: EL MIRADOR, HUASIPE DE GERALDO, HUAYABAL, LOS CHECCHES, RINCON DE GERALDO</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5" t="inlineStr">
        <is>
          <t>D-09</t>
        </is>
      </c>
      <c r="B18" s="35" t="inlineStr">
        <is>
          <t>Distribución areal MSAVI 2024</t>
        </is>
      </c>
      <c r="C18" s="35" t="inlineStr">
        <is>
          <t>La distribución por clase de MSAVI no figuraba en los insumos del entregable y se consignaba «Por determinar»; se incorpora la estadística zonal del ráster MSAVI clasificado (1 561 polígonos, 459.295 ha)</t>
        </is>
      </c>
      <c r="D18" s="36" t="inlineStr">
        <is>
          <t>CORREGIDO</t>
        </is>
      </c>
      <c r="E18"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9" ht="48" customHeight="1">
      <c r="A19" s="35" t="inlineStr">
        <is>
          <t>D-10</t>
        </is>
      </c>
      <c r="B19" s="35" t="inlineStr">
        <is>
          <t>Superficie MSAVI vs. catálogo</t>
        </is>
      </c>
      <c r="C19" s="35" t="inlineStr">
        <is>
          <t>La superficie total clasificada por el MSAVI 2024 (459.295 ha) frente a la de catálogo V5/V6 (459.290 ha): desviación de +0.00 %</t>
        </is>
      </c>
      <c r="D19" s="36" t="inlineStr">
        <is>
          <t>CONFORME</t>
        </is>
      </c>
      <c r="E19" s="35" t="inlineStr">
        <is>
          <t>Sin acción: la segmentación del ráster valida la geometría del bloque dentro del ±2 %.</t>
        </is>
      </c>
    </row>
    <row r="20" ht="48" customHeight="1">
      <c r="A20" s="35" t="inlineStr">
        <is>
          <t>D-11</t>
        </is>
      </c>
      <c r="B20" s="35" t="inlineStr">
        <is>
          <t>Media MSAVI vs. clase DN dominante</t>
        </is>
      </c>
      <c r="C20" s="35" t="inlineStr">
        <is>
          <t>La media del bloque (0.5677) cae en la clase «DN 4 · 0.4976 - 0.6139 (Vigor moderado)»; la clase de mayor superficie es «DN 4 · 0.4976 - 0.6139 (Vigor moderado)», con 38.09 % del bloque. Superficie bajo el umbral 0.4976: 133.481 ha (29.06 %)</t>
        </is>
      </c>
      <c r="D20" s="36" t="inlineStr">
        <is>
          <t>CONFORME</t>
        </is>
      </c>
      <c r="E20" s="35" t="inlineStr">
        <is>
          <t>Sin acción: la media del bloque y la clase de mayor superficie coinciden.</t>
        </is>
      </c>
    </row>
    <row r="21"/>
    <row r="22">
      <c r="A22" s="16" t="inlineStr">
        <is>
          <t>RESUMEN</t>
        </is>
      </c>
      <c r="B22" s="17" t="inlineStr">
        <is>
          <t>11 verificaciones</t>
        </is>
      </c>
      <c r="C22" s="17" t="inlineStr">
        <is>
          <t>CONFORME: 5 · CORREGIDO: 1 · NO SUSTANTIVA: 2 · SUSTANTIVA: 3</t>
        </is>
      </c>
      <c r="D22" s="17" t="inlineStr"/>
      <c r="E22" s="17" t="inlineStr"/>
    </row>
    <row r="23"/>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40" t="n"/>
      <c r="C24" s="40" t="n"/>
      <c r="D24" s="40" t="n"/>
      <c r="E24" s="41"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 — IN Piura</dc:title>
  <dc:subject>Diagnóstico Territorial por bloque de intervención</dc:subject>
  <dcterms:created xsi:type="dcterms:W3CDTF">2026-09-08T03:39:53Z</dcterms:created>
  <dcterms:modified xsi:type="dcterms:W3CDTF">2026-09-09T23:30:51Z</dcterms:modified>
</cp:coreProperties>
</file>