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3</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3</t>
        </is>
      </c>
      <c r="C9" s="6" t="inlineStr">
        <is>
          <t>Microcuenca (catálogo)</t>
        </is>
      </c>
      <c r="D9" s="7" t="inlineStr">
        <is>
          <t>C1096-Q9545</t>
        </is>
      </c>
      <c r="E9" s="8" t="n"/>
      <c r="F9" s="8" t="n"/>
    </row>
    <row r="10">
      <c r="A10" s="6" t="inlineStr">
        <is>
          <t>Zona de planificación</t>
        </is>
      </c>
      <c r="B10" s="7" t="inlineStr">
        <is>
          <t>Z02</t>
        </is>
      </c>
      <c r="C10" s="6" t="inlineStr">
        <is>
          <t>Microcuenca declarada en ficha DT</t>
        </is>
      </c>
      <c r="D10" s="7" t="inlineStr">
        <is>
          <t>C1096-Q9545</t>
        </is>
      </c>
      <c r="E10" s="8" t="n"/>
      <c r="F10" s="8" t="n"/>
    </row>
    <row r="11">
      <c r="A11" s="6" t="inlineStr">
        <is>
          <t>Departamento</t>
        </is>
      </c>
      <c r="B11" s="7" t="inlineStr">
        <is>
          <t>Piura</t>
        </is>
      </c>
      <c r="C11" s="6" t="inlineStr">
        <is>
          <t>Provincia</t>
        </is>
      </c>
      <c r="D11" s="7" t="inlineStr">
        <is>
          <t>Ayabaca</t>
        </is>
      </c>
      <c r="E11" s="8" t="n"/>
      <c r="F11" s="8" t="n"/>
    </row>
    <row r="12">
      <c r="A12" s="6" t="inlineStr">
        <is>
          <t>Distrito</t>
        </is>
      </c>
      <c r="B12" s="7" t="inlineStr">
        <is>
          <t>Frias</t>
        </is>
      </c>
      <c r="C12" s="6" t="inlineStr">
        <is>
          <t>Capital distrital</t>
        </is>
      </c>
      <c r="D12" s="7" t="inlineStr">
        <is>
          <t>Frias</t>
        </is>
      </c>
      <c r="E12" s="8" t="n"/>
      <c r="F12" s="8" t="n"/>
    </row>
    <row r="13">
      <c r="A13" s="6" t="inlineStr">
        <is>
          <t>Centro poblado asociado</t>
        </is>
      </c>
      <c r="B13" s="7" t="inlineStr">
        <is>
          <t>Huayabal</t>
        </is>
      </c>
      <c r="C13" s="6" t="inlineStr">
        <is>
          <t>Comunidad campesina</t>
        </is>
      </c>
      <c r="D13" s="7" t="inlineStr">
        <is>
          <t>Por verificar</t>
        </is>
      </c>
      <c r="E13" s="8" t="n"/>
      <c r="F13" s="8" t="n"/>
    </row>
    <row r="14">
      <c r="A14" s="6" t="inlineStr">
        <is>
          <t>Superficie de catálogo (V5/V6), ha</t>
        </is>
      </c>
      <c r="B14" s="7" t="n">
        <v>459.29</v>
      </c>
      <c r="C14" s="6" t="inlineStr">
        <is>
          <t>Fuente de superficie</t>
        </is>
      </c>
      <c r="D14" s="7" t="inlineStr">
        <is>
          <t>Catálogo maestro Bloques V5/V6</t>
        </is>
      </c>
      <c r="E14" s="8" t="n"/>
      <c r="F14" s="8" t="n"/>
    </row>
    <row r="15">
      <c r="A15" s="6" t="inlineStr">
        <is>
          <t>Centroide UTM ESTE (m)</t>
        </is>
      </c>
      <c r="B15" s="7" t="n">
        <v>606816</v>
      </c>
      <c r="C15" s="6" t="inlineStr">
        <is>
          <t>Centroide UTM NORTE (m)</t>
        </is>
      </c>
      <c r="D15" s="7" t="n">
        <v>9458469</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951</v>
      </c>
      <c r="C19" s="6" t="inlineStr">
        <is>
          <t>Altitud máxima (msnm)</t>
        </is>
      </c>
      <c r="D19" s="7" t="n">
        <v>2173</v>
      </c>
      <c r="E19" s="8" t="n"/>
      <c r="F19" s="8" t="n"/>
    </row>
    <row r="20">
      <c r="A20" s="6" t="inlineStr">
        <is>
          <t>Amplitud altitudinal (m)</t>
        </is>
      </c>
      <c r="B20" s="7" t="n">
        <v>1222</v>
      </c>
      <c r="C20" s="6" t="inlineStr">
        <is>
          <t>Piso altitudinal dominante</t>
        </is>
      </c>
      <c r="D20" s="7" t="inlineStr">
        <is>
          <t>1500-2000 m (Quechua media)</t>
        </is>
      </c>
      <c r="E20" s="8" t="n"/>
      <c r="F20" s="8" t="n"/>
    </row>
    <row r="21">
      <c r="A21" s="6" t="inlineStr">
        <is>
          <t>Pendiente promedio (%)</t>
        </is>
      </c>
      <c r="B21" s="7" t="n">
        <v>29.52</v>
      </c>
      <c r="C21" s="6" t="inlineStr">
        <is>
          <t>Pendiente promedio (grados)</t>
        </is>
      </c>
      <c r="D21" s="7" t="n">
        <v>16.4</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0.5677</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(57.21 %)</t>
        </is>
      </c>
      <c r="E29" s="8" t="n"/>
      <c r="F29" s="8" t="n"/>
    </row>
    <row r="30">
      <c r="A30" s="6" t="inlineStr">
        <is>
          <t>Superficie clasificada NDVI 2025 (ha)</t>
        </is>
      </c>
      <c r="B30" s="7" t="n">
        <v>459.532</v>
      </c>
      <c r="C30" s="6" t="inlineStr">
        <is>
          <t>Desviación frente al catálogo (%)</t>
        </is>
      </c>
      <c r="D30" s="7" t="n">
        <v>0.05</v>
      </c>
      <c r="E30" s="8" t="n"/>
      <c r="F30" s="8" t="n"/>
    </row>
    <row r="31">
      <c r="A31" s="6" t="inlineStr">
        <is>
          <t>Superficie clasificada MSAVI 2024 (ha)</t>
        </is>
      </c>
      <c r="B31" s="37" t="n">
        <v>459.295</v>
      </c>
      <c r="C31" s="6" t="inlineStr">
        <is>
          <t>Desviación MSAVI frente al catálogo (%)</t>
        </is>
      </c>
      <c r="D31" s="38" t="n">
        <v>0</v>
      </c>
      <c r="E31" s="8" t="n"/>
      <c r="F31" s="8" t="n"/>
    </row>
    <row r="32">
      <c r="A32" s="6" t="inlineStr">
        <is>
          <t>Superficie bajo umbral MSAVI 0.4976 (ha)</t>
        </is>
      </c>
      <c r="B32" s="37" t="n">
        <v>133.481</v>
      </c>
      <c r="C32" s="6" t="inlineStr">
        <is>
          <t>% del bloque bajo umbral (brecha espectral)</t>
        </is>
      </c>
      <c r="D32" s="38" t="n">
        <v>29.06</v>
      </c>
      <c r="E32" s="8" t="n"/>
      <c r="F32" s="8" t="n"/>
    </row>
    <row r="33">
      <c r="A33" s="6" t="inlineStr">
        <is>
          <t>Clase DN dominante (MSAVI 2024)</t>
        </is>
      </c>
      <c r="B33" s="7" t="inlineStr">
        <is>
          <t>DN 4 · 0.4976 - 0.6139 (Vigor moderado)</t>
        </is>
      </c>
      <c r="C33" s="6" t="inlineStr">
        <is>
          <t>N.° de polígonos MSAVI del bloque</t>
        </is>
      </c>
      <c r="D33" s="39" t="n">
        <v>1561</v>
      </c>
      <c r="E33" s="8" t="n"/>
      <c r="F33" s="8" t="n"/>
    </row>
    <row r="34"/>
    <row r="35" ht="18" customHeight="1">
      <c r="A35" s="5" t="inlineStr">
        <is>
          <t>4. ECOSISTEMA Y ESTADO DE CONSERVACIÓN</t>
        </is>
      </c>
    </row>
    <row r="36">
      <c r="A36" s="6" t="inlineStr">
        <is>
          <t>Tipo de ecosistema (UP)</t>
        </is>
      </c>
      <c r="B36" s="7" t="inlineStr">
        <is>
          <t>Agroecosistema / Mosaico</t>
        </is>
      </c>
      <c r="C36" s="6" t="inlineStr">
        <is>
          <t>Superficie de ecosistema (ha)</t>
        </is>
      </c>
      <c r="D36" s="7" t="inlineStr">
        <is>
          <t>434.20 ha Zona agrícola (total bloque 459.29 ha)</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inlineStr">
        <is>
          <t>≈85</t>
        </is>
      </c>
      <c r="E38" s="8" t="n"/>
      <c r="F38" s="8" t="n"/>
    </row>
    <row r="39">
      <c r="A39" s="6" t="inlineStr">
        <is>
          <t>Suelo desnudo — campo (%)</t>
        </is>
      </c>
      <c r="B39" s="7" t="inlineStr">
        <is>
          <t>≈10</t>
        </is>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2</v>
      </c>
      <c r="E40" s="8" t="n"/>
      <c r="F40" s="8" t="n"/>
    </row>
    <row r="41">
      <c r="A41" s="6" t="inlineStr">
        <is>
          <t>Elenco florístico (n.° de taxones)</t>
        </is>
      </c>
      <c r="B41" s="7" t="n">
        <v>11</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t>
        </is>
      </c>
      <c r="C44" s="6" t="inlineStr">
        <is>
          <t>Fecha de evaluación</t>
        </is>
      </c>
      <c r="D44" s="7" t="inlineStr">
        <is>
          <t>2026-06-26</t>
        </is>
      </c>
      <c r="E44" s="8" t="n"/>
      <c r="F44" s="8" t="n"/>
    </row>
    <row r="45">
      <c r="A45" s="6" t="inlineStr">
        <is>
          <t>Hora de registro</t>
        </is>
      </c>
      <c r="B45" s="7" t="inlineStr">
        <is>
          <t>11:15 a.m. - 1:34 p.m.</t>
        </is>
      </c>
      <c r="C45" s="6" t="inlineStr">
        <is>
          <t>Correlativo de ficha</t>
        </is>
      </c>
      <c r="D45" s="7" t="inlineStr">
        <is>
          <t>DT-B3-2026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Recorrido de reconocimiento</t>
        </is>
      </c>
      <c r="E47" s="8" t="n"/>
      <c r="F47" s="8" t="n"/>
    </row>
    <row r="48">
      <c r="A48" s="6" t="inlineStr">
        <is>
          <t>Estaciones fotográficas georreferenciadas</t>
        </is>
      </c>
      <c r="B48" s="7" t="n">
        <v>15</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agropecuaria de subsistencia sobre laderas de fuerte pendiente, sin prácticas de conservación de suelos.</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0" t="n"/>
      <c r="C57" s="40" t="n"/>
      <c r="D57" s="40" t="n"/>
      <c r="E57" s="40" t="n"/>
      <c r="F57" s="41"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3</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150.8762</v>
      </c>
      <c r="C10" s="19">
        <f>ROUND(B10/$B$15*100,2)</f>
        <v>32.85</v>
      </c>
      <c r="D10" s="11" t="inlineStr">
        <is>
          <t>Vigor alto</t>
        </is>
      </c>
      <c r="E10" s="11" t="inlineStr">
        <is>
          <t>Sobre umbral</t>
        </is>
      </c>
    </row>
    <row r="11">
      <c r="A11" s="12" t="inlineStr">
        <is>
          <t>0.4976 - 0.6139 · DN 4</t>
        </is>
      </c>
      <c r="B11" s="30" t="n">
        <v>174.9372</v>
      </c>
      <c r="C11" s="29">
        <f>ROUND(B11/$B$15*100,2)</f>
        <v>38.09</v>
      </c>
      <c r="D11" s="13" t="inlineStr">
        <is>
          <t>Vigor moderado</t>
        </is>
      </c>
      <c r="E11" s="13" t="inlineStr">
        <is>
          <t>Sobre umbral</t>
        </is>
      </c>
    </row>
    <row r="12">
      <c r="A12" s="7" t="inlineStr">
        <is>
          <t>0.3813 - 0.4976 · DN 3</t>
        </is>
      </c>
      <c r="B12" s="18" t="n">
        <v>127.8584</v>
      </c>
      <c r="C12" s="19">
        <f>ROUND(B12/$B$15*100,2)</f>
        <v>27.84</v>
      </c>
      <c r="D12" s="11" t="inlineStr">
        <is>
          <t>Vigor bajo</t>
        </is>
      </c>
      <c r="E12" s="11" t="inlineStr">
        <is>
          <t>BAJO umbral 0.4976</t>
        </is>
      </c>
    </row>
    <row r="13">
      <c r="A13" s="14" t="inlineStr">
        <is>
          <t>0.2650 - 0.3813 · DN 2</t>
        </is>
      </c>
      <c r="B13" s="20" t="n">
        <v>5.6207</v>
      </c>
      <c r="C13" s="21">
        <f>ROUND(B13/$B$15*100,2)</f>
        <v>1.22</v>
      </c>
      <c r="D13" s="15" t="inlineStr">
        <is>
          <t>Vigor muy bajo</t>
        </is>
      </c>
      <c r="E13" s="15" t="inlineStr">
        <is>
          <t>BAJO umbral 0.4976</t>
        </is>
      </c>
    </row>
    <row r="14">
      <c r="A14" s="7" t="inlineStr">
        <is>
          <t>&lt;= 0.2650 · DN 1</t>
        </is>
      </c>
      <c r="B14" s="18" t="n">
        <v>0.0022</v>
      </c>
      <c r="C14" s="19">
        <f>ROUND(B14/$B$15*100,2)</f>
        <v>0.0</v>
      </c>
      <c r="D14" s="11" t="inlineStr">
        <is>
          <t>Suelo desnudo / no vegetal</t>
        </is>
      </c>
      <c r="E14" s="11" t="inlineStr">
        <is>
          <t>BAJO umbral 0.4976</t>
        </is>
      </c>
    </row>
    <row r="15" ht="30" customHeight="1">
      <c r="A15" s="42" t="inlineStr">
        <is>
          <t>TOTAL CLASIFICADO MSAVI 2024</t>
        </is>
      </c>
      <c r="B15" s="43">
        <f>SUM(B10:B14)</f>
        <v>459.2947</v>
      </c>
      <c r="C15" s="44">
        <f>SUM(C10:C14)</f>
        <v>100.0</v>
      </c>
      <c r="D15" s="42" t="inlineStr">
        <is>
          <t>Suma de la distribución areal · 1 561 polígonos</t>
        </is>
      </c>
      <c r="E15" s="42" t="inlineStr">
        <is>
          <t>—</t>
        </is>
      </c>
    </row>
    <row r="16" ht="30" customHeight="1">
      <c r="A16" s="45" t="inlineStr">
        <is>
          <t>Superficie SOBRE umbral 0.4976 (ha)</t>
        </is>
      </c>
      <c r="B16" s="46">
        <f>SUM(B10:B11)</f>
        <v>325.8134</v>
      </c>
      <c r="C16" s="47">
        <f>ROUND(B16/B15*100,2)</f>
        <v>70.94</v>
      </c>
      <c r="D16" s="45" t="inlineStr">
        <is>
          <t>Vigor alto y moderado (DN 4 y DN 5)</t>
        </is>
      </c>
      <c r="E16" s="45" t="inlineStr">
        <is>
          <t>Sobre umbral 0.4976</t>
        </is>
      </c>
    </row>
    <row r="17" ht="30" customHeight="1">
      <c r="A17" s="45" t="inlineStr">
        <is>
          <t>Superficie BAJO umbral 0.4976 (ha) — brecha</t>
        </is>
      </c>
      <c r="B17" s="46">
        <f>SUM(B12:B14)</f>
        <v>133.4813</v>
      </c>
      <c r="C17" s="47">
        <f>ROUND(B17/B15*100,2)</f>
        <v>29.06</v>
      </c>
      <c r="D17" s="45" t="inlineStr">
        <is>
          <t>Vigor bajo, muy bajo y suelo desnudo (DN 1 a DN 3)</t>
        </is>
      </c>
      <c r="E17" s="45" t="inlineStr">
        <is>
          <t>Base para el indicador de brecha (R.M. N.° 00213-2024-MINAM)</t>
        </is>
      </c>
    </row>
    <row r="18" ht="30" customHeight="1">
      <c r="A18" s="45" t="inlineStr">
        <is>
          <t>Superficie de catálogo (V5/V6) — contraste MSAVI</t>
        </is>
      </c>
      <c r="B18" s="46" t="n">
        <v>459.29</v>
      </c>
      <c r="C18" s="48" t="inlineStr">
        <is>
          <t>—</t>
        </is>
      </c>
      <c r="D18" s="45" t="inlineStr">
        <is>
          <t>Desviación planimétrica frente al catálogo</t>
        </is>
      </c>
      <c r="E18" s="45" t="inlineStr">
        <is>
          <t>+0.00 %</t>
        </is>
      </c>
    </row>
    <row r="19">
      <c r="A19" s="16" t="inlineStr">
        <is>
          <t>MSAVI 2024 — MEDIA DEL BLOQUE</t>
        </is>
      </c>
      <c r="B19" s="17" t="n">
        <v>0.567707</v>
      </c>
      <c r="C19" s="17" t="inlineStr">
        <is>
          <t>—</t>
        </is>
      </c>
      <c r="D19" s="17" t="inlineStr">
        <is>
          <t>Vigor moderado · clase 0.4976 - 0.6139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1 561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(0.5677) se conserva del catálogo maestro y es dato oficial; la fila resaltada indica la clase en la que cae dicha media. Los totales y porcentajes se calculan con fórmulas sobre las filas del cuadro.</t>
        </is>
      </c>
      <c r="B21" s="40" t="n"/>
      <c r="C21" s="40" t="n"/>
      <c r="D21" s="40" t="n"/>
      <c r="E21" s="41"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262.8806</v>
      </c>
      <c r="C25" s="19" t="n">
        <v>57.21</v>
      </c>
      <c r="D25" s="11" t="inlineStr">
        <is>
          <t>Dosel continuo, matorral denso o mosaico agroforestal</t>
        </is>
      </c>
      <c r="E25" s="11" t="inlineStr"/>
    </row>
    <row r="26">
      <c r="A26" s="14" t="inlineStr">
        <is>
          <t>Vegetación mediana</t>
        </is>
      </c>
      <c r="B26" s="20" t="n">
        <v>189.5765</v>
      </c>
      <c r="C26" s="21" t="n">
        <v>41.25</v>
      </c>
      <c r="D26" s="15" t="inlineStr">
        <is>
          <t>Pastizal cultivado, matorral ralo, parcelas agrícolas</t>
        </is>
      </c>
      <c r="E26" s="15" t="inlineStr"/>
    </row>
    <row r="27">
      <c r="A27" s="7" t="inlineStr">
        <is>
          <t>Vegetación ligera</t>
        </is>
      </c>
      <c r="B27" s="18" t="n">
        <v>7.0266</v>
      </c>
      <c r="C27" s="19" t="n">
        <v>1.53</v>
      </c>
      <c r="D27" s="11" t="inlineStr">
        <is>
          <t>Cobertura discontinua, suelo parcialmente expuesto</t>
        </is>
      </c>
      <c r="E27" s="11" t="inlineStr"/>
    </row>
    <row r="28">
      <c r="A28" s="14" t="inlineStr">
        <is>
          <t>Tierra desnuda</t>
        </is>
      </c>
      <c r="B28" s="20" t="n">
        <v>0.0486</v>
      </c>
      <c r="C28" s="21" t="n">
        <v>0.01</v>
      </c>
      <c r="D28" s="15" t="inlineStr">
        <is>
          <t>Suelo desnudo, afloramientos, plataformas y taludes</t>
        </is>
      </c>
      <c r="E28" s="15" t="inlineStr"/>
    </row>
    <row r="29">
      <c r="A29" s="16" t="inlineStr">
        <is>
          <t>TOTAL CLASIFICADO</t>
        </is>
      </c>
      <c r="B29" s="22">
        <f>SUM(B25:B28)</f>
        <v>459.5323</v>
      </c>
      <c r="C29" s="23">
        <f>SUM(C25:C28)</f>
        <v>100.0</v>
      </c>
      <c r="D29" s="17" t="inlineStr"/>
      <c r="E29" s="17" t="inlineStr"/>
    </row>
    <row r="30">
      <c r="A30" s="24" t="inlineStr">
        <is>
          <t>Superficie de catálogo (V5/V6)</t>
        </is>
      </c>
      <c r="B30" s="25" t="n">
        <v>459.29</v>
      </c>
      <c r="C30" s="25" t="inlineStr">
        <is>
          <t>—</t>
        </is>
      </c>
      <c r="D30" s="25" t="inlineStr">
        <is>
          <t>Desviación planimétrica frente al catálogo</t>
        </is>
      </c>
      <c r="E30" s="25" t="inlineStr">
        <is>
          <t>+0.05 %</t>
        </is>
      </c>
    </row>
    <row r="31"/>
    <row r="32" ht="72"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2" s="40" t="n"/>
      <c r="C32" s="40" t="n"/>
      <c r="D32" s="40" t="n"/>
      <c r="E32" s="41"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3</t>
        </is>
      </c>
    </row>
    <row r="6" ht="24" customHeight="1">
      <c r="A6" s="4" t="inlineStr">
        <is>
          <t>Levantamiento del 2026-06-26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605299</v>
      </c>
      <c r="D10" s="26" t="n">
        <v>9458681</v>
      </c>
      <c r="E10" s="11" t="n">
        <v>1531.7</v>
      </c>
      <c r="F10" s="11" t="inlineStr"/>
      <c r="G10" s="11" t="inlineStr">
        <is>
          <t>Coordenada consignada en F-DT-01</t>
        </is>
      </c>
    </row>
    <row r="11">
      <c r="A11" s="14" t="inlineStr">
        <is>
          <t>C-01</t>
        </is>
      </c>
      <c r="B11" s="15" t="inlineStr">
        <is>
          <t>Rasgo erosivo — Cárcava incipiente (30-50 cm)</t>
        </is>
      </c>
      <c r="C11" s="27" t="n">
        <v>607136</v>
      </c>
      <c r="D11" s="27" t="n">
        <v>9459234</v>
      </c>
      <c r="E11" s="15" t="n">
        <v>829.2</v>
      </c>
      <c r="F11" s="15" t="inlineStr">
        <is>
          <t>Activa</t>
        </is>
      </c>
      <c r="G11" s="15" t="inlineStr">
        <is>
          <t>Caminos / huellas de ganado</t>
        </is>
      </c>
    </row>
    <row r="12">
      <c r="A12" s="7" t="inlineStr">
        <is>
          <t>C-02</t>
        </is>
      </c>
      <c r="B12" s="11" t="inlineStr">
        <is>
          <t>Rasgo erosivo — Surco (&lt;30 cm)</t>
        </is>
      </c>
      <c r="C12" s="26" t="n">
        <v>607148</v>
      </c>
      <c r="D12" s="26" t="n">
        <v>9459234</v>
      </c>
      <c r="E12" s="11" t="n">
        <v>833.9</v>
      </c>
      <c r="F12" s="11" t="inlineStr">
        <is>
          <t>Activa</t>
        </is>
      </c>
      <c r="G12" s="11" t="inlineStr">
        <is>
          <t>Caminos / huellas de ganado</t>
        </is>
      </c>
    </row>
    <row r="13">
      <c r="A13" s="14" t="inlineStr">
        <is>
          <t>H-01</t>
        </is>
      </c>
      <c r="B13" s="15" t="inlineStr">
        <is>
          <t>Fuente de agua — Quebrada estacional</t>
        </is>
      </c>
      <c r="C13" s="27" t="n">
        <v>606000</v>
      </c>
      <c r="D13" s="27" t="n">
        <v>9459000</v>
      </c>
      <c r="E13" s="15" t="n">
        <v>973.6</v>
      </c>
      <c r="F13" s="15" t="inlineStr">
        <is>
          <t>Estacional (lluvias)</t>
        </is>
      </c>
      <c r="G13" s="15" t="inlineStr">
        <is>
          <t>Quebrada tributaria</t>
        </is>
      </c>
    </row>
    <row r="14">
      <c r="A14" s="16" t="inlineStr">
        <is>
          <t>TOTAL: 4 puntos</t>
        </is>
      </c>
      <c r="B14" s="17" t="inlineStr"/>
      <c r="C14" s="17" t="inlineStr"/>
      <c r="D14" s="17" t="inlineStr"/>
      <c r="E14" s="17" t="inlineStr"/>
      <c r="F14" s="17" t="inlineStr"/>
      <c r="G14" s="17" t="inlineStr"/>
    </row>
    <row r="15"/>
    <row r="16">
      <c r="A16" s="6" t="inlineStr">
        <is>
          <t>Centroide del bloque — UTM ESTE (m)</t>
        </is>
      </c>
      <c r="B16" s="7" t="n">
        <v>606816</v>
      </c>
      <c r="C16" s="6" t="inlineStr">
        <is>
          <t>Centroide del bloque — UTM NORTE (m)</t>
        </is>
      </c>
      <c r="D16" s="7" t="n">
        <v>9458469</v>
      </c>
      <c r="E16" s="8" t="n"/>
      <c r="F16" s="8" t="n"/>
      <c r="G16" s="8" t="n"/>
      <c r="H16" s="8" t="n"/>
    </row>
    <row r="17">
      <c r="A17" s="6" t="inlineStr">
        <is>
          <t>N.° de estaciones fotográficas declaradas</t>
        </is>
      </c>
      <c r="B17" s="7" t="n">
        <v>15</v>
      </c>
      <c r="C17" s="6" t="inlineStr">
        <is>
          <t>Estaciones dentro del polígono</t>
        </is>
      </c>
      <c r="D17" s="7" t="inlineStr">
        <is>
          <t>Por determinar</t>
        </is>
      </c>
      <c r="E17" s="8" t="n"/>
      <c r="F17" s="8" t="n"/>
      <c r="G17" s="8" t="n"/>
      <c r="H17" s="8" t="n"/>
    </row>
    <row r="18"/>
    <row r="19" ht="108" customHeight="1">
      <c r="A19"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Rango altitudinal observado 1328-1803 msnm (perfil Google Earth, 1.47 km; pendiente media 31.9%, máx 46.4%). La app fotográfica no registró altitud GPS. Un registro presentó coordenada anómala (17M 539535 9428686), descartada. Escarpes/erosión localizados en taludes de camino y sendas de ganado, no en superficie natural.</t>
        </is>
      </c>
      <c r="B19" s="40" t="n"/>
      <c r="C19" s="40" t="n"/>
      <c r="D19" s="40" t="n"/>
      <c r="E19" s="40" t="n"/>
      <c r="F19" s="40" t="n"/>
      <c r="G19" s="41" t="n"/>
    </row>
  </sheetData>
  <mergeCells count="8">
    <mergeCell ref="A1:G1"/>
    <mergeCell ref="A8:G8"/>
    <mergeCell ref="A3:G3"/>
    <mergeCell ref="A6:G6"/>
    <mergeCell ref="A4:G4"/>
    <mergeCell ref="A2:G2"/>
    <mergeCell ref="A19:G19"/>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C1096-Q9545 — BLOQUE 3</t>
        </is>
      </c>
    </row>
    <row r="6" ht="24" customHeight="1">
      <c r="A6" s="4" t="inlineStr">
        <is>
          <t>Distrito de Frias · Provincia de Ayabaca · Comparación de los bloques preliminares de intervención de la misma microcuenca</t>
        </is>
      </c>
    </row>
    <row r="7"/>
    <row r="8" ht="18" customHeight="1">
      <c r="A8" s="5" t="inlineStr">
        <is>
          <t>BLOQUES DE LA MICROCUENCA C1096-Q9545</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2" t="inlineStr">
        <is>
          <t>► 3</t>
        </is>
      </c>
      <c r="B10" s="28" t="n">
        <v>459.29</v>
      </c>
      <c r="C10" s="29" t="n">
        <v>56.38</v>
      </c>
      <c r="D10" s="13" t="inlineStr">
        <is>
          <t>951 – 2173</t>
        </is>
      </c>
      <c r="E10" s="13" t="n">
        <v>1222</v>
      </c>
      <c r="F10" s="13" t="n">
        <v>29.52</v>
      </c>
      <c r="G10" s="30" t="n">
        <v>0.5677</v>
      </c>
      <c r="H10" s="29" t="n">
        <v>57.21</v>
      </c>
      <c r="I10" s="29" t="n">
        <v>29.06</v>
      </c>
    </row>
    <row r="11">
      <c r="A11" s="14" t="inlineStr">
        <is>
          <t>M9B1</t>
        </is>
      </c>
      <c r="B11" s="31" t="n">
        <v>355.36</v>
      </c>
      <c r="C11" s="21" t="n">
        <v>43.62</v>
      </c>
      <c r="D11" s="15" t="inlineStr">
        <is>
          <t>147 – 265</t>
        </is>
      </c>
      <c r="E11" s="15" t="n">
        <v>118</v>
      </c>
      <c r="F11" s="15" t="n">
        <v>10.17</v>
      </c>
      <c r="G11" s="20" t="n">
        <v>0.3143</v>
      </c>
      <c r="H11" s="21" t="n">
        <v>0.15</v>
      </c>
      <c r="I11" s="21" t="n">
        <v>99.33</v>
      </c>
    </row>
    <row r="12">
      <c r="A12" s="16" t="inlineStr">
        <is>
          <t>TOTAL / PROMEDIO</t>
        </is>
      </c>
      <c r="B12" s="32">
        <f>SUM(B10:B11)</f>
        <v>814.65</v>
      </c>
      <c r="C12" s="23">
        <f>SUM(C10:C11)</f>
        <v>100.0</v>
      </c>
      <c r="D12" s="17" t="inlineStr">
        <is>
          <t>147 – 2173</t>
        </is>
      </c>
      <c r="E12" s="17" t="inlineStr"/>
      <c r="F12" s="17">
        <f>ROUND(AVERAGE(F10:F11),2)</f>
        <v>19.84</v>
      </c>
      <c r="G12" s="22">
        <f>ROUND(AVERAGE(G10:G11),4)</f>
        <v>0.441</v>
      </c>
      <c r="H12" s="23">
        <f>ROUND(AVERAGE(H10:H11),2)</f>
        <v>28.68</v>
      </c>
      <c r="I12" s="23">
        <f>ROUND(AVERAGE(I10:I11),2)</f>
        <v>64.19</v>
      </c>
    </row>
    <row r="13"/>
    <row r="14" ht="84" customHeight="1">
      <c r="A14" s="9" t="inlineStr">
        <is>
          <t>LECTURA INTRAMICROCUENCA. El bloque 3 ocupa el puesto 1 de 2 por superficie dentro de la microcuenca C1096-Q9545 (56.38 % de las 814.65 ha preliminares de la microcuenca). Su pendiente promedio (29.52 %, clase «25-50% (Mod. escarpado)») es la 2.ª más baja de 2 y se sitúa por encima del promedio de la microcuenca (19.84 %). Su MSAVI 2024 (0.5677) es el 1.º de 2 y queda por encima del promedio local (0.4410). Amplitud altitudinal del bloque: 1222 m (951–2173 msnm). El cuadro conserva todos los bloques catalogados en la microcuenca, incluidos los descartados en el tamizaje, para referencia del conjunto. Los bloques sin ficha DT figuran con sus parámetros de gabinete. BRECHA ESPECTRAL. El 29.06 % de la superficie del bloque (133.481 ha de 459.295 ha) se sitúa bajo el umbral MSAVI 0.4976, por debajo del promedio local de la microcuenca (64.20 %) calculado sobre los bloques con dato MSAVI disponible.</t>
        </is>
      </c>
      <c r="B14" s="40" t="n"/>
      <c r="C14" s="40" t="n"/>
      <c r="D14" s="40" t="n"/>
      <c r="E14" s="40" t="n"/>
      <c r="F14" s="40" t="n"/>
      <c r="G14" s="40" t="n"/>
      <c r="H14" s="41" t="n"/>
    </row>
    <row r="15"/>
    <row r="16" ht="60" customHeight="1">
      <c r="A1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6" s="40" t="n"/>
      <c r="C16" s="40" t="n"/>
      <c r="D16" s="40" t="n"/>
      <c r="E16" s="40" t="n"/>
      <c r="F16" s="40" t="n"/>
      <c r="G16" s="40" t="n"/>
      <c r="H16" s="41" t="n"/>
    </row>
  </sheetData>
  <mergeCells count="9">
    <mergeCell ref="A1:I1"/>
    <mergeCell ref="A4:I4"/>
    <mergeCell ref="A3:I3"/>
    <mergeCell ref="A2:I2"/>
    <mergeCell ref="A16:I16"/>
    <mergeCell ref="A14:I14"/>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4"/>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3</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Ficha DT y catálogo maestro coinciden en «C1096-Q9545»</t>
        </is>
      </c>
      <c r="D10" s="34" t="inlineStr">
        <is>
          <t>CONFORME</t>
        </is>
      </c>
      <c r="E10" s="33" t="inlineStr">
        <is>
          <t>Sin acción.</t>
        </is>
      </c>
    </row>
    <row r="11" ht="48" customHeight="1">
      <c r="A11" s="35" t="inlineStr">
        <is>
          <t>D-02</t>
        </is>
      </c>
      <c r="B11" s="35" t="inlineStr">
        <is>
          <t>UTM del punto de muestreo</t>
        </is>
      </c>
      <c r="C11" s="35" t="inlineStr">
        <is>
          <t>El punto de muestreo declarado (605299 E / 9458681 N) dista 1,532 m del centroide de catálogo (606816 E / 9458469 N), distancia incompatible con la superficie del bloque (459.29 ha)</t>
        </is>
      </c>
      <c r="D11" s="36" t="inlineStr">
        <is>
          <t>SUSTANTIVA</t>
        </is>
      </c>
      <c r="E11" s="35" t="inlineStr">
        <is>
          <t>Se declara la coordenada como POR VERIFICAR: puede corresponder a otro bloque o a un error de digitación. No se corrige de oficio.</t>
        </is>
      </c>
    </row>
    <row r="12" ht="48" customHeight="1">
      <c r="A12" s="33" t="inlineStr">
        <is>
          <t>D-03</t>
        </is>
      </c>
      <c r="B12" s="33" t="inlineStr">
        <is>
          <t>Superficie del polígono</t>
        </is>
      </c>
      <c r="C12" s="33" t="inlineStr">
        <is>
          <t>La superficie clasificada por el NDVI 2025 (459.532 ha) coincide con la de catálogo (459.29 ha) dentro del ±2 % (+0.05 %)</t>
        </is>
      </c>
      <c r="D12" s="34" t="inlineStr">
        <is>
          <t>CONFORME</t>
        </is>
      </c>
      <c r="E12" s="33" t="inlineStr">
        <is>
          <t>Sin acción: la segmentación valida la geometría del bloque.</t>
        </is>
      </c>
    </row>
    <row r="13" ht="48" customHeight="1">
      <c r="A13" s="35" t="inlineStr">
        <is>
          <t>D-04</t>
        </is>
      </c>
      <c r="B13" s="35" t="inlineStr">
        <is>
          <t>Altitud GPS del punto de muestreo</t>
        </is>
      </c>
      <c r="C13" s="35" t="inlineStr">
        <is>
          <t>La aplicación de captura no registró altitud GPS en campo</t>
        </is>
      </c>
      <c r="D13" s="13" t="inlineStr">
        <is>
          <t>NO SUSTANTIVA</t>
        </is>
      </c>
      <c r="E13" s="35" t="inlineStr">
        <is>
          <t>El rango altitudinal del bloque (951–2173 msnm) y la pendiente promedio (29.52 %) se toman de la estadística zonal sobre el MDE, no de medición de campo. Se declara la fuente.</t>
        </is>
      </c>
    </row>
    <row r="14" ht="48" customHeight="1">
      <c r="A14" s="33" t="inlineStr">
        <is>
          <t>D-05</t>
        </is>
      </c>
      <c r="B14" s="33" t="inlineStr">
        <is>
          <t>Dimensiones del inventario de cárcavas</t>
        </is>
      </c>
      <c r="C14" s="33" t="inlineStr">
        <is>
          <t>Se registran 2 rasgos erosivos, pero longitud, profundidad y ancho no fueron medidos instrumentalmente</t>
        </is>
      </c>
      <c r="D14" s="13" t="inlineStr">
        <is>
          <t>NO SUSTANTIVA</t>
        </is>
      </c>
      <c r="E14" s="33" t="inlineStr">
        <is>
          <t>El conteo registrado no debe usarse para calcular densidad de cárcavas por hectárea. Pendiente de levantamiento con GPS submétrico.</t>
        </is>
      </c>
    </row>
    <row r="15" ht="48" customHeight="1">
      <c r="A15" s="35" t="inlineStr">
        <is>
          <t>D-06</t>
        </is>
      </c>
      <c r="B15" s="35" t="inlineStr">
        <is>
          <t>Elenco florístico</t>
        </is>
      </c>
      <c r="C15" s="35" t="inlineStr">
        <is>
          <t>La ficha registra 11 taxones, por debajo del mínimo de 15 que exige el formato V5</t>
        </is>
      </c>
      <c r="D15" s="36" t="inlineStr">
        <is>
          <t>SUSTANTIVA</t>
        </is>
      </c>
      <c r="E15" s="35" t="inlineStr">
        <is>
          <t>Registro florístico preliminar, sin colecta ni determinación botánica formal. Debe cerrarse con colecta botánica en la siguiente campaña.</t>
        </is>
      </c>
    </row>
    <row r="16" ht="48" customHeight="1">
      <c r="A16" s="33" t="inlineStr">
        <is>
          <t>D-07</t>
        </is>
      </c>
      <c r="B16" s="33" t="inlineStr">
        <is>
          <t>Centro poblado asociado</t>
        </is>
      </c>
      <c r="C16" s="33" t="inlineStr">
        <is>
          <t>La ficha DT declara «Huayabal»; el cruce INEI-Bloques V5 identifica 5 centro(s) poblado(s) en el bloque: EL MIRADOR, HUASIPE DE GERALDO, HUAYABAL, LOS CHECCHES, RINCON DE GERALDO</t>
        </is>
      </c>
      <c r="D16" s="34" t="inlineStr">
        <is>
          <t>CONFORME</t>
        </is>
      </c>
      <c r="E16" s="33" t="inlineStr">
        <is>
          <t>Se conserva el registro de campo como referencia y se adopta el listado INEI para el diagnóstico social y el cálculo de población beneficiaria.</t>
        </is>
      </c>
    </row>
    <row r="17" ht="48" customHeight="1">
      <c r="A17" s="35" t="inlineStr">
        <is>
          <t>D-08</t>
        </is>
      </c>
      <c r="B17" s="35" t="inlineStr">
        <is>
          <t>Peligro integrado (MCA-AHP)</t>
        </is>
      </c>
      <c r="C17" s="35" t="inlineStr">
        <is>
          <t>El nivel de peligro integrado no está disponible en los insumos de este entregable</t>
        </is>
      </c>
      <c r="D17" s="36" t="inlineStr">
        <is>
          <t>SUSTANTIVA</t>
        </is>
      </c>
      <c r="E17" s="35" t="inlineStr">
        <is>
          <t>Debe tomarse del modelamiento de mesolocalización (PMM + EPH + PGI ponderados por AHP) antes de fijar la prioridad definitiva de intervención del bloque.</t>
        </is>
      </c>
    </row>
    <row r="18" ht="48" customHeight="1">
      <c r="A18" s="35" t="inlineStr">
        <is>
          <t>D-09</t>
        </is>
      </c>
      <c r="B18" s="35" t="inlineStr">
        <is>
          <t>Distribución areal MSAVI 2024</t>
        </is>
      </c>
      <c r="C18" s="35" t="inlineStr">
        <is>
          <t>La distribución por clase de MSAVI no figuraba en los insumos del entregable y se consignaba «Por determinar»; se incorpora la estadística zonal del ráster MSAVI clasificado (1 561 polígonos, 459.295 ha)</t>
        </is>
      </c>
      <c r="D18" s="36" t="inlineStr">
        <is>
          <t>CORREGIDO</t>
        </is>
      </c>
      <c r="E18" s="35"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19" ht="48" customHeight="1">
      <c r="A19" s="35" t="inlineStr">
        <is>
          <t>D-10</t>
        </is>
      </c>
      <c r="B19" s="35" t="inlineStr">
        <is>
          <t>Superficie MSAVI vs. catálogo</t>
        </is>
      </c>
      <c r="C19" s="35" t="inlineStr">
        <is>
          <t>La superficie total clasificada por el MSAVI 2024 (459.295 ha) frente a la de catálogo V5/V6 (459.290 ha): desviación de +0.00 %</t>
        </is>
      </c>
      <c r="D19" s="36" t="inlineStr">
        <is>
          <t>CONFORME</t>
        </is>
      </c>
      <c r="E19" s="35" t="inlineStr">
        <is>
          <t>Sin acción: la segmentación del ráster valida la geometría del bloque dentro del ±2 %.</t>
        </is>
      </c>
    </row>
    <row r="20" ht="48" customHeight="1">
      <c r="A20" s="35" t="inlineStr">
        <is>
          <t>D-11</t>
        </is>
      </c>
      <c r="B20" s="35" t="inlineStr">
        <is>
          <t>Media MSAVI vs. clase DN dominante</t>
        </is>
      </c>
      <c r="C20" s="35" t="inlineStr">
        <is>
          <t>La media del bloque (0.5677) cae en la clase «DN 4 · 0.4976 - 0.6139 (Vigor moderado)»; la clase de mayor superficie es «DN 4 · 0.4976 - 0.6139 (Vigor moderado)», con 38.09 % del bloque. Superficie bajo el umbral 0.4976: 133.481 ha (29.06 %)</t>
        </is>
      </c>
      <c r="D20" s="36" t="inlineStr">
        <is>
          <t>CONFORME</t>
        </is>
      </c>
      <c r="E20" s="35" t="inlineStr">
        <is>
          <t>Sin acción: la media del bloque y la clase de mayor superficie coinciden.</t>
        </is>
      </c>
    </row>
    <row r="21"/>
    <row r="22">
      <c r="A22" s="16" t="inlineStr">
        <is>
          <t>RESUMEN</t>
        </is>
      </c>
      <c r="B22" s="17" t="inlineStr">
        <is>
          <t>11 verificaciones</t>
        </is>
      </c>
      <c r="C22" s="17" t="inlineStr">
        <is>
          <t>CONFORME: 5 · CORREGIDO: 1 · NO SUSTANTIVA: 2 · SUSTANTIVA: 3</t>
        </is>
      </c>
      <c r="D22" s="17" t="inlineStr"/>
      <c r="E22" s="17" t="inlineStr"/>
    </row>
    <row r="23"/>
    <row r="24" ht="60" customHeight="1">
      <c r="A24"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4" s="40" t="n"/>
      <c r="C24" s="40" t="n"/>
      <c r="D24" s="40" t="n"/>
      <c r="E24" s="41" t="n"/>
    </row>
  </sheetData>
  <mergeCells count="8">
    <mergeCell ref="A4:E4"/>
    <mergeCell ref="A24:E24"/>
    <mergeCell ref="A2:E2"/>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3 — IN Piura</dc:title>
  <dc:subject>Diagnóstico Territorial por bloque de intervención</dc:subject>
  <dcterms:created xsi:type="dcterms:W3CDTF">2026-09-08T03:39:53Z</dcterms:created>
  <dcterms:modified xsi:type="dcterms:W3CDTF">2026-09-10T00:28:27Z</dcterms:modified>
</cp:coreProperties>
</file>