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5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15</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15</t>
        </is>
      </c>
      <c r="C9" s="6" t="inlineStr">
        <is>
          <t>Microcuenca (catálogo)</t>
        </is>
      </c>
      <c r="D9" s="7" t="inlineStr">
        <is>
          <t>C1086-Q9570</t>
        </is>
      </c>
      <c r="E9" s="8" t="n"/>
      <c r="F9" s="8" t="n"/>
    </row>
    <row r="10">
      <c r="A10" s="6" t="inlineStr">
        <is>
          <t>Zona de planificación</t>
        </is>
      </c>
      <c r="B10" s="7" t="inlineStr">
        <is>
          <t>Z03</t>
        </is>
      </c>
      <c r="C10" s="6" t="inlineStr">
        <is>
          <t>Microcuenca declarada en ficha DT</t>
        </is>
      </c>
      <c r="D10" s="7" t="inlineStr">
        <is>
          <t>C1086-Q9570</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Santo Domingo</t>
        </is>
      </c>
      <c r="C12" s="6" t="inlineStr">
        <is>
          <t>Capital distrital</t>
        </is>
      </c>
      <c r="D12" s="7" t="inlineStr">
        <is>
          <t>Santo Domingo</t>
        </is>
      </c>
      <c r="E12" s="8" t="n"/>
      <c r="F12" s="8" t="n"/>
    </row>
    <row r="13">
      <c r="A13" s="6" t="inlineStr">
        <is>
          <t>Centro poblado asociado</t>
        </is>
      </c>
      <c r="B13" s="7" t="inlineStr">
        <is>
          <t>Jacanacas</t>
        </is>
      </c>
      <c r="C13" s="6" t="inlineStr">
        <is>
          <t>Comunidad campesina</t>
        </is>
      </c>
      <c r="D13" s="7" t="inlineStr">
        <is>
          <t>Por verificar</t>
        </is>
      </c>
      <c r="E13" s="8" t="n"/>
      <c r="F13" s="8" t="n"/>
    </row>
    <row r="14">
      <c r="A14" s="6" t="inlineStr">
        <is>
          <t>Superficie de catálogo (V5/V6), ha</t>
        </is>
      </c>
      <c r="B14" s="7" t="n">
        <v>86.15000000000001</v>
      </c>
      <c r="C14" s="6" t="inlineStr">
        <is>
          <t>Fuente de superficie</t>
        </is>
      </c>
      <c r="D14" s="7" t="inlineStr">
        <is>
          <t>Catálogo maestro Bloques V5/V6</t>
        </is>
      </c>
      <c r="E14" s="8" t="n"/>
      <c r="F14" s="8" t="n"/>
    </row>
    <row r="15">
      <c r="A15" s="6" t="inlineStr">
        <is>
          <t>Centroide UTM ESTE (m)</t>
        </is>
      </c>
      <c r="B15" s="7" t="n">
        <v>620200</v>
      </c>
      <c r="C15" s="6" t="inlineStr">
        <is>
          <t>Centroide UTM NORTE (m)</t>
        </is>
      </c>
      <c r="D15" s="7" t="n">
        <v>9437862</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1199</v>
      </c>
      <c r="C19" s="6" t="inlineStr">
        <is>
          <t>Altitud máxima (msnm)</t>
        </is>
      </c>
      <c r="D19" s="7" t="n">
        <v>1655</v>
      </c>
      <c r="E19" s="8" t="n"/>
      <c r="F19" s="8" t="n"/>
    </row>
    <row r="20">
      <c r="A20" s="6" t="inlineStr">
        <is>
          <t>Amplitud altitudinal (m)</t>
        </is>
      </c>
      <c r="B20" s="7" t="n">
        <v>456</v>
      </c>
      <c r="C20" s="6" t="inlineStr">
        <is>
          <t>Piso altitudinal dominante</t>
        </is>
      </c>
      <c r="D20" s="7" t="inlineStr">
        <is>
          <t>1000-1500 m (Quechua baja)</t>
        </is>
      </c>
      <c r="E20" s="8" t="n"/>
      <c r="F20" s="8" t="n"/>
    </row>
    <row r="21">
      <c r="A21" s="6" t="inlineStr">
        <is>
          <t>Pendiente promedio (%)</t>
        </is>
      </c>
      <c r="B21" s="7" t="n">
        <v>26.19</v>
      </c>
      <c r="C21" s="6" t="inlineStr">
        <is>
          <t>Pendiente promedio (grados)</t>
        </is>
      </c>
      <c r="D21" s="7" t="n">
        <v>14.7</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Suroeste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0.5605</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alta (56.47 %)</t>
        </is>
      </c>
      <c r="E29" s="8" t="n"/>
      <c r="F29" s="8" t="n"/>
    </row>
    <row r="30">
      <c r="A30" s="6" t="inlineStr">
        <is>
          <t>Superficie clasificada NDVI 2025 (ha)</t>
        </is>
      </c>
      <c r="B30" s="7" t="n">
        <v>86.185</v>
      </c>
      <c r="C30" s="6" t="inlineStr">
        <is>
          <t>Desviación frente al catálogo (%)</t>
        </is>
      </c>
      <c r="D30" s="7" t="n">
        <v>0.04</v>
      </c>
      <c r="E30" s="8" t="n"/>
      <c r="F30" s="8" t="n"/>
    </row>
    <row r="31">
      <c r="A31" s="6" t="inlineStr">
        <is>
          <t>Superficie clasificada MSAVI 2024 (ha)</t>
        </is>
      </c>
      <c r="B31" s="38" t="n">
        <v>86.14700000000001</v>
      </c>
      <c r="C31" s="6" t="inlineStr">
        <is>
          <t>Desviación MSAVI frente al catálogo (%)</t>
        </is>
      </c>
      <c r="D31" s="39" t="n">
        <v>0</v>
      </c>
      <c r="E31" s="8" t="n"/>
      <c r="F31" s="8" t="n"/>
    </row>
    <row r="32">
      <c r="A32" s="6" t="inlineStr">
        <is>
          <t>Superficie bajo umbral MSAVI 0.4976 (ha)</t>
        </is>
      </c>
      <c r="B32" s="38" t="n">
        <v>19.367</v>
      </c>
      <c r="C32" s="6" t="inlineStr">
        <is>
          <t>% del bloque bajo umbral (brecha espectral)</t>
        </is>
      </c>
      <c r="D32" s="39" t="n">
        <v>22.48</v>
      </c>
      <c r="E32" s="8" t="n"/>
      <c r="F32" s="8" t="n"/>
    </row>
    <row r="33">
      <c r="A33" s="6" t="inlineStr">
        <is>
          <t>Clase DN dominante (MSAVI 2024)</t>
        </is>
      </c>
      <c r="B33" s="7" t="inlineStr">
        <is>
          <t>DN 4 · 0.4976 - 0.6139 (Vigor moderado)</t>
        </is>
      </c>
      <c r="C33" s="6" t="inlineStr">
        <is>
          <t>N.° de polígonos MSAVI del bloque</t>
        </is>
      </c>
      <c r="D33" s="40" t="n">
        <v>259</v>
      </c>
      <c r="E33" s="8" t="n"/>
      <c r="F33" s="8" t="n"/>
    </row>
    <row r="34"/>
    <row r="35" ht="18" customHeight="1">
      <c r="A35" s="5" t="inlineStr">
        <is>
          <t>4. ECOSISTEMA Y ESTADO DE CONSERVACIÓN</t>
        </is>
      </c>
    </row>
    <row r="36">
      <c r="A36" s="6" t="inlineStr">
        <is>
          <t>Tipo de ecosistema (UP)</t>
        </is>
      </c>
      <c r="B36" s="7" t="inlineStr">
        <is>
          <t>Agroecosistema / Mosaico</t>
        </is>
      </c>
      <c r="C36" s="6" t="inlineStr">
        <is>
          <t>Superficie de ecosistema (ha)</t>
        </is>
      </c>
      <c r="D36" s="7" t="inlineStr">
        <is>
          <t>82.46 ha Zona agrícola + 3.68 ha Matorral andino (total 86.15 ha)</t>
        </is>
      </c>
      <c r="E36" s="8" t="n"/>
      <c r="F36" s="8" t="n"/>
    </row>
    <row r="37">
      <c r="A37" s="6" t="inlineStr">
        <is>
          <t>Estado de conservación</t>
        </is>
      </c>
      <c r="B37" s="7" t="inlineStr">
        <is>
          <t>Alterado (intervención marcada)</t>
        </is>
      </c>
      <c r="C37" s="6" t="inlineStr">
        <is>
          <t>Uso actual dominante del suelo</t>
        </is>
      </c>
      <c r="D37" s="7" t="inlineStr">
        <is>
          <t>Uso mixto</t>
        </is>
      </c>
      <c r="E37" s="8" t="n"/>
      <c r="F37" s="8" t="n"/>
    </row>
    <row r="38">
      <c r="A38" s="6" t="inlineStr">
        <is>
          <t>Tipo de cobertura dominante</t>
        </is>
      </c>
      <c r="B38" s="7" t="inlineStr">
        <is>
          <t>Mixto / Mosaico</t>
        </is>
      </c>
      <c r="C38" s="6" t="inlineStr">
        <is>
          <t>Cobertura vegetal total — campo (%)</t>
        </is>
      </c>
      <c r="D38" s="7" t="n">
        <v>80</v>
      </c>
      <c r="E38" s="8" t="n"/>
      <c r="F38" s="8" t="n"/>
    </row>
    <row r="39">
      <c r="A39" s="6" t="inlineStr">
        <is>
          <t>Suelo desnudo — campo (%)</t>
        </is>
      </c>
      <c r="B39" s="7" t="n">
        <v>10</v>
      </c>
      <c r="C39" s="6" t="inlineStr">
        <is>
          <t>Regeneración natural</t>
        </is>
      </c>
      <c r="D39" s="7" t="inlineStr">
        <is>
          <t>Escasa (&lt;10 pl./100m²)</t>
        </is>
      </c>
      <c r="E39" s="8" t="n"/>
      <c r="F39" s="8" t="n"/>
    </row>
    <row r="40">
      <c r="A40" s="6" t="inlineStr">
        <is>
          <t>Nivel general de erosión</t>
        </is>
      </c>
      <c r="B40" s="7" t="inlineStr">
        <is>
          <t>Ligera (laminar)</t>
        </is>
      </c>
      <c r="C40" s="6" t="inlineStr">
        <is>
          <t>N.° de cárcavas registradas</t>
        </is>
      </c>
      <c r="D40" s="7" t="n">
        <v>0</v>
      </c>
      <c r="E40" s="8" t="n"/>
      <c r="F40" s="8" t="n"/>
    </row>
    <row r="41">
      <c r="A41" s="6" t="inlineStr">
        <is>
          <t>Elenco florístico (n.° de taxones)</t>
        </is>
      </c>
      <c r="B41" s="7" t="n">
        <v>15</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Héctor S. Cahuas Miller (ANIN-DIME-SESDI)</t>
        </is>
      </c>
      <c r="C44" s="6" t="inlineStr">
        <is>
          <t>Fecha de evaluación</t>
        </is>
      </c>
      <c r="D44" s="7" t="inlineStr">
        <is>
          <t>2026-06-11</t>
        </is>
      </c>
      <c r="E44" s="8" t="n"/>
      <c r="F44" s="8" t="n"/>
    </row>
    <row r="45">
      <c r="A45" s="6" t="inlineStr">
        <is>
          <t>Hora de registro</t>
        </is>
      </c>
      <c r="B45" s="7" t="inlineStr">
        <is>
          <t>13:12-13:29 h</t>
        </is>
      </c>
      <c r="C45" s="6" t="inlineStr">
        <is>
          <t>Correlativo de ficha</t>
        </is>
      </c>
      <c r="D45" s="7" t="inlineStr">
        <is>
          <t>F-DT-01-B15</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Recorrido / observación cualitativa (sin parcela cuantitativa)</t>
        </is>
      </c>
      <c r="E47" s="8" t="n"/>
      <c r="F47" s="8" t="n"/>
    </row>
    <row r="48">
      <c r="A48" s="6" t="inlineStr">
        <is>
          <t>Estaciones fotográficas georreferenciadas</t>
        </is>
      </c>
      <c r="B48" s="7" t="inlineStr">
        <is>
          <t>Sin registro en la ficha DT</t>
        </is>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7" t="inlineStr">
        <is>
          <t>Expansión de la frontera agropecuaria de subsistencia familiar</t>
        </is>
      </c>
      <c r="C51" s="6" t="inlineStr">
        <is>
          <t>Velocidad de degradación</t>
        </is>
      </c>
      <c r="D51" s="7" t="inlineStr">
        <is>
          <t>Lenta</t>
        </is>
      </c>
      <c r="E51" s="8" t="n"/>
      <c r="F51" s="8" t="n"/>
    </row>
    <row r="52">
      <c r="A52" s="6" t="inlineStr">
        <is>
          <t>Reversibilidad técnica</t>
        </is>
      </c>
      <c r="B52" s="7" t="inlineStr">
        <is>
          <t>Parcialmente reversible</t>
        </is>
      </c>
      <c r="C52" s="6" t="inlineStr">
        <is>
          <t>Urgencia de intervención</t>
        </is>
      </c>
      <c r="D52" s="7" t="inlineStr">
        <is>
          <t>Media</t>
        </is>
      </c>
      <c r="E52" s="8" t="n"/>
      <c r="F52" s="8" t="n"/>
    </row>
    <row r="53">
      <c r="A53" s="6" t="inlineStr">
        <is>
          <t>Urgencia de control de erosión</t>
        </is>
      </c>
      <c r="B53" s="7" t="inlineStr">
        <is>
          <t>Baja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15</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22.6542</v>
      </c>
      <c r="C10" s="19">
        <f>ROUND(B10/$B$15*100,2)</f>
        <v/>
      </c>
      <c r="D10" s="11" t="inlineStr">
        <is>
          <t>Vigor alto</t>
        </is>
      </c>
      <c r="E10" s="11" t="inlineStr">
        <is>
          <t>Sobre umbral</t>
        </is>
      </c>
    </row>
    <row r="11">
      <c r="A11" s="12" t="inlineStr">
        <is>
          <t>0.4976 - 0.6139 · DN 4</t>
        </is>
      </c>
      <c r="B11" s="32" t="n">
        <v>44.1256</v>
      </c>
      <c r="C11" s="31">
        <f>ROUND(B11/$B$15*100,2)</f>
        <v/>
      </c>
      <c r="D11" s="13" t="inlineStr">
        <is>
          <t>Vigor moderado</t>
        </is>
      </c>
      <c r="E11" s="13" t="inlineStr">
        <is>
          <t>Sobre umbral</t>
        </is>
      </c>
    </row>
    <row r="12">
      <c r="A12" s="7" t="inlineStr">
        <is>
          <t>0.3813 - 0.4976 · DN 3</t>
        </is>
      </c>
      <c r="B12" s="18" t="n">
        <v>18.9986</v>
      </c>
      <c r="C12" s="19">
        <f>ROUND(B12/$B$15*100,2)</f>
        <v/>
      </c>
      <c r="D12" s="11" t="inlineStr">
        <is>
          <t>Vigor bajo</t>
        </is>
      </c>
      <c r="E12" s="11" t="inlineStr">
        <is>
          <t>BAJO umbral 0.4976</t>
        </is>
      </c>
    </row>
    <row r="13">
      <c r="A13" s="14" t="inlineStr">
        <is>
          <t>0.2650 - 0.3813 · DN 2</t>
        </is>
      </c>
      <c r="B13" s="20" t="n">
        <v>0.3688</v>
      </c>
      <c r="C13" s="21">
        <f>ROUND(B13/$B$15*100,2)</f>
        <v/>
      </c>
      <c r="D13" s="15" t="inlineStr">
        <is>
          <t>Vigor muy bajo</t>
        </is>
      </c>
      <c r="E13" s="15" t="inlineStr">
        <is>
          <t>BAJO umbral 0.4976</t>
        </is>
      </c>
    </row>
    <row r="14">
      <c r="A14" s="7" t="inlineStr">
        <is>
          <t>&lt;= 0.2650 · DN 1</t>
        </is>
      </c>
      <c r="B14" s="18" t="n">
        <v>0</v>
      </c>
      <c r="C14" s="19">
        <f>ROUND(B14/$B$15*100,2)</f>
        <v/>
      </c>
      <c r="D14" s="11" t="inlineStr">
        <is>
          <t>Suelo desnudo / no vegetal</t>
        </is>
      </c>
      <c r="E14" s="11" t="inlineStr">
        <is>
          <t>BAJO umbral 0.4976</t>
        </is>
      </c>
    </row>
    <row r="15" ht="30" customHeight="1">
      <c r="A15" s="43" t="inlineStr">
        <is>
          <t>TOTAL CLASIFICADO MSAVI 2024</t>
        </is>
      </c>
      <c r="B15" s="44">
        <f>SUM(B10:B14)</f>
        <v/>
      </c>
      <c r="C15" s="45">
        <f>SUM(C10:C14)</f>
        <v/>
      </c>
      <c r="D15" s="43" t="inlineStr">
        <is>
          <t>Suma de la distribución areal · 259 polígonos</t>
        </is>
      </c>
      <c r="E15" s="43" t="inlineStr">
        <is>
          <t>—</t>
        </is>
      </c>
    </row>
    <row r="16" ht="30" customHeight="1">
      <c r="A16" s="46" t="inlineStr">
        <is>
          <t>Superficie SOBRE umbral 0.4976 (ha)</t>
        </is>
      </c>
      <c r="B16" s="47">
        <f>SUM(B10:B11)</f>
        <v/>
      </c>
      <c r="C16" s="48">
        <f>ROUND(B16/B15*100,2)</f>
        <v/>
      </c>
      <c r="D16" s="46" t="inlineStr">
        <is>
          <t>Vigor alto y moderado (DN 4 y DN 5)</t>
        </is>
      </c>
      <c r="E16" s="46" t="inlineStr">
        <is>
          <t>Sobre umbral 0.4976</t>
        </is>
      </c>
    </row>
    <row r="17" ht="30" customHeight="1">
      <c r="A17" s="46" t="inlineStr">
        <is>
          <t>Superficie BAJO umbral 0.4976 (ha) — brecha</t>
        </is>
      </c>
      <c r="B17" s="47">
        <f>SUM(B12:B14)</f>
        <v/>
      </c>
      <c r="C17" s="48">
        <f>ROUND(B17/B15*100,2)</f>
        <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86.15000000000001</v>
      </c>
      <c r="C18" s="49" t="inlineStr">
        <is>
          <t>—</t>
        </is>
      </c>
      <c r="D18" s="46" t="inlineStr">
        <is>
          <t>Desviación planimétrica frente al catálogo</t>
        </is>
      </c>
      <c r="E18" s="46" t="inlineStr">
        <is>
          <t>+0.00 %</t>
        </is>
      </c>
    </row>
    <row r="19">
      <c r="A19" s="16" t="inlineStr">
        <is>
          <t>MSAVI 2024 — MEDIA DEL BLOQUE</t>
        </is>
      </c>
      <c r="B19" s="17" t="n">
        <v>0.560518</v>
      </c>
      <c r="C19" s="17" t="inlineStr">
        <is>
          <t>—</t>
        </is>
      </c>
      <c r="D19" s="17" t="inlineStr">
        <is>
          <t>Vigor moderado · clase 0.4976 - 0.6139</t>
        </is>
      </c>
      <c r="E19" s="17" t="inlineStr">
        <is>
          <t>Sobre umbral</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259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(0.5605) se conserva del catálogo maestro y es dato oficial; la fila resaltada indica la clase en la que cae dicha media. Los totales y porcentajes se calculan con fórmulas sobre las filas del cuadro.</t>
        </is>
      </c>
      <c r="B21" s="41" t="n"/>
      <c r="C21" s="41" t="n"/>
      <c r="D21" s="41" t="n"/>
      <c r="E21" s="42"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48.6666</v>
      </c>
      <c r="C25" s="19" t="n">
        <v>56.47</v>
      </c>
      <c r="D25" s="11" t="inlineStr">
        <is>
          <t>Dosel continuo, matorral denso o mosaico agroforestal</t>
        </is>
      </c>
      <c r="E25" s="11" t="inlineStr"/>
    </row>
    <row r="26">
      <c r="A26" s="14" t="inlineStr">
        <is>
          <t>Vegetación mediana</t>
        </is>
      </c>
      <c r="B26" s="20" t="n">
        <v>35.4756</v>
      </c>
      <c r="C26" s="21" t="n">
        <v>41.16</v>
      </c>
      <c r="D26" s="15" t="inlineStr">
        <is>
          <t>Pastizal cultivado, matorral ralo, parcelas agrícolas</t>
        </is>
      </c>
      <c r="E26" s="15" t="inlineStr"/>
    </row>
    <row r="27">
      <c r="A27" s="7" t="inlineStr">
        <is>
          <t>Vegetación ligera</t>
        </is>
      </c>
      <c r="B27" s="18" t="n">
        <v>2.0432</v>
      </c>
      <c r="C27" s="19" t="n">
        <v>2.37</v>
      </c>
      <c r="D27" s="11" t="inlineStr">
        <is>
          <t>Cobertura discontinua, suelo parcialmente expuesto</t>
        </is>
      </c>
      <c r="E27" s="11" t="inlineStr"/>
    </row>
    <row r="28">
      <c r="A28" s="16" t="inlineStr">
        <is>
          <t>TOTAL CLASIFICADO</t>
        </is>
      </c>
      <c r="B28" s="22">
        <f>SUM(B25:B27)</f>
        <v/>
      </c>
      <c r="C28" s="23">
        <f>SUM(C25:C27)</f>
        <v/>
      </c>
      <c r="D28" s="17" t="inlineStr"/>
      <c r="E28" s="17" t="inlineStr"/>
    </row>
    <row r="29">
      <c r="A29" s="24" t="inlineStr">
        <is>
          <t>Superficie de catálogo (V5/V6)</t>
        </is>
      </c>
      <c r="B29" s="25" t="n">
        <v>86.15000000000001</v>
      </c>
      <c r="C29" s="25" t="inlineStr">
        <is>
          <t>—</t>
        </is>
      </c>
      <c r="D29" s="25" t="inlineStr">
        <is>
          <t>Desviación planimétrica frente al catálogo</t>
        </is>
      </c>
      <c r="E29" s="25" t="inlineStr">
        <is>
          <t>+0.04 %</t>
        </is>
      </c>
    </row>
    <row r="30"/>
    <row r="31" ht="108" customHeight="1">
      <c r="A31"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80 % frente a un 56.47 % del polígono clasificado como «Vegetación alta» por el NDVI 2025; la observación de campo corresponde a una parcela o recorrido puntual y no es estadísticamente representativa de las 86.150 ha del bloque.</t>
        </is>
      </c>
      <c r="B31" s="41" t="n"/>
      <c r="C31" s="41" t="n"/>
      <c r="D31" s="41" t="n"/>
      <c r="E31" s="42" t="n"/>
    </row>
  </sheetData>
  <mergeCells count="10">
    <mergeCell ref="A21:E21"/>
    <mergeCell ref="A4:E4"/>
    <mergeCell ref="A2:E2"/>
    <mergeCell ref="A1:E1"/>
    <mergeCell ref="A5:E5"/>
    <mergeCell ref="A23:E23"/>
    <mergeCell ref="A8:E8"/>
    <mergeCell ref="A6:E6"/>
    <mergeCell ref="A31:E31"/>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0"/>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15</t>
        </is>
      </c>
    </row>
    <row r="6" ht="24" customHeight="1">
      <c r="A6" s="4" t="inlineStr">
        <is>
          <t>Levantamiento del 2026-06-11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620566</v>
      </c>
      <c r="D10" s="26" t="n">
        <v>9438155</v>
      </c>
      <c r="E10" s="11" t="n">
        <v>468.8</v>
      </c>
      <c r="F10" s="11" t="inlineStr"/>
      <c r="G10" s="11" t="inlineStr">
        <is>
          <t>Coordenada consignada en F-DT-01</t>
        </is>
      </c>
    </row>
    <row r="11">
      <c r="A11" s="14" t="inlineStr">
        <is>
          <t>H-01</t>
        </is>
      </c>
      <c r="B11" s="15" t="inlineStr">
        <is>
          <t>Fuente de agua — Reservorio / Represa</t>
        </is>
      </c>
      <c r="C11" s="27" t="n">
        <v>620607</v>
      </c>
      <c r="D11" s="27" t="n">
        <v>9438226</v>
      </c>
      <c r="E11" s="15" t="n">
        <v>546</v>
      </c>
      <c r="F11" s="15" t="inlineStr">
        <is>
          <t>Permanente</t>
        </is>
      </c>
      <c r="G11" s="15" t="inlineStr">
        <is>
          <t>Tanque de almacenamiento</t>
        </is>
      </c>
    </row>
    <row r="12">
      <c r="A12" s="7" t="inlineStr">
        <is>
          <t>B-01</t>
        </is>
      </c>
      <c r="B12" s="11" t="inlineStr">
        <is>
          <t>Especie clave — Tara (Caesalpinia spinosa)</t>
        </is>
      </c>
      <c r="C12" s="26" t="n">
        <v>620606</v>
      </c>
      <c r="D12" s="26" t="n">
        <v>9438216</v>
      </c>
      <c r="E12" s="11" t="n">
        <v>538.7</v>
      </c>
      <c r="F12" s="11" t="inlineStr">
        <is>
          <t>Amenazada D.S. 043</t>
        </is>
      </c>
      <c r="G12" s="11" t="inlineStr">
        <is>
          <t>VU — Vulnerable</t>
        </is>
      </c>
    </row>
    <row r="13">
      <c r="A13" s="14" t="inlineStr">
        <is>
          <t>B-02</t>
        </is>
      </c>
      <c r="B13" s="15" t="inlineStr">
        <is>
          <t>Especie clave — Faique (Vachellia macracantha)</t>
        </is>
      </c>
      <c r="C13" s="27" t="n">
        <v>620573</v>
      </c>
      <c r="D13" s="27" t="n">
        <v>9438163</v>
      </c>
      <c r="E13" s="15" t="n">
        <v>479.3</v>
      </c>
      <c r="F13" s="15" t="inlineStr">
        <is>
          <t>Amenazada D.S. 043</t>
        </is>
      </c>
      <c r="G13" s="15" t="inlineStr">
        <is>
          <t>NT — Casi Amenazado</t>
        </is>
      </c>
    </row>
    <row r="14">
      <c r="A14" s="7" t="inlineStr">
        <is>
          <t>B-03</t>
        </is>
      </c>
      <c r="B14" s="11" t="inlineStr">
        <is>
          <t>Especie clave — Guayacán (Handroanthus/Tabebuia sp.)</t>
        </is>
      </c>
      <c r="C14" s="26" t="n">
        <v>620606</v>
      </c>
      <c r="D14" s="26" t="n">
        <v>9438217</v>
      </c>
      <c r="E14" s="11" t="n">
        <v>539.3</v>
      </c>
      <c r="F14" s="11" t="inlineStr">
        <is>
          <t>Clave cultural</t>
        </is>
      </c>
      <c r="G14" s="11" t="inlineStr">
        <is>
          <t>NE</t>
        </is>
      </c>
    </row>
    <row r="15">
      <c r="A15" s="16" t="inlineStr">
        <is>
          <t>TOTAL: 5 puntos</t>
        </is>
      </c>
      <c r="B15" s="17" t="inlineStr"/>
      <c r="C15" s="17" t="inlineStr"/>
      <c r="D15" s="17" t="inlineStr"/>
      <c r="E15" s="17" t="inlineStr"/>
      <c r="F15" s="17" t="inlineStr"/>
      <c r="G15" s="17" t="inlineStr"/>
    </row>
    <row r="17">
      <c r="A17" s="6" t="inlineStr">
        <is>
          <t>Centroide del bloque — UTM ESTE (m)</t>
        </is>
      </c>
      <c r="B17" s="7" t="n">
        <v>620200</v>
      </c>
      <c r="C17" s="6" t="inlineStr">
        <is>
          <t>Centroide del bloque — UTM NORTE (m)</t>
        </is>
      </c>
      <c r="D17" s="7" t="n">
        <v>9437862</v>
      </c>
      <c r="E17" s="8" t="n"/>
      <c r="F17" s="8" t="n"/>
      <c r="G17" s="8" t="n"/>
      <c r="H17" s="8" t="n"/>
    </row>
    <row r="18">
      <c r="A18" s="6" t="inlineStr">
        <is>
          <t>N.° de estaciones fotográficas declaradas</t>
        </is>
      </c>
      <c r="B18" s="7" t="inlineStr">
        <is>
          <t>Sin registro en la ficha DT</t>
        </is>
      </c>
      <c r="C18" s="6" t="inlineStr">
        <is>
          <t>Estaciones dentro del polígono</t>
        </is>
      </c>
      <c r="D18" s="7" t="inlineStr">
        <is>
          <t>Por determinar</t>
        </is>
      </c>
      <c r="E18" s="8" t="n"/>
      <c r="F18" s="8" t="n"/>
      <c r="G18" s="8" t="n"/>
      <c r="H18" s="8" t="n"/>
    </row>
    <row r="20" ht="120" customHeight="1">
      <c r="A20"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Verificación concentrada en el sector norte de acceso (entorno C.P. Jacanacas / paraje Chachacomo) y vista panorámica del sector oeste el 17/06/2026. La altitud consignada (1230 msnm) es valor promedio referencial; el perfil de elevación registra un ascenso de ~1194 a 1621 msnm (media ~1386, pendiente media 37.1%, máx 67.4%). Susceptibilidad latente por pendientes fuertes y suelos de ladera bajo pastoreo. El polígono aparece rotulado «B4_2» en la capa MSAVI.</t>
        </is>
      </c>
      <c r="B20" s="41" t="n"/>
      <c r="C20" s="41" t="n"/>
      <c r="D20" s="41" t="n"/>
      <c r="E20" s="41" t="n"/>
      <c r="F20" s="41" t="n"/>
      <c r="G20" s="42" t="n"/>
    </row>
  </sheetData>
  <mergeCells count="8">
    <mergeCell ref="A1:G1"/>
    <mergeCell ref="A8:G8"/>
    <mergeCell ref="A3:G3"/>
    <mergeCell ref="A6:G6"/>
    <mergeCell ref="A4:G4"/>
    <mergeCell ref="A20:G20"/>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C1086-Q9570 — BLOQUE 15</t>
        </is>
      </c>
    </row>
    <row r="6" ht="24" customHeight="1">
      <c r="A6" s="4" t="inlineStr">
        <is>
          <t>Distrito de Santo Domingo · Provincia de Morropon · Comparación de los bloques preliminares de intervención de la misma microcuenca</t>
        </is>
      </c>
    </row>
    <row r="7"/>
    <row r="8" ht="18" customHeight="1">
      <c r="A8" s="5" t="inlineStr">
        <is>
          <t>BLOQUES DE LA MICROCUENCA C1086-Q9570</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12</t>
        </is>
      </c>
      <c r="B10" s="28" t="n">
        <v>119.54</v>
      </c>
      <c r="C10" s="19" t="n">
        <v>14</v>
      </c>
      <c r="D10" s="11" t="inlineStr">
        <is>
          <t>672 – 2244</t>
        </is>
      </c>
      <c r="E10" s="11" t="n">
        <v>1572</v>
      </c>
      <c r="F10" s="11" t="n">
        <v>27.41</v>
      </c>
      <c r="G10" s="18" t="n">
        <v>0.7067</v>
      </c>
      <c r="H10" s="19" t="n">
        <v>99.93000000000001</v>
      </c>
      <c r="I10" s="19" t="n">
        <v>0.07000000000000001</v>
      </c>
    </row>
    <row r="11">
      <c r="A11" s="14" t="inlineStr">
        <is>
          <t>11</t>
        </is>
      </c>
      <c r="B11" s="29" t="n">
        <v>103.95</v>
      </c>
      <c r="C11" s="21" t="n">
        <v>12.17</v>
      </c>
      <c r="D11" s="15" t="inlineStr">
        <is>
          <t>1375 – 1928</t>
        </is>
      </c>
      <c r="E11" s="15" t="n">
        <v>553</v>
      </c>
      <c r="F11" s="15" t="n">
        <v>32.19</v>
      </c>
      <c r="G11" s="20" t="n">
        <v>0.6047</v>
      </c>
      <c r="H11" s="21" t="n">
        <v>75.28</v>
      </c>
      <c r="I11" s="21" t="n">
        <v>11.34</v>
      </c>
    </row>
    <row r="12">
      <c r="A12" s="7" t="inlineStr">
        <is>
          <t>17</t>
        </is>
      </c>
      <c r="B12" s="28" t="n">
        <v>96.08</v>
      </c>
      <c r="C12" s="19" t="n">
        <v>11.25</v>
      </c>
      <c r="D12" s="11" t="inlineStr">
        <is>
          <t>1253 – 1880</t>
        </is>
      </c>
      <c r="E12" s="11" t="n">
        <v>627</v>
      </c>
      <c r="F12" s="11" t="n">
        <v>35.56</v>
      </c>
      <c r="G12" s="18" t="n">
        <v>0.6479</v>
      </c>
      <c r="H12" s="19" t="n">
        <v>88.68000000000001</v>
      </c>
      <c r="I12" s="19" t="n">
        <v>2.09</v>
      </c>
    </row>
    <row r="13">
      <c r="A13" s="14" t="inlineStr">
        <is>
          <t>14</t>
        </is>
      </c>
      <c r="B13" s="29" t="n">
        <v>92.90000000000001</v>
      </c>
      <c r="C13" s="21" t="n">
        <v>10.88</v>
      </c>
      <c r="D13" s="15" t="inlineStr">
        <is>
          <t>87 – 1355</t>
        </is>
      </c>
      <c r="E13" s="15" t="n">
        <v>1268</v>
      </c>
      <c r="F13" s="15" t="n">
        <v>23.75</v>
      </c>
      <c r="G13" s="20" t="n">
        <v>0.5197000000000001</v>
      </c>
      <c r="H13" s="21" t="n">
        <v>58.89</v>
      </c>
      <c r="I13" s="21" t="n">
        <v>39.02</v>
      </c>
    </row>
    <row r="14">
      <c r="A14" s="12" t="inlineStr">
        <is>
          <t>► 15</t>
        </is>
      </c>
      <c r="B14" s="30" t="n">
        <v>86.15000000000001</v>
      </c>
      <c r="C14" s="31" t="n">
        <v>10.09</v>
      </c>
      <c r="D14" s="13" t="inlineStr">
        <is>
          <t>1199 – 1655</t>
        </is>
      </c>
      <c r="E14" s="13" t="n">
        <v>456</v>
      </c>
      <c r="F14" s="13" t="n">
        <v>26.19</v>
      </c>
      <c r="G14" s="32" t="n">
        <v>0.5605</v>
      </c>
      <c r="H14" s="31" t="n">
        <v>56.47</v>
      </c>
      <c r="I14" s="31" t="n">
        <v>22.48</v>
      </c>
    </row>
    <row r="15">
      <c r="A15" s="14" t="inlineStr">
        <is>
          <t>23</t>
        </is>
      </c>
      <c r="B15" s="29" t="n">
        <v>81.78</v>
      </c>
      <c r="C15" s="21" t="n">
        <v>9.58</v>
      </c>
      <c r="D15" s="15" t="inlineStr">
        <is>
          <t>521 – 973</t>
        </is>
      </c>
      <c r="E15" s="15" t="n">
        <v>452</v>
      </c>
      <c r="F15" s="15" t="n">
        <v>35.28</v>
      </c>
      <c r="G15" s="20" t="n">
        <v>0.5731000000000001</v>
      </c>
      <c r="H15" s="21" t="n">
        <v>47.99</v>
      </c>
      <c r="I15" s="21" t="n">
        <v>18.75</v>
      </c>
    </row>
    <row r="16">
      <c r="A16" s="7" t="inlineStr">
        <is>
          <t>42</t>
        </is>
      </c>
      <c r="B16" s="28" t="n">
        <v>80.62</v>
      </c>
      <c r="C16" s="19" t="n">
        <v>9.44</v>
      </c>
      <c r="D16" s="11" t="inlineStr">
        <is>
          <t>1131 – 1548</t>
        </is>
      </c>
      <c r="E16" s="11" t="n">
        <v>417</v>
      </c>
      <c r="F16" s="11" t="n">
        <v>27.86</v>
      </c>
      <c r="G16" s="18" t="n">
        <v>0.6348</v>
      </c>
      <c r="H16" s="19" t="n">
        <v>88.83</v>
      </c>
      <c r="I16" s="19" t="n">
        <v>5.64</v>
      </c>
    </row>
    <row r="17">
      <c r="A17" s="14" t="inlineStr">
        <is>
          <t>M19B2</t>
        </is>
      </c>
      <c r="B17" s="29" t="n">
        <v>74.37</v>
      </c>
      <c r="C17" s="21" t="n">
        <v>8.710000000000001</v>
      </c>
      <c r="D17" s="15" t="inlineStr">
        <is>
          <t>203 – 523</t>
        </is>
      </c>
      <c r="E17" s="15" t="n">
        <v>320</v>
      </c>
      <c r="F17" s="15" t="n">
        <v>21.71</v>
      </c>
      <c r="G17" s="20" t="n">
        <v>0.4012</v>
      </c>
      <c r="H17" s="21" t="n">
        <v>1.28</v>
      </c>
      <c r="I17" s="21" t="n">
        <v>96.23999999999999</v>
      </c>
    </row>
    <row r="18">
      <c r="A18" s="7" t="inlineStr">
        <is>
          <t>82</t>
        </is>
      </c>
      <c r="B18" s="28" t="n">
        <v>35.66</v>
      </c>
      <c r="C18" s="19" t="n">
        <v>4.18</v>
      </c>
      <c r="D18" s="11" t="inlineStr">
        <is>
          <t>1796 – 2098</t>
        </is>
      </c>
      <c r="E18" s="11" t="n">
        <v>302</v>
      </c>
      <c r="F18" s="11" t="n">
        <v>23.55</v>
      </c>
      <c r="G18" s="18" t="n">
        <v>0.6283</v>
      </c>
      <c r="H18" s="19" t="n">
        <v>90.06999999999999</v>
      </c>
      <c r="I18" s="19" t="n">
        <v>12.67</v>
      </c>
    </row>
    <row r="19">
      <c r="A19" s="14" t="inlineStr">
        <is>
          <t>78</t>
        </is>
      </c>
      <c r="B19" s="29" t="n">
        <v>35.1</v>
      </c>
      <c r="C19" s="21" t="n">
        <v>4.11</v>
      </c>
      <c r="D19" s="15" t="inlineStr">
        <is>
          <t>1908 – 2236</t>
        </is>
      </c>
      <c r="E19" s="15" t="n">
        <v>328</v>
      </c>
      <c r="F19" s="15" t="n">
        <v>30.64</v>
      </c>
      <c r="G19" s="20" t="n">
        <v>0.7074</v>
      </c>
      <c r="H19" s="21" t="n">
        <v>89.33</v>
      </c>
      <c r="I19" s="21" t="n">
        <v>1.77</v>
      </c>
    </row>
    <row r="20">
      <c r="A20" s="7" t="inlineStr">
        <is>
          <t>M19B7</t>
        </is>
      </c>
      <c r="B20" s="28" t="n">
        <v>34.17</v>
      </c>
      <c r="C20" s="19" t="n">
        <v>4</v>
      </c>
      <c r="D20" s="11" t="inlineStr">
        <is>
          <t>1213 – 1578</t>
        </is>
      </c>
      <c r="E20" s="11" t="n">
        <v>365</v>
      </c>
      <c r="F20" s="11" t="n">
        <v>28.15</v>
      </c>
      <c r="G20" s="18" t="n">
        <v>0.5919</v>
      </c>
      <c r="H20" s="19" t="n">
        <v>78.52</v>
      </c>
      <c r="I20" s="19" t="n">
        <v>5.85</v>
      </c>
    </row>
    <row r="21">
      <c r="A21" s="14" t="inlineStr">
        <is>
          <t>59</t>
        </is>
      </c>
      <c r="B21" s="29" t="n">
        <v>13.55</v>
      </c>
      <c r="C21" s="21" t="n">
        <v>1.59</v>
      </c>
      <c r="D21" s="15" t="inlineStr">
        <is>
          <t>2045 – 2218</t>
        </is>
      </c>
      <c r="E21" s="15" t="n">
        <v>173</v>
      </c>
      <c r="F21" s="15" t="n">
        <v>29.85</v>
      </c>
      <c r="G21" s="20" t="n">
        <v>0.6147</v>
      </c>
      <c r="H21" s="21" t="n">
        <v>86.56999999999999</v>
      </c>
      <c r="I21" s="21" t="n">
        <v>13.72</v>
      </c>
    </row>
    <row r="22">
      <c r="A22" s="16" t="inlineStr">
        <is>
          <t>TOTAL / PROMEDIO</t>
        </is>
      </c>
      <c r="B22" s="33">
        <f>SUM(B10:B21)</f>
        <v/>
      </c>
      <c r="C22" s="23">
        <f>SUM(C10:C21)</f>
        <v/>
      </c>
      <c r="D22" s="17" t="inlineStr">
        <is>
          <t>87 – 2244</t>
        </is>
      </c>
      <c r="E22" s="17" t="inlineStr"/>
      <c r="F22" s="17">
        <f>ROUND(AVERAGE(F10:F21),2)</f>
        <v/>
      </c>
      <c r="G22" s="22">
        <f>ROUND(AVERAGE(G10:G21),4)</f>
        <v/>
      </c>
      <c r="H22" s="23">
        <f>ROUND(AVERAGE(H10:H21),2)</f>
        <v/>
      </c>
      <c r="I22" s="23">
        <f>ROUND(AVERAGE(I10:I21),2)</f>
        <v/>
      </c>
    </row>
    <row r="23"/>
    <row r="24" ht="84" customHeight="1">
      <c r="A24" s="9" t="inlineStr">
        <is>
          <t>LECTURA INTRAMICROCUENCA. El bloque 15 ocupa el puesto 5 de 12 por superficie dentro de la microcuenca C1086-Q9570 (10.09 % de las 853.87 ha preliminares de la microcuenca). Su pendiente promedio (26.19 %, clase «25-50% (Mod. escarpado)») es la 4.ª más baja de 12 y se sitúa por debajo del promedio de la microcuenca (28.51 %). Su MSAVI 2024 (0.5605) es el 10.º de 12 y queda por debajo del promedio local (0.5993). Amplitud altitudinal del bloque: 456 m (1199–1655 msnm). El cuadro conserva todos los bloques catalogados en la microcuenca, incluidos los descartados en el tamizaje, para referencia del conjunto. Los bloques sin ficha DT figuran con sus parámetros de gabinete. BRECHA ESPECTRAL. El 22.48 % de la superficie del bloque (19.367 ha de 86.147 ha) se sitúa bajo el umbral MSAVI 0.4976, por encima del promedio local de la microcuenca (19.14 %) calculado sobre los bloques con dato MSAVI disponible.</t>
        </is>
      </c>
      <c r="B24" s="41" t="n"/>
      <c r="C24" s="41" t="n"/>
      <c r="D24" s="41" t="n"/>
      <c r="E24" s="41" t="n"/>
      <c r="F24" s="41" t="n"/>
      <c r="G24" s="41" t="n"/>
      <c r="H24" s="42" t="n"/>
    </row>
    <row r="25"/>
    <row r="26" ht="60" customHeight="1">
      <c r="A2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6" s="41" t="n"/>
      <c r="C26" s="41" t="n"/>
      <c r="D26" s="41" t="n"/>
      <c r="E26" s="41" t="n"/>
      <c r="F26" s="41" t="n"/>
      <c r="G26" s="41" t="n"/>
      <c r="H26" s="42" t="n"/>
    </row>
  </sheetData>
  <mergeCells count="9">
    <mergeCell ref="A1:I1"/>
    <mergeCell ref="A4:I4"/>
    <mergeCell ref="A3:I3"/>
    <mergeCell ref="A26:I26"/>
    <mergeCell ref="A24:I24"/>
    <mergeCell ref="A2:I2"/>
    <mergeCell ref="A5:I5"/>
    <mergeCell ref="A8:I8"/>
    <mergeCell ref="A6:I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2"/>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15</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«C1086-Q9570»</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469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(86.185 ha) coincide con la de catálogo (86.15 ha) dentro del ±2 % (+0.04 %)</t>
        </is>
      </c>
      <c r="D12" s="35" t="inlineStr">
        <is>
          <t>CONFORME</t>
        </is>
      </c>
      <c r="E12" s="34" t="inlineStr">
        <is>
          <t>Sin acción: la segmentación valida la geometría del bloque.</t>
        </is>
      </c>
    </row>
    <row r="13" ht="48" customHeight="1">
      <c r="A13" s="36" t="inlineStr">
        <is>
          <t>D-04</t>
        </is>
      </c>
      <c r="B13" s="36" t="inlineStr">
        <is>
          <t>Cobertura vegetal total</t>
        </is>
      </c>
      <c r="C13" s="36" t="inlineStr">
        <is>
          <t>La ficha DT estima 80 % de cobertura vegetal en campo; el NDVI mediana 2025 clasifica 100.00 % del polígono en clases de vegetación</t>
        </is>
      </c>
      <c r="D13" s="13" t="inlineStr">
        <is>
          <t>NO SUSTANTIVA</t>
        </is>
      </c>
      <c r="E13" s="36" t="inlineStr">
        <is>
          <t>Se declaran ambos valores. La observación de campo corresponde a una parcela o recorrido puntual y no es representativa de la totalidad del bloque; el índice espectral no discrimina composición ni integridad ecosistémica.</t>
        </is>
      </c>
    </row>
    <row r="14" ht="48" customHeight="1">
      <c r="A14" s="34" t="inlineStr">
        <is>
          <t>D-05</t>
        </is>
      </c>
      <c r="B14" s="34" t="inlineStr">
        <is>
          <t>Centro poblado asociado</t>
        </is>
      </c>
      <c r="C14" s="34" t="inlineStr">
        <is>
          <t>La ficha DT declara «Jacanacas»; el cruce INEI-Bloques V5 identifica 1 centro(s) poblado(s) en el bloque: JACANACAS</t>
        </is>
      </c>
      <c r="D14" s="35" t="inlineStr">
        <is>
          <t>CONFORME</t>
        </is>
      </c>
      <c r="E14" s="34" t="inlineStr">
        <is>
          <t>Se conserva el registro de campo como referencia y se adopta el listado INEI para el diagnóstico social y el cálculo de población beneficiaria.</t>
        </is>
      </c>
    </row>
    <row r="15" ht="48" customHeight="1">
      <c r="A15" s="36" t="inlineStr">
        <is>
          <t>D-06</t>
        </is>
      </c>
      <c r="B15" s="36" t="inlineStr">
        <is>
          <t>Peligro integrado (MCA-AHP)</t>
        </is>
      </c>
      <c r="C15" s="36" t="inlineStr">
        <is>
          <t>El nivel de peligro integrado no está disponible en los insumos de este entregable</t>
        </is>
      </c>
      <c r="D15" s="37" t="inlineStr">
        <is>
          <t>SUSTANTIVA</t>
        </is>
      </c>
      <c r="E15" s="36" t="inlineStr">
        <is>
          <t>Debe tomarse del modelamiento de mesolocalización (PMM + EPH + PGI ponderados por AHP) antes de fijar la prioridad definitiva de intervención del bloque.</t>
        </is>
      </c>
    </row>
    <row r="16" ht="48" customHeight="1">
      <c r="A16" s="36" t="inlineStr">
        <is>
          <t>D-07</t>
        </is>
      </c>
      <c r="B16" s="36" t="inlineStr">
        <is>
          <t>Distribución areal MSAVI 2024</t>
        </is>
      </c>
      <c r="C16" s="36" t="inlineStr">
        <is>
          <t>La distribución por clase de MSAVI no figuraba en los insumos del entregable y se consignaba «Por determinar»; se incorpora la estadística zonal del ráster MSAVI clasificado (259 polígonos, 86.147 ha)</t>
        </is>
      </c>
      <c r="D16" s="37" t="inlineStr">
        <is>
          <t>CORREGIDO</t>
        </is>
      </c>
      <c r="E16" s="36"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17" ht="48" customHeight="1">
      <c r="A17" s="36" t="inlineStr">
        <is>
          <t>D-08</t>
        </is>
      </c>
      <c r="B17" s="36" t="inlineStr">
        <is>
          <t>Superficie MSAVI vs. catálogo</t>
        </is>
      </c>
      <c r="C17" s="36" t="inlineStr">
        <is>
          <t>La superficie total clasificada por el MSAVI 2024 (86.147 ha) frente a la de catálogo V5/V6 (86.150 ha): desviación de +0.00 %</t>
        </is>
      </c>
      <c r="D17" s="37" t="inlineStr">
        <is>
          <t>CONFORME</t>
        </is>
      </c>
      <c r="E17" s="36" t="inlineStr">
        <is>
          <t>Sin acción: la segmentación del ráster valida la geometría del bloque dentro del ±2 %.</t>
        </is>
      </c>
    </row>
    <row r="18" ht="48" customHeight="1">
      <c r="A18" s="36" t="inlineStr">
        <is>
          <t>D-09</t>
        </is>
      </c>
      <c r="B18" s="36" t="inlineStr">
        <is>
          <t>Media MSAVI vs. clase DN dominante</t>
        </is>
      </c>
      <c r="C18" s="36" t="inlineStr">
        <is>
          <t>La media del bloque (0.5605) cae en la clase «DN 4 · 0.4976 - 0.6139 (Vigor moderado)»; la clase de mayor superficie es «DN 4 · 0.4976 - 0.6139 (Vigor moderado)», con 51.22 % del bloque. Superficie bajo el umbral 0.4976: 19.367 ha (22.48 %)</t>
        </is>
      </c>
      <c r="D18" s="37" t="inlineStr">
        <is>
          <t>CONFORME</t>
        </is>
      </c>
      <c r="E18" s="36" t="inlineStr">
        <is>
          <t>Sin acción: la media del bloque y la clase de mayor superficie coinciden.</t>
        </is>
      </c>
    </row>
    <row r="19"/>
    <row r="20">
      <c r="A20" s="16" t="inlineStr">
        <is>
          <t>RESUMEN</t>
        </is>
      </c>
      <c r="B20" s="17" t="inlineStr">
        <is>
          <t>9 verificaciones</t>
        </is>
      </c>
      <c r="C20" s="17" t="inlineStr">
        <is>
          <t>CONFORME: 6 · CORREGIDO: 1 · NO SUSTANTIVA: 1 · SUSTANTIVA: 1</t>
        </is>
      </c>
      <c r="D20" s="17" t="inlineStr"/>
      <c r="E20" s="17" t="inlineStr"/>
    </row>
    <row r="21"/>
    <row r="22" ht="60" customHeight="1">
      <c r="A22"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22" s="41" t="n"/>
      <c r="C22" s="41" t="n"/>
      <c r="D22" s="41" t="n"/>
      <c r="E22" s="42" t="n"/>
    </row>
  </sheetData>
  <mergeCells count="8">
    <mergeCell ref="A4:E4"/>
    <mergeCell ref="A2:E2"/>
    <mergeCell ref="A1:E1"/>
    <mergeCell ref="A5:E5"/>
    <mergeCell ref="A8:E8"/>
    <mergeCell ref="A6:E6"/>
    <mergeCell ref="A22:E22"/>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15 — IN Piura</dc:title>
  <dc:subject>Diagnóstico Territorial por bloque de intervención</dc:subject>
  <dcterms:created xsi:type="dcterms:W3CDTF">2026-09-08T03:39:55Z</dcterms:created>
  <dcterms:modified xsi:type="dcterms:W3CDTF">2026-09-09T23:30:50Z</dcterms:modified>
</cp:coreProperties>
</file>