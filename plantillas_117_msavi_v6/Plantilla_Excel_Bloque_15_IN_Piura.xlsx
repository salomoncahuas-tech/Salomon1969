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15</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Jacanacas</t>
        </is>
      </c>
      <c r="C13" s="6" t="inlineStr">
        <is>
          <t>Comunidad campesina</t>
        </is>
      </c>
      <c r="D13" s="7" t="inlineStr">
        <is>
          <t>Por verificar</t>
        </is>
      </c>
      <c r="E13" s="8" t="n"/>
      <c r="F13" s="8" t="n"/>
    </row>
    <row r="14">
      <c r="A14" s="6" t="inlineStr">
        <is>
          <t>Superficie de catálogo (V5/V6), ha</t>
        </is>
      </c>
      <c r="B14" s="7" t="n">
        <v>86.15000000000001</v>
      </c>
      <c r="C14" s="6" t="inlineStr">
        <is>
          <t>Fuente de superficie</t>
        </is>
      </c>
      <c r="D14" s="7" t="inlineStr">
        <is>
          <t>Catálogo maestro Bloques V5/V6</t>
        </is>
      </c>
      <c r="E14" s="8" t="n"/>
      <c r="F14" s="8" t="n"/>
    </row>
    <row r="15">
      <c r="A15" s="6" t="inlineStr">
        <is>
          <t>Centroide UTM ESTE (m)</t>
        </is>
      </c>
      <c r="B15" s="7" t="n">
        <v>620200</v>
      </c>
      <c r="C15" s="6" t="inlineStr">
        <is>
          <t>Centroide UTM NORTE (m)</t>
        </is>
      </c>
      <c r="D15" s="7" t="n">
        <v>9437862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1199</v>
      </c>
      <c r="C19" s="6" t="inlineStr">
        <is>
          <t>Altitud máxima (msnm)</t>
        </is>
      </c>
      <c r="D19" s="7" t="n">
        <v>1655</v>
      </c>
      <c r="E19" s="8" t="n"/>
      <c r="F19" s="8" t="n"/>
    </row>
    <row r="20">
      <c r="A20" s="6" t="inlineStr">
        <is>
          <t>Amplitud altitudinal (m)</t>
        </is>
      </c>
      <c r="B20" s="7" t="n">
        <v>456</v>
      </c>
      <c r="C20" s="6" t="inlineStr">
        <is>
          <t>Piso altitudinal dominante</t>
        </is>
      </c>
      <c r="D20" s="7" t="inlineStr">
        <is>
          <t>1000-1500 m (Quechua baja)</t>
        </is>
      </c>
      <c r="E20" s="8" t="n"/>
      <c r="F20" s="8" t="n"/>
    </row>
    <row r="21">
      <c r="A21" s="6" t="inlineStr">
        <is>
          <t>Pendiente promedio (%)</t>
        </is>
      </c>
      <c r="B21" s="7" t="n">
        <v>26.19</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0.5605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(56.47 %)</t>
        </is>
      </c>
      <c r="E29" s="8" t="n"/>
      <c r="F29" s="8" t="n"/>
    </row>
    <row r="30">
      <c r="A30" s="6" t="inlineStr">
        <is>
          <t>Superficie clasificada NDVI 2025 (ha)</t>
        </is>
      </c>
      <c r="B30" s="7" t="n">
        <v>86.185</v>
      </c>
      <c r="C30" s="6" t="inlineStr">
        <is>
          <t>Desviación frente al catálogo (%)</t>
        </is>
      </c>
      <c r="D30" s="7" t="n">
        <v>0.04</v>
      </c>
      <c r="E30" s="8" t="n"/>
      <c r="F30" s="8" t="n"/>
    </row>
    <row r="31">
      <c r="A31" s="6" t="inlineStr">
        <is>
          <t>Superficie clasificada MSAVI 2024 (ha)</t>
        </is>
      </c>
      <c r="B31" s="38" t="n">
        <v>86.14700000000001</v>
      </c>
      <c r="C31" s="6" t="inlineStr">
        <is>
          <t>Desviación MSAVI frente al catálogo (%)</t>
        </is>
      </c>
      <c r="D31" s="39" t="n">
        <v>0</v>
      </c>
      <c r="E31" s="8" t="n"/>
      <c r="F31" s="8" t="n"/>
    </row>
    <row r="32">
      <c r="A32" s="6" t="inlineStr">
        <is>
          <t>Superficie bajo umbral MSAVI 0.4976 (ha)</t>
        </is>
      </c>
      <c r="B32" s="38" t="n">
        <v>19.367</v>
      </c>
      <c r="C32" s="6" t="inlineStr">
        <is>
          <t>% del bloque bajo umbral (brecha espectral)</t>
        </is>
      </c>
      <c r="D32" s="39" t="n">
        <v>22.48</v>
      </c>
      <c r="E32" s="8" t="n"/>
      <c r="F32" s="8" t="n"/>
    </row>
    <row r="33">
      <c r="A33" s="6" t="inlineStr">
        <is>
          <t>Clase DN dominante (MSAVI 2024)</t>
        </is>
      </c>
      <c r="B33" s="7" t="inlineStr">
        <is>
          <t>DN 4 · 0.4976 - 0.6139 (Vigor moderado)</t>
        </is>
      </c>
      <c r="C33" s="6" t="inlineStr">
        <is>
          <t>N.° de polígonos MSAVI del bloque</t>
        </is>
      </c>
      <c r="D33" s="40" t="n">
        <v>259</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82.46 ha Zona agrícola + 3.68 ha Matorral andino (total 86.15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2026-06-11</t>
        </is>
      </c>
      <c r="E44" s="8" t="n"/>
      <c r="F44" s="8" t="n"/>
    </row>
    <row r="45">
      <c r="A45" s="6" t="inlineStr">
        <is>
          <t>Hora de registro</t>
        </is>
      </c>
      <c r="B45" s="7" t="inlineStr">
        <is>
          <t>13:12-13:29 h</t>
        </is>
      </c>
      <c r="C45" s="6" t="inlineStr">
        <is>
          <t>Correlativo de ficha</t>
        </is>
      </c>
      <c r="D45" s="7" t="inlineStr">
        <is>
          <t>F-DT-01-B15</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 observación cualitativa (sin parcela cuantitativa)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Expansión de la frontera agropecuaria de subsistencia familiar</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22.6542</v>
      </c>
      <c r="C10" s="19">
        <f>ROUND(B10/$B$15*100,2)</f>
        <v>26.3</v>
      </c>
      <c r="D10" s="11" t="inlineStr">
        <is>
          <t>Vigor alto</t>
        </is>
      </c>
      <c r="E10" s="11" t="inlineStr">
        <is>
          <t>Sobre umbral</t>
        </is>
      </c>
    </row>
    <row r="11">
      <c r="A11" s="12" t="inlineStr">
        <is>
          <t>0.4976 - 0.6139 · DN 4</t>
        </is>
      </c>
      <c r="B11" s="32" t="n">
        <v>44.1256</v>
      </c>
      <c r="C11" s="31">
        <f>ROUND(B11/$B$15*100,2)</f>
        <v>51.22</v>
      </c>
      <c r="D11" s="13" t="inlineStr">
        <is>
          <t>Vigor moderado</t>
        </is>
      </c>
      <c r="E11" s="13" t="inlineStr">
        <is>
          <t>Sobre umbral</t>
        </is>
      </c>
    </row>
    <row r="12">
      <c r="A12" s="7" t="inlineStr">
        <is>
          <t>0.3813 - 0.4976 · DN 3</t>
        </is>
      </c>
      <c r="B12" s="18" t="n">
        <v>18.9986</v>
      </c>
      <c r="C12" s="19">
        <f>ROUND(B12/$B$15*100,2)</f>
        <v>22.05</v>
      </c>
      <c r="D12" s="11" t="inlineStr">
        <is>
          <t>Vigor bajo</t>
        </is>
      </c>
      <c r="E12" s="11" t="inlineStr">
        <is>
          <t>BAJO umbral 0.4976</t>
        </is>
      </c>
    </row>
    <row r="13">
      <c r="A13" s="14" t="inlineStr">
        <is>
          <t>0.2650 - 0.3813 · DN 2</t>
        </is>
      </c>
      <c r="B13" s="20" t="n">
        <v>0.3688</v>
      </c>
      <c r="C13" s="21">
        <f>ROUND(B13/$B$15*100,2)</f>
        <v>0.43</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86.1472</v>
      </c>
      <c r="C15" s="45">
        <f>SUM(C10:C14)</f>
        <v>100.0</v>
      </c>
      <c r="D15" s="43" t="inlineStr">
        <is>
          <t>Suma de la distribución areal · 259 polígonos</t>
        </is>
      </c>
      <c r="E15" s="43" t="inlineStr">
        <is>
          <t>—</t>
        </is>
      </c>
    </row>
    <row r="16" ht="30" customHeight="1">
      <c r="A16" s="46" t="inlineStr">
        <is>
          <t>Superficie SOBRE umbral 0.4976 (ha)</t>
        </is>
      </c>
      <c r="B16" s="47">
        <f>SUM(B10:B11)</f>
        <v>66.7798</v>
      </c>
      <c r="C16" s="48">
        <f>ROUND(B16/B15*100,2)</f>
        <v>77.52</v>
      </c>
      <c r="D16" s="46" t="inlineStr">
        <is>
          <t>Vigor alto y moderado (DN 4 y DN 5)</t>
        </is>
      </c>
      <c r="E16" s="46" t="inlineStr">
        <is>
          <t>Sobre umbral 0.4976</t>
        </is>
      </c>
    </row>
    <row r="17" ht="30" customHeight="1">
      <c r="A17" s="46" t="inlineStr">
        <is>
          <t>Superficie BAJO umbral 0.4976 (ha) — brecha</t>
        </is>
      </c>
      <c r="B17" s="47">
        <f>SUM(B12:B14)</f>
        <v>19.3674</v>
      </c>
      <c r="C17" s="48">
        <f>ROUND(B17/B15*100,2)</f>
        <v>22.48</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86.15000000000001</v>
      </c>
      <c r="C18" s="49" t="inlineStr">
        <is>
          <t>—</t>
        </is>
      </c>
      <c r="D18" s="46" t="inlineStr">
        <is>
          <t>Desviación planimétrica frente al catálogo</t>
        </is>
      </c>
      <c r="E18" s="46" t="inlineStr">
        <is>
          <t>+0.00 %</t>
        </is>
      </c>
    </row>
    <row r="19">
      <c r="A19" s="16" t="inlineStr">
        <is>
          <t>MSAVI 2024 — MEDIA DEL BLOQUE</t>
        </is>
      </c>
      <c r="B19" s="17" t="n">
        <v>0.560518</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259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(0.5605)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48.6666</v>
      </c>
      <c r="C25" s="19" t="n">
        <v>56.47</v>
      </c>
      <c r="D25" s="11" t="inlineStr">
        <is>
          <t>Dosel continuo, matorral denso o mosaico agroforestal</t>
        </is>
      </c>
      <c r="E25" s="11" t="inlineStr"/>
    </row>
    <row r="26">
      <c r="A26" s="14" t="inlineStr">
        <is>
          <t>Vegetación mediana</t>
        </is>
      </c>
      <c r="B26" s="20" t="n">
        <v>35.4756</v>
      </c>
      <c r="C26" s="21" t="n">
        <v>41.16</v>
      </c>
      <c r="D26" s="15" t="inlineStr">
        <is>
          <t>Pastizal cultivado, matorral ralo, parcelas agrícolas</t>
        </is>
      </c>
      <c r="E26" s="15" t="inlineStr"/>
    </row>
    <row r="27">
      <c r="A27" s="7" t="inlineStr">
        <is>
          <t>Vegetación ligera</t>
        </is>
      </c>
      <c r="B27" s="18" t="n">
        <v>2.0432</v>
      </c>
      <c r="C27" s="19" t="n">
        <v>2.37</v>
      </c>
      <c r="D27" s="11" t="inlineStr">
        <is>
          <t>Cobertura discontinua, suelo parcialmente expuesto</t>
        </is>
      </c>
      <c r="E27" s="11" t="inlineStr"/>
    </row>
    <row r="28">
      <c r="A28" s="16" t="inlineStr">
        <is>
          <t>TOTAL CLASIFICADO</t>
        </is>
      </c>
      <c r="B28" s="22">
        <f>SUM(B25:B27)</f>
        <v>86.1854</v>
      </c>
      <c r="C28" s="23">
        <f>SUM(C25:C27)</f>
        <v>100.0</v>
      </c>
      <c r="D28" s="17" t="inlineStr"/>
      <c r="E28" s="17" t="inlineStr"/>
    </row>
    <row r="29">
      <c r="A29" s="24" t="inlineStr">
        <is>
          <t>Superficie de catálogo (V5/V6)</t>
        </is>
      </c>
      <c r="B29" s="25" t="n">
        <v>86.15000000000001</v>
      </c>
      <c r="C29" s="25" t="inlineStr">
        <is>
          <t>—</t>
        </is>
      </c>
      <c r="D29" s="25" t="inlineStr">
        <is>
          <t>Desviación planimétrica frente al catálogo</t>
        </is>
      </c>
      <c r="E29" s="25" t="inlineStr">
        <is>
          <t>+0.04 %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56.47 % del polígono clasificado como «Vegetación alta» por el NDVI 2025; la observación de campo corresponde a una parcela o recorrido puntual y no es estadísticamente representativa de las 86.150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15</t>
        </is>
      </c>
    </row>
    <row r="6" ht="24" customHeight="1">
      <c r="A6" s="4" t="inlineStr">
        <is>
          <t>Levantamiento del 2026-06-11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620566</v>
      </c>
      <c r="D10" s="26" t="n">
        <v>9438155</v>
      </c>
      <c r="E10" s="11" t="n">
        <v>468.8</v>
      </c>
      <c r="F10" s="11" t="inlineStr"/>
      <c r="G10" s="11" t="inlineStr">
        <is>
          <t>Coordenada consignada en F-DT-01</t>
        </is>
      </c>
    </row>
    <row r="11">
      <c r="A11" s="14" t="inlineStr">
        <is>
          <t>H-01</t>
        </is>
      </c>
      <c r="B11" s="15" t="inlineStr">
        <is>
          <t>Fuente de agua — Reservorio / Represa</t>
        </is>
      </c>
      <c r="C11" s="27" t="n">
        <v>620607</v>
      </c>
      <c r="D11" s="27" t="n">
        <v>9438226</v>
      </c>
      <c r="E11" s="15" t="n">
        <v>546</v>
      </c>
      <c r="F11" s="15" t="inlineStr">
        <is>
          <t>Permanente</t>
        </is>
      </c>
      <c r="G11" s="15" t="inlineStr">
        <is>
          <t>Tanque de almacenamiento</t>
        </is>
      </c>
    </row>
    <row r="12">
      <c r="A12" s="7" t="inlineStr">
        <is>
          <t>B-01</t>
        </is>
      </c>
      <c r="B12" s="11" t="inlineStr">
        <is>
          <t>Especie clave — Tara (Caesalpinia spinosa)</t>
        </is>
      </c>
      <c r="C12" s="26" t="n">
        <v>620606</v>
      </c>
      <c r="D12" s="26" t="n">
        <v>9438216</v>
      </c>
      <c r="E12" s="11" t="n">
        <v>538.7</v>
      </c>
      <c r="F12" s="11" t="inlineStr">
        <is>
          <t>Amenazada D.S. 043</t>
        </is>
      </c>
      <c r="G12" s="11" t="inlineStr">
        <is>
          <t>VU — Vulnerable</t>
        </is>
      </c>
    </row>
    <row r="13">
      <c r="A13" s="14" t="inlineStr">
        <is>
          <t>B-02</t>
        </is>
      </c>
      <c r="B13" s="15" t="inlineStr">
        <is>
          <t>Especie clave — Faique (Vachellia macracantha)</t>
        </is>
      </c>
      <c r="C13" s="27" t="n">
        <v>620573</v>
      </c>
      <c r="D13" s="27" t="n">
        <v>9438163</v>
      </c>
      <c r="E13" s="15" t="n">
        <v>479.3</v>
      </c>
      <c r="F13" s="15" t="inlineStr">
        <is>
          <t>Amenazada D.S. 043</t>
        </is>
      </c>
      <c r="G13" s="15" t="inlineStr">
        <is>
          <t>NT — Casi Amenazado</t>
        </is>
      </c>
    </row>
    <row r="14">
      <c r="A14" s="7" t="inlineStr">
        <is>
          <t>B-03</t>
        </is>
      </c>
      <c r="B14" s="11" t="inlineStr">
        <is>
          <t>Especie clave — Guayacán (Handroanthus/Tabebuia sp.)</t>
        </is>
      </c>
      <c r="C14" s="26" t="n">
        <v>620606</v>
      </c>
      <c r="D14" s="26" t="n">
        <v>9438217</v>
      </c>
      <c r="E14" s="11" t="n">
        <v>539.3</v>
      </c>
      <c r="F14" s="11" t="inlineStr">
        <is>
          <t>Clave cultural</t>
        </is>
      </c>
      <c r="G14" s="11" t="inlineStr">
        <is>
          <t>NE</t>
        </is>
      </c>
    </row>
    <row r="15">
      <c r="A15" s="16" t="inlineStr">
        <is>
          <t>TOTAL: 5 puntos</t>
        </is>
      </c>
      <c r="B15" s="17" t="inlineStr"/>
      <c r="C15" s="17" t="inlineStr"/>
      <c r="D15" s="17" t="inlineStr"/>
      <c r="E15" s="17" t="inlineStr"/>
      <c r="F15" s="17" t="inlineStr"/>
      <c r="G15" s="17" t="inlineStr"/>
    </row>
    <row r="16"/>
    <row r="17">
      <c r="A17" s="6" t="inlineStr">
        <is>
          <t>Centroide del bloque — UTM ESTE (m)</t>
        </is>
      </c>
      <c r="B17" s="7" t="n">
        <v>620200</v>
      </c>
      <c r="C17" s="6" t="inlineStr">
        <is>
          <t>Centroide del bloque — UTM NORTE (m)</t>
        </is>
      </c>
      <c r="D17" s="7" t="n">
        <v>9437862</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19"/>
    <row r="20" ht="120"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concentrada en el sector norte de acceso (entorno C.P. Jacanacas / paraje Chachacomo) y vista panorámica del sector oeste el 17/06/2026. La altitud consignada (1230 msnm) es valor promedio referencial; el perfil de elevación registra un ascenso de ~1194 a 1621 msnm (media ~1386, pendiente media 37.1%, máx 67.4%). Susceptibilidad latente por pendientes fuertes y suelos de ladera bajo pastoreo. El polígono aparece rotulado «B4_2» en la capa MSAVI.</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15</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29" t="n">
        <v>92.90000000000001</v>
      </c>
      <c r="C13" s="21" t="n">
        <v>10.88</v>
      </c>
      <c r="D13" s="15" t="inlineStr">
        <is>
          <t>87 – 1355</t>
        </is>
      </c>
      <c r="E13" s="15" t="n">
        <v>1268</v>
      </c>
      <c r="F13" s="15" t="n">
        <v>23.75</v>
      </c>
      <c r="G13" s="20" t="n">
        <v>0.5197000000000001</v>
      </c>
      <c r="H13" s="21" t="n">
        <v>58.89</v>
      </c>
      <c r="I13" s="21" t="n">
        <v>39.02</v>
      </c>
    </row>
    <row r="14">
      <c r="A14" s="12" t="inlineStr">
        <is>
          <t>► 15</t>
        </is>
      </c>
      <c r="B14" s="30" t="n">
        <v>86.15000000000001</v>
      </c>
      <c r="C14" s="31" t="n">
        <v>10.09</v>
      </c>
      <c r="D14" s="13" t="inlineStr">
        <is>
          <t>1199 – 1655</t>
        </is>
      </c>
      <c r="E14" s="13" t="n">
        <v>456</v>
      </c>
      <c r="F14" s="13" t="n">
        <v>26.19</v>
      </c>
      <c r="G14" s="32" t="n">
        <v>0.5605</v>
      </c>
      <c r="H14" s="31" t="n">
        <v>56.47</v>
      </c>
      <c r="I14" s="31" t="n">
        <v>22.48</v>
      </c>
    </row>
    <row r="15">
      <c r="A15" s="14" t="inlineStr">
        <is>
          <t>23</t>
        </is>
      </c>
      <c r="B15" s="29"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853.87</v>
      </c>
      <c r="C22" s="23">
        <f>SUM(C10:C21)</f>
        <v>100.0</v>
      </c>
      <c r="D22" s="17" t="inlineStr">
        <is>
          <t>87 – 2244</t>
        </is>
      </c>
      <c r="E22" s="17" t="inlineStr"/>
      <c r="F22" s="17">
        <f>ROUND(AVERAGE(F10:F21),2)</f>
        <v>28.51</v>
      </c>
      <c r="G22" s="22">
        <f>ROUND(AVERAGE(G10:G21),4)</f>
        <v>0.5992</v>
      </c>
      <c r="H22" s="23">
        <f>ROUND(AVERAGE(H10:H21),2)</f>
        <v>71.82</v>
      </c>
      <c r="I22" s="23">
        <f>ROUND(AVERAGE(I10:I21),2)</f>
        <v>19.14</v>
      </c>
    </row>
    <row r="23"/>
    <row r="24" ht="84" customHeight="1">
      <c r="A24" s="9" t="inlineStr">
        <is>
          <t>LECTURA INTRAMICROCUENCA. El bloque 15 ocupa el puesto 5 de 12 por superficie dentro de la microcuenca C1086-Q9570 (10.09 % de las 853.87 ha preliminares de la microcuenca). Su pendiente promedio (26.19 %, clase «25-50% (Mod. escarpado)») es la 4.ª más baja de 12 y se sitúa por debajo del promedio de la microcuenca (28.51 %). Su MSAVI 2024 (0.5605) es el 10.º de 12 y queda por debajo del promedio local (0.5993). Amplitud altitudinal del bloque: 456 m (1199–1655 msnm). El cuadro conserva todos los bloques catalogados en la microcuenca, incluidos los descartados en el tamizaje, para referencia del conjunto. Los bloques sin ficha DT figuran con sus parámetros de gabinete. BRECHA ESPECTRAL. El 22.48 % de la superficie del bloque (19.367 ha de 86.147 ha) se sitúa bajo el umbral MSAVI 0.4976, por encima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469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(86.185 ha) coincide con la de catálogo (86.15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Centro poblado asociado</t>
        </is>
      </c>
      <c r="C14" s="34" t="inlineStr">
        <is>
          <t>La ficha DT declara «Jacanacas»; el cruce INEI-Bloques V5 identifica 1 centro(s) poblado(s) en el bloque: JACANACAS</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(259 polígonos, 86.147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(86.147 ha) frente a la de catálogo V5/V6 (86.150 ha): desviación de +0.00 %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(0.5605) cae en la clase «DN 4 · 0.4976 - 0.6139 (Vigor moderado)»; la clase de mayor superficie es «DN 4 · 0.4976 - 0.6139 (Vigor moderado)», con 51.22 % del bloque. Superficie bajo el umbral 0.4976: 19.367 ha (22.48 %)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6 · CORREGIDO: 1 · NO SUSTANTIVA: 1 · SUSTANTIVA: 1</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15 — IN Piura</dc:title>
  <dc:subject>Diagnóstico Territorial por bloque de intervención</dc:subject>
  <dcterms:created xsi:type="dcterms:W3CDTF">2026-09-08T03:39:55Z</dcterms:created>
  <dcterms:modified xsi:type="dcterms:W3CDTF">2026-09-10T00:28:26Z</dcterms:modified>
</cp:coreProperties>
</file>