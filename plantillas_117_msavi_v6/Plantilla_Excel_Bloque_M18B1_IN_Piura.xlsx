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M18B1</t>
        </is>
      </c>
      <c r="C9" s="6" t="inlineStr">
        <is>
          <t>Microcuenca (catálogo)</t>
        </is>
      </c>
      <c r="D9" s="7" t="inlineStr">
        <is>
          <t>C1077-Q9579</t>
        </is>
      </c>
      <c r="E9" s="8" t="n"/>
      <c r="F9" s="8" t="n"/>
    </row>
    <row r="10">
      <c r="A10" s="6" t="inlineStr">
        <is>
          <t>Zona de planificación</t>
        </is>
      </c>
      <c r="B10" s="7" t="inlineStr">
        <is>
          <t>Z06</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Hualas / Villa Malacasí / Mangamanga</t>
        </is>
      </c>
      <c r="C13" s="6" t="inlineStr">
        <is>
          <t>Comunidad campesina</t>
        </is>
      </c>
      <c r="D13" s="7" t="inlineStr">
        <is>
          <t>Sin registro en ficha</t>
        </is>
      </c>
      <c r="E13" s="8" t="n"/>
      <c r="F13" s="8" t="n"/>
    </row>
    <row r="14">
      <c r="A14" s="6" t="inlineStr">
        <is>
          <t>Superficie de catálogo (V5/V6), ha</t>
        </is>
      </c>
      <c r="B14" s="7" t="n">
        <v>160.36</v>
      </c>
      <c r="C14" s="6" t="inlineStr">
        <is>
          <t>Fuente de superficie</t>
        </is>
      </c>
      <c r="D14" s="7" t="inlineStr">
        <is>
          <t>Catálogo maestro Bloques V5/V6</t>
        </is>
      </c>
      <c r="E14" s="8" t="n"/>
      <c r="F14" s="8" t="n"/>
    </row>
    <row r="15">
      <c r="A15" s="6" t="inlineStr">
        <is>
          <t>Centroide UTM ESTE (m)</t>
        </is>
      </c>
      <c r="B15" s="7" t="n">
        <v>621058</v>
      </c>
      <c r="C15" s="6" t="inlineStr">
        <is>
          <t>Centroide UTM NORTE (m)</t>
        </is>
      </c>
      <c r="D15" s="7" t="n">
        <v>9410427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v>
      </c>
      <c r="C19" s="6" t="inlineStr">
        <is>
          <t>Altitud máxima (msnm)</t>
        </is>
      </c>
      <c r="D19" s="7" t="n">
        <v>396</v>
      </c>
      <c r="E19" s="8" t="n"/>
      <c r="F19" s="8" t="n"/>
    </row>
    <row r="20">
      <c r="A20" s="6" t="inlineStr">
        <is>
          <t>Amplitud altitudinal (m)</t>
        </is>
      </c>
      <c r="B20" s="7" t="n">
        <v>243</v>
      </c>
      <c r="C20" s="6" t="inlineStr">
        <is>
          <t>Piso altitudinal dominante</t>
        </is>
      </c>
      <c r="D20" s="7" t="inlineStr">
        <is>
          <t>&lt;1000 m (Yunga)</t>
        </is>
      </c>
      <c r="E20" s="8" t="n"/>
      <c r="F20" s="8" t="n"/>
    </row>
    <row r="21">
      <c r="A21" s="6" t="inlineStr">
        <is>
          <t>Pendiente promedio (%)</t>
        </is>
      </c>
      <c r="B21" s="7" t="n">
        <v>20.37</v>
      </c>
      <c r="C21" s="6" t="inlineStr">
        <is>
          <t>Pendiente promedio (grados)</t>
        </is>
      </c>
      <c r="D21" s="7" t="n">
        <v>11.5</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(69.97 %)</t>
        </is>
      </c>
      <c r="E29" s="8" t="n"/>
      <c r="F29" s="8" t="n"/>
    </row>
    <row r="30">
      <c r="A30" s="6" t="inlineStr">
        <is>
          <t>Superficie clasificada NDVI 2025 (ha)</t>
        </is>
      </c>
      <c r="B30" s="7" t="n">
        <v>160.43</v>
      </c>
      <c r="C30" s="6" t="inlineStr">
        <is>
          <t>Desviación frente al catálogo (%)</t>
        </is>
      </c>
      <c r="D30" s="7" t="n">
        <v>0.04</v>
      </c>
      <c r="E30" s="8" t="n"/>
      <c r="F30" s="8" t="n"/>
    </row>
    <row r="31">
      <c r="A31" s="6" t="inlineStr">
        <is>
          <t>Superficie clasificada MSAVI 2024 (ha)</t>
        </is>
      </c>
      <c r="B31" s="39" t="n">
        <v>160.36</v>
      </c>
      <c r="C31" s="6" t="inlineStr">
        <is>
          <t>Desviación MSAVI frente al catálogo (%)</t>
        </is>
      </c>
      <c r="D31" s="40" t="n">
        <v>0</v>
      </c>
      <c r="E31" s="8" t="n"/>
      <c r="F31" s="8" t="n"/>
    </row>
    <row r="32">
      <c r="A32" s="6" t="inlineStr">
        <is>
          <t>Superficie bajo umbral MSAVI 0.4976 (ha)</t>
        </is>
      </c>
      <c r="B32" s="39" t="n">
        <v>159.835</v>
      </c>
      <c r="C32" s="6" t="inlineStr">
        <is>
          <t>% del bloque bajo umbral (brecha espectral)</t>
        </is>
      </c>
      <c r="D32" s="40" t="n">
        <v>99.67</v>
      </c>
      <c r="E32" s="8" t="n"/>
      <c r="F32" s="8" t="n"/>
    </row>
    <row r="33">
      <c r="A33" s="6" t="inlineStr">
        <is>
          <t>Clase DN dominante (MSAVI 2024)</t>
        </is>
      </c>
      <c r="B33" s="7" t="inlineStr">
        <is>
          <t>DN 2 · 0.2650 - 0.3813 (Vigor muy bajo)</t>
        </is>
      </c>
      <c r="C33" s="6" t="inlineStr">
        <is>
          <t>N.° de polígonos MSAVI del bloque</t>
        </is>
      </c>
      <c r="D33" s="41" t="n">
        <v>446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160.36 ha (100% del bloque)</t>
        </is>
      </c>
      <c r="E36" s="8" t="n"/>
      <c r="F36" s="8" t="n"/>
    </row>
    <row r="37">
      <c r="A37" s="6" t="inlineStr">
        <is>
          <t>Estado de conservación</t>
        </is>
      </c>
      <c r="B37" s="7" t="inlineStr">
        <is>
          <t>Medianamente alterado</t>
        </is>
      </c>
      <c r="C37" s="6" t="inlineStr">
        <is>
          <t>Uso actual dominante del suelo</t>
        </is>
      </c>
      <c r="D37" s="7" t="inlineStr">
        <is>
          <t>Forestal de protección</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40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 S. Cahuas Miller</t>
        </is>
      </c>
      <c r="C44" s="6" t="inlineStr">
        <is>
          <t>Fecha de evaluación</t>
        </is>
      </c>
      <c r="D44" s="7" t="inlineStr">
        <is>
          <t>2026-05-14</t>
        </is>
      </c>
      <c r="E44" s="8" t="n"/>
      <c r="F44" s="8" t="n"/>
    </row>
    <row r="45">
      <c r="A45" s="6" t="inlineStr">
        <is>
          <t>Hora de registro</t>
        </is>
      </c>
      <c r="B45" s="7" t="inlineStr">
        <is>
          <t>08:00 - 09:20 h</t>
        </is>
      </c>
      <c r="C45" s="6" t="inlineStr">
        <is>
          <t>Correlativo de ficha</t>
        </is>
      </c>
      <c r="D45" s="7" t="inlineStr">
        <is>
          <t>DT-M18B1-001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(punto representativo de bloque)</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antrópica difusa por proximidad a centros poblados (Hualas, Villa Malacasí, Mangamanga) y al eje de la vía nacional PE-02A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0.5246</v>
      </c>
      <c r="C11" s="21">
        <f>ROUND(B11/$B$15*100,2)</f>
        <v/>
      </c>
      <c r="D11" s="13" t="inlineStr">
        <is>
          <t>Vigor moderado</t>
        </is>
      </c>
      <c r="E11" s="13" t="inlineStr">
        <is>
          <t>Sobre umbral</t>
        </is>
      </c>
    </row>
    <row r="12">
      <c r="A12" s="7" t="inlineStr">
        <is>
          <t>0.3813 - 0.4976 · DN 3</t>
        </is>
      </c>
      <c r="B12" s="18" t="n">
        <v>38.1498</v>
      </c>
      <c r="C12" s="19">
        <f>ROUND(B12/$B$15*100,2)</f>
        <v/>
      </c>
      <c r="D12" s="11" t="inlineStr">
        <is>
          <t>Vigor bajo</t>
        </is>
      </c>
      <c r="E12" s="11" t="inlineStr">
        <is>
          <t>BAJO umbral 0.4976</t>
        </is>
      </c>
    </row>
    <row r="13">
      <c r="A13" s="14" t="inlineStr">
        <is>
          <t>0.2650 - 0.3813 · DN 2</t>
        </is>
      </c>
      <c r="B13" s="32" t="n">
        <v>95.749</v>
      </c>
      <c r="C13" s="31">
        <f>ROUND(B13/$B$15*100,2)</f>
        <v/>
      </c>
      <c r="D13" s="15" t="inlineStr">
        <is>
          <t>Vigor muy bajo</t>
        </is>
      </c>
      <c r="E13" s="15" t="inlineStr">
        <is>
          <t>BAJO umbral 0.4976</t>
        </is>
      </c>
    </row>
    <row r="14">
      <c r="A14" s="7" t="inlineStr">
        <is>
          <t>&lt;= 0.2650 · DN 1</t>
        </is>
      </c>
      <c r="B14" s="18" t="n">
        <v>25.9366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446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160.36</v>
      </c>
      <c r="C18" s="50" t="inlineStr">
        <is>
          <t>—</t>
        </is>
      </c>
      <c r="D18" s="47" t="inlineStr">
        <is>
          <t>Desviación planimétrica frente al catálogo</t>
        </is>
      </c>
      <c r="E18" s="47" t="inlineStr">
        <is>
          <t>+0.00 %</t>
        </is>
      </c>
    </row>
    <row r="19">
      <c r="A19" s="16" t="inlineStr">
        <is>
          <t>MSAVI 2024 — MEDIA DEL BLOQUE</t>
        </is>
      </c>
      <c r="B19" s="17" t="n">
        <v>0.334299</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446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(0.3343)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2.2624</v>
      </c>
      <c r="C25" s="19" t="n">
        <v>1.41</v>
      </c>
      <c r="D25" s="11" t="inlineStr">
        <is>
          <t>Dosel continuo, matorral denso o mosaico agroforestal</t>
        </is>
      </c>
      <c r="E25" s="11" t="inlineStr"/>
    </row>
    <row r="26">
      <c r="A26" s="12" t="inlineStr">
        <is>
          <t>Vegetación mediana</t>
        </is>
      </c>
      <c r="B26" s="20" t="n">
        <v>112.2516</v>
      </c>
      <c r="C26" s="21" t="n">
        <v>69.97</v>
      </c>
      <c r="D26" s="13" t="inlineStr">
        <is>
          <t>Pastizal cultivado, matorral ralo, parcelas agrícolas</t>
        </is>
      </c>
      <c r="E26" s="13" t="inlineStr"/>
    </row>
    <row r="27">
      <c r="A27" s="7" t="inlineStr">
        <is>
          <t>Vegetación ligera</t>
        </is>
      </c>
      <c r="B27" s="18" t="n">
        <v>44.8367</v>
      </c>
      <c r="C27" s="19" t="n">
        <v>27.95</v>
      </c>
      <c r="D27" s="11" t="inlineStr">
        <is>
          <t>Cobertura discontinua, suelo parcialmente expuesto</t>
        </is>
      </c>
      <c r="E27" s="11" t="inlineStr"/>
    </row>
    <row r="28">
      <c r="A28" s="12" t="inlineStr">
        <is>
          <t>Tierra desnuda</t>
        </is>
      </c>
      <c r="B28" s="20" t="n">
        <v>1.0794</v>
      </c>
      <c r="C28" s="21" t="n">
        <v>0.67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160.36</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1.41 % del polígono clasificado como «Vegetación alta» por el NDVI 2025; la observación de campo corresponde a una parcela o recorrido puntual y no es estadísticamente representativa de las 160.360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M18B1</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621200</v>
      </c>
      <c r="D10" s="26" t="n">
        <v>9410650</v>
      </c>
      <c r="E10" s="11" t="n">
        <v>264.4</v>
      </c>
      <c r="F10" s="11" t="inlineStr"/>
      <c r="G10" s="11" t="inlineStr">
        <is>
          <t>Coordenada consignada en F-DT-01</t>
        </is>
      </c>
    </row>
    <row r="11">
      <c r="A11" s="12" t="inlineStr">
        <is>
          <t>H-01</t>
        </is>
      </c>
      <c r="B11" s="13" t="inlineStr">
        <is>
          <t>Fuente de agua — Quebrada estacional</t>
        </is>
      </c>
      <c r="C11" s="27" t="n">
        <v>621317</v>
      </c>
      <c r="D11" s="27" t="n">
        <v>9410690</v>
      </c>
      <c r="E11" s="13" t="n">
        <v>369.1</v>
      </c>
      <c r="F11" s="13" t="inlineStr">
        <is>
          <t>Estacional</t>
        </is>
      </c>
      <c r="G11" s="13" t="inlineStr">
        <is>
          <t>Qbda. Hualas — drena el bloque</t>
        </is>
      </c>
    </row>
    <row r="12">
      <c r="A12" s="7" t="inlineStr">
        <is>
          <t>H-02</t>
        </is>
      </c>
      <c r="B12" s="11" t="inlineStr">
        <is>
          <t>Fuente de agua — Río</t>
        </is>
      </c>
      <c r="C12" s="26" t="n">
        <v>621442</v>
      </c>
      <c r="D12" s="26" t="n">
        <v>9411300</v>
      </c>
      <c r="E12" s="11" t="n">
        <v>953.7</v>
      </c>
      <c r="F12" s="11" t="inlineStr">
        <is>
          <t>Permanente</t>
        </is>
      </c>
      <c r="G12" s="11" t="inlineStr">
        <is>
          <t>Río Piura — receptor de la escorrentía</t>
        </is>
      </c>
    </row>
    <row r="13">
      <c r="A13" s="12" t="inlineStr">
        <is>
          <t>H-03</t>
        </is>
      </c>
      <c r="B13" s="13" t="inlineStr">
        <is>
          <t>Fuente de agua — Quebrada estacional</t>
        </is>
      </c>
      <c r="C13" s="27" t="n">
        <v>621158</v>
      </c>
      <c r="D13" s="27" t="n">
        <v>9410869</v>
      </c>
      <c r="E13" s="13" t="n">
        <v>453.2</v>
      </c>
      <c r="F13" s="13" t="inlineStr">
        <is>
          <t>Estacional</t>
        </is>
      </c>
      <c r="G13" s="13" t="inlineStr">
        <is>
          <t>Río Seco</t>
        </is>
      </c>
    </row>
    <row r="14">
      <c r="A14" s="7" t="inlineStr">
        <is>
          <t>H-04</t>
        </is>
      </c>
      <c r="B14" s="11" t="inlineStr">
        <is>
          <t>Fuente de agua — Quebrada estacional</t>
        </is>
      </c>
      <c r="C14" s="26" t="n">
        <v>621501</v>
      </c>
      <c r="D14" s="26" t="n">
        <v>9410664</v>
      </c>
      <c r="E14" s="11" t="n">
        <v>502.4</v>
      </c>
      <c r="F14" s="11" t="inlineStr">
        <is>
          <t>Estacional</t>
        </is>
      </c>
      <c r="G14" s="11" t="inlineStr">
        <is>
          <t>Qbda. Mayor — drenaje del flanco oriental</t>
        </is>
      </c>
    </row>
    <row r="15">
      <c r="A15" s="12" t="inlineStr">
        <is>
          <t>H-05</t>
        </is>
      </c>
      <c r="B15" s="13" t="inlineStr">
        <is>
          <t>Fuente de agua — Pozo / Galería filtrante</t>
        </is>
      </c>
      <c r="C15" s="27" t="n">
        <v>621256</v>
      </c>
      <c r="D15" s="27" t="n">
        <v>9410755</v>
      </c>
      <c r="E15" s="13" t="n">
        <v>383.1</v>
      </c>
      <c r="F15" s="13" t="inlineStr">
        <is>
          <t>Permanente</t>
        </is>
      </c>
      <c r="G15" s="13" t="inlineStr">
        <is>
          <t>CAPTACIÓN CON TANQUE ELEVADO (JASS Hualas)</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621058</v>
      </c>
      <c r="C18" s="6" t="inlineStr">
        <is>
          <t>Centroide del bloque — UTM NORTE (m)</t>
        </is>
      </c>
      <c r="D18" s="7" t="n">
        <v>9410427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accesible desde el CP Hualas por trocha de herradura ascendente. EL SECTOR NE LIMITA CON LA VÍA NACIONAL PE-02A (Buenos Aires-Salitral), QUE CONSTITUYE EL PRINCIPAL EJE DE PRESIÓN ANTRÓPICA. Afloramientos rocosos masivos observados en la cabecera de la Qbda. Hualas (621 118 · 9 410 535), correspondientes a ROCAS METAMÓRFICAS-ÍGNEAS DEL COMPLEJO BASAL. La pendiente máxima puntual alcanza 46% en los flancos de la Qbda. Mayor, con pendiente media de 17-25% en la mayor parte del bloque. NO SE IDENTIFICARON EVIDENCIAS DE MOVIMIENTOS EN MASA ACTUALES NI PASADOS.</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M18B1</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M18B3</t>
        </is>
      </c>
      <c r="B10" s="28" t="n">
        <v>373.81</v>
      </c>
      <c r="C10" s="19" t="n">
        <v>51.1</v>
      </c>
      <c r="D10" s="11" t="inlineStr">
        <is>
          <t>159 – 533</t>
        </is>
      </c>
      <c r="E10" s="11" t="n">
        <v>374</v>
      </c>
      <c r="F10" s="11" t="n">
        <v>21.52</v>
      </c>
      <c r="G10" s="18" t="n">
        <v>0.3694</v>
      </c>
      <c r="H10" s="19" t="n">
        <v>9.02</v>
      </c>
      <c r="I10" s="19" t="n">
        <v>98.38</v>
      </c>
    </row>
    <row r="11">
      <c r="A11" s="12" t="inlineStr">
        <is>
          <t>M18B5</t>
        </is>
      </c>
      <c r="B11" s="29" t="n">
        <v>197.35</v>
      </c>
      <c r="C11" s="21" t="n">
        <v>26.98</v>
      </c>
      <c r="D11" s="13" t="inlineStr">
        <is>
          <t>157 – 645</t>
        </is>
      </c>
      <c r="E11" s="13" t="n">
        <v>488</v>
      </c>
      <c r="F11" s="13" t="n">
        <v>18.19</v>
      </c>
      <c r="G11" s="20" t="n">
        <v>0.3565</v>
      </c>
      <c r="H11" s="21" t="inlineStr">
        <is>
          <t>Por determinar</t>
        </is>
      </c>
      <c r="I11" s="13" t="inlineStr">
        <is>
          <t>s/d</t>
        </is>
      </c>
    </row>
    <row r="12">
      <c r="A12" s="14" t="inlineStr">
        <is>
          <t>► M18B1</t>
        </is>
      </c>
      <c r="B12" s="30" t="n">
        <v>160.36</v>
      </c>
      <c r="C12" s="31" t="n">
        <v>21.92</v>
      </c>
      <c r="D12" s="15" t="inlineStr">
        <is>
          <t>153 – 396</t>
        </is>
      </c>
      <c r="E12" s="15" t="n">
        <v>243</v>
      </c>
      <c r="F12" s="15" t="n">
        <v>20.37</v>
      </c>
      <c r="G12" s="32" t="n">
        <v>0.3343</v>
      </c>
      <c r="H12" s="31" t="n">
        <v>1.41</v>
      </c>
      <c r="I12" s="31" t="n">
        <v>99.67</v>
      </c>
    </row>
    <row r="13">
      <c r="A13" s="16" t="inlineStr">
        <is>
          <t>TOTAL / PROMEDIO</t>
        </is>
      </c>
      <c r="B13" s="33">
        <f>SUM(B10:B12)</f>
        <v/>
      </c>
      <c r="C13" s="23">
        <f>SUM(C10:C12)</f>
        <v/>
      </c>
      <c r="D13" s="17" t="inlineStr">
        <is>
          <t>153 – 645</t>
        </is>
      </c>
      <c r="E13" s="17" t="inlineStr"/>
      <c r="F13" s="17">
        <f>ROUND(AVERAGE(F10:F12),2)</f>
        <v/>
      </c>
      <c r="G13" s="22">
        <f>ROUND(AVERAGE(G10:G12),4)</f>
        <v/>
      </c>
      <c r="H13" s="23">
        <f>ROUND(AVERAGE(H10:H12),2)</f>
        <v/>
      </c>
      <c r="I13" s="23">
        <f>ROUND(AVERAGE(I10:I12),2)</f>
        <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c r="B14" s="42" t="n"/>
      <c r="C14" s="42" t="n"/>
      <c r="D14" s="42" t="n"/>
      <c r="E14" s="42" t="n"/>
      <c r="F14" s="42" t="n"/>
      <c r="G14" s="42" t="n"/>
      <c r="H14" s="43" t="n"/>
    </row>
    <row r="15"/>
    <row r="16" ht="84" customHeight="1">
      <c r="A16" s="9" t="inlineStr">
        <is>
          <t>LECTURA INTRAMICROCUENCA. El bloque M18B1 ocupa el puesto 3 de 3 por superficie dentro de la microcuenca C1077-Q9579 (21.92 % de las 731.52 ha preliminares de la microcuenca). Su pendiente promedio (20.37 %, clase «15-25% (Fuert. inclinado)») es la 2.ª más baja de 3 y se sitúa por encima del promedio de la microcuenca (20.03 %). Su MSAVI 2024 (0.3343) es el 3.º de 3 y queda por debajo del promedio local (0.3534). Amplitud altitudinal del bloque: 243 m (153–396 msnm). El cuadro conserva todos los bloques catalogados en la microcuenca, incluidos los descartados en el tamizaje, para referencia del conjunto. Los bloques sin ficha DT figuran con sus parámetros de gabinete. BRECHA ESPECTRAL. El 99.67 % de la superficie del bloque (159.835 ha de 160.360 ha) se sitúa bajo el umbral MSAVI 0.4976, por encima del promedio local de la microcuenca (99.02 %) calculado sobre los bloques con dato MSAVI disponible.</t>
        </is>
      </c>
      <c r="B16" s="42" t="n"/>
      <c r="C16" s="42" t="n"/>
      <c r="D16" s="42" t="n"/>
      <c r="E16" s="42" t="n"/>
      <c r="F16" s="42" t="n"/>
      <c r="G16" s="42" t="n"/>
      <c r="H16" s="43"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3" t="n"/>
    </row>
  </sheetData>
  <mergeCells count="10">
    <mergeCell ref="A18:I18"/>
    <mergeCell ref="A4:I4"/>
    <mergeCell ref="A1:I1"/>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M18B1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«C1077-Q9579»</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264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(160.430 ha) coincide con la de catálogo (160.36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60 % de cobertura vegetal en campo; el NDVI mediana 2025 clasifica 99.33 %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«Hualas / Villa Malacasí / Mangamanga»; el cruce INEI-Bloques V5 identifica 1 centro(s) poblado(s) en el bloque: HUALAS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(150 msnm)</t>
        </is>
      </c>
    </row>
    <row r="19" ht="48" customHeight="1">
      <c r="A19" s="36" t="inlineStr">
        <is>
          <t>D-10</t>
        </is>
      </c>
      <c r="B19" s="36" t="inlineStr">
        <is>
          <t>F-DT-02</t>
        </is>
      </c>
      <c r="C19" s="36" t="inlineStr">
        <is>
          <t>La observación declara erosión laminar en ≈25% del área frente al 10% consignado en el campo</t>
        </is>
      </c>
      <c r="D19" s="37" t="inlineStr">
        <is>
          <t>SUSTANTIVA</t>
        </is>
      </c>
      <c r="E19" s="36" t="inlineStr">
        <is>
          <t>Inconsistencia interna a resolver</t>
        </is>
      </c>
    </row>
    <row r="20" ht="48" customHeight="1">
      <c r="A20" s="34" t="inlineStr">
        <is>
          <t>D-11</t>
        </is>
      </c>
      <c r="B20" s="34" t="inlineStr">
        <is>
          <t>F-DT-03 / F-DT-04</t>
        </is>
      </c>
      <c r="C20" s="34" t="inlineStr">
        <is>
          <t>Suelo desnudo: 40% en F-DT-03 frente a 15% en el indicador N.° 2</t>
        </is>
      </c>
      <c r="D20" s="37" t="inlineStr">
        <is>
          <t>SUSTANTIVA</t>
        </is>
      </c>
      <c r="E20" s="34" t="inlineStr">
        <is>
          <t>Inconsistencia interna a resolver</t>
        </is>
      </c>
    </row>
    <row r="21" ht="48" customHeight="1">
      <c r="A21" s="36" t="inlineStr">
        <is>
          <t>D-12</t>
        </is>
      </c>
      <c r="B21" s="36" t="inlineStr">
        <is>
          <t>F-DT-03</t>
        </is>
      </c>
      <c r="C21" s="36" t="inlineStr">
        <is>
          <t>Cobertura vegetal total: 60% en el campo frente a 65% en la observación</t>
        </is>
      </c>
      <c r="D21" s="15" t="inlineStr">
        <is>
          <t>NO SUSTANTIVA</t>
        </is>
      </c>
      <c r="E21" s="36" t="inlineStr">
        <is>
          <t>Conciliar</t>
        </is>
      </c>
    </row>
    <row r="22" ht="48" customHeight="1">
      <c r="A22" s="34" t="inlineStr">
        <is>
          <t>D-13</t>
        </is>
      </c>
      <c r="B22" s="34" t="inlineStr">
        <is>
          <t>F-DT-03</t>
        </is>
      </c>
      <c r="C22" s="34" t="inlineStr">
        <is>
          <t>Solo 11 taxones registrados frente al mínimo de 15 exigido</t>
        </is>
      </c>
      <c r="D22" s="15" t="inlineStr">
        <is>
          <t>NO SUSTANTIVA</t>
        </is>
      </c>
      <c r="E22" s="34" t="inlineStr">
        <is>
          <t>Inventario a completar</t>
        </is>
      </c>
    </row>
    <row r="23" ht="48" customHeight="1">
      <c r="A23" s="36" t="inlineStr">
        <is>
          <t>D-14</t>
        </is>
      </c>
      <c r="B23" s="36" t="inlineStr">
        <is>
          <t>F-DT-03</t>
        </is>
      </c>
      <c r="C23" s="36" t="inlineStr">
        <is>
          <t>Categoría del Hualtaco consignada VU frente a CR en la mayoría de los bloques</t>
        </is>
      </c>
      <c r="D23" s="37" t="inlineStr">
        <is>
          <t>SUSTANTIVA</t>
        </is>
      </c>
      <c r="E23" s="36" t="inlineStr">
        <is>
          <t>Homogeneizar criterio de categorización</t>
        </is>
      </c>
    </row>
    <row r="24" ht="48" customHeight="1">
      <c r="A24" s="34" t="inlineStr">
        <is>
          <t>D-15</t>
        </is>
      </c>
      <c r="B24" s="34" t="inlineStr">
        <is>
          <t>F-DT-05</t>
        </is>
      </c>
      <c r="C24" s="34" t="inlineStr">
        <is>
          <t>Zona de recarga «No» y escorrentía concentrada «No» pese a registrarse socavamiento de cauce y 4 quebradas</t>
        </is>
      </c>
      <c r="D24" s="37" t="inlineStr">
        <is>
          <t>SUSTANTIVA</t>
        </is>
      </c>
      <c r="E24" s="34" t="inlineStr">
        <is>
          <t>Inconsistencia interna a resolver</t>
        </is>
      </c>
    </row>
    <row r="25" ht="48" customHeight="1">
      <c r="A25" s="36" t="inlineStr">
        <is>
          <t>D-16</t>
        </is>
      </c>
      <c r="B25" s="36" t="inlineStr">
        <is>
          <t>F-DT-05</t>
        </is>
      </c>
      <c r="C25" s="36" t="inlineStr">
        <is>
          <t>Captación poblacional de la JASS Hualas a 30 m del bloque</t>
        </is>
      </c>
      <c r="D25" s="37" t="inlineStr">
        <is>
          <t>SUSTANTIVA</t>
        </is>
      </c>
      <c r="E25" s="36" t="inlineStr">
        <is>
          <t>Oportunidad MERESE: vínculo directo entre la conservación del bloque y la seguridad hídrica del CP</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(446 polígonos, 160.360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(160.360 ha) frente a la de catálogo V5/V6 (160.360 ha): desviación de +0.00 %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(0.3343) cae en la clase «DN 2 · 0.2650 - 0.3813 (Vigor muy bajo)»; la clase de mayor superficie es «DN 2 · 0.2650 - 0.3813 (Vigor muy bajo)», con 59.71 % del bloque. Superficie bajo el umbral 0.4976: 159.835 ha (99.67 %)</t>
        </is>
      </c>
      <c r="D28" s="37"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6 · CORREGIDO: 2 · NO SUSTANTIVA: 3 · SUSTANTIVA: 8</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M18B1 — IN Piura</dc:title>
  <dc:subject>Diagnóstico Territorial por bloque de intervención</dc:subject>
  <dcterms:created xsi:type="dcterms:W3CDTF">2026-09-08T03:39:57Z</dcterms:created>
  <dcterms:modified xsi:type="dcterms:W3CDTF">2026-09-09T23:30:54Z</dcterms:modified>
</cp:coreProperties>
</file>