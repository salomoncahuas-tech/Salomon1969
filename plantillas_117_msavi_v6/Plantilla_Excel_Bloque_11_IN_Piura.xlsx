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11</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Taylin de Tuñalí</t>
        </is>
      </c>
      <c r="C13" s="6" t="inlineStr">
        <is>
          <t>Comunidad campesina</t>
        </is>
      </c>
      <c r="D13" s="7" t="inlineStr">
        <is>
          <t>Predios de propiedad privada (por verificar comunidad)</t>
        </is>
      </c>
      <c r="E13" s="8" t="n"/>
      <c r="F13" s="8" t="n"/>
    </row>
    <row r="14">
      <c r="A14" s="6" t="inlineStr">
        <is>
          <t>Superficie de catálogo (V5/V6), ha</t>
        </is>
      </c>
      <c r="B14" s="7" t="n">
        <v>103.95</v>
      </c>
      <c r="C14" s="6" t="inlineStr">
        <is>
          <t>Fuente de superficie</t>
        </is>
      </c>
      <c r="D14" s="7" t="inlineStr">
        <is>
          <t>Catálogo maestro Bloques V5/V6</t>
        </is>
      </c>
      <c r="E14" s="8" t="n"/>
      <c r="F14" s="8" t="n"/>
    </row>
    <row r="15">
      <c r="A15" s="6" t="inlineStr">
        <is>
          <t>Centroide UTM ESTE (m)</t>
        </is>
      </c>
      <c r="B15" s="7" t="n">
        <v>620759</v>
      </c>
      <c r="C15" s="6" t="inlineStr">
        <is>
          <t>Centroide UTM NORTE (m)</t>
        </is>
      </c>
      <c r="D15" s="7" t="n">
        <v>9439988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1375</v>
      </c>
      <c r="C19" s="6" t="inlineStr">
        <is>
          <t>Altitud máxima (msnm)</t>
        </is>
      </c>
      <c r="D19" s="7" t="n">
        <v>1928</v>
      </c>
      <c r="E19" s="8" t="n"/>
      <c r="F19" s="8" t="n"/>
    </row>
    <row r="20">
      <c r="A20" s="6" t="inlineStr">
        <is>
          <t>Amplitud altitudinal (m)</t>
        </is>
      </c>
      <c r="B20" s="7" t="n">
        <v>553</v>
      </c>
      <c r="C20" s="6" t="inlineStr">
        <is>
          <t>Piso altitudinal dominante</t>
        </is>
      </c>
      <c r="D20" s="7" t="inlineStr">
        <is>
          <t>1500-2000 m (Quechua media)</t>
        </is>
      </c>
      <c r="E20" s="8" t="n"/>
      <c r="F20" s="8" t="n"/>
    </row>
    <row r="21">
      <c r="A21" s="6" t="inlineStr">
        <is>
          <t>Pendiente promedio (%)</t>
        </is>
      </c>
      <c r="B21" s="7" t="n">
        <v>32.19</v>
      </c>
      <c r="C21" s="6" t="inlineStr">
        <is>
          <t>Pendiente promedio (grados)</t>
        </is>
      </c>
      <c r="D21" s="7" t="n">
        <v>17.8</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0.6047</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(75.28 %)</t>
        </is>
      </c>
      <c r="E29" s="8" t="n"/>
      <c r="F29" s="8" t="n"/>
    </row>
    <row r="30">
      <c r="A30" s="6" t="inlineStr">
        <is>
          <t>Superficie clasificada NDVI 2025 (ha)</t>
        </is>
      </c>
      <c r="B30" s="7" t="n">
        <v>103.993</v>
      </c>
      <c r="C30" s="6" t="inlineStr">
        <is>
          <t>Desviación frente al catálogo (%)</t>
        </is>
      </c>
      <c r="D30" s="7" t="n">
        <v>0.04</v>
      </c>
      <c r="E30" s="8" t="n"/>
      <c r="F30" s="8" t="n"/>
    </row>
    <row r="31">
      <c r="A31" s="6" t="inlineStr">
        <is>
          <t>Superficie clasificada MSAVI 2024 (ha)</t>
        </is>
      </c>
      <c r="B31" s="38" t="n">
        <v>103.948</v>
      </c>
      <c r="C31" s="6" t="inlineStr">
        <is>
          <t>Desviación MSAVI frente al catálogo (%)</t>
        </is>
      </c>
      <c r="D31" s="39" t="n">
        <v>0</v>
      </c>
      <c r="E31" s="8" t="n"/>
      <c r="F31" s="8" t="n"/>
    </row>
    <row r="32">
      <c r="A32" s="6" t="inlineStr">
        <is>
          <t>Superficie bajo umbral MSAVI 0.4976 (ha)</t>
        </is>
      </c>
      <c r="B32" s="38" t="n">
        <v>11.789</v>
      </c>
      <c r="C32" s="6" t="inlineStr">
        <is>
          <t>% del bloque bajo umbral (brecha espectral)</t>
        </is>
      </c>
      <c r="D32" s="39" t="n">
        <v>11.34</v>
      </c>
      <c r="E32" s="8" t="n"/>
      <c r="F32" s="8" t="n"/>
    </row>
    <row r="33">
      <c r="A33" s="6" t="inlineStr">
        <is>
          <t>Clase DN dominante (MSAVI 2024)</t>
        </is>
      </c>
      <c r="B33" s="7" t="inlineStr">
        <is>
          <t>DN 4 · 0.4976 - 0.6139 (Vigor moderado)</t>
        </is>
      </c>
      <c r="C33" s="6" t="inlineStr">
        <is>
          <t>N.° de polígonos MSAVI del bloque</t>
        </is>
      </c>
      <c r="D33" s="40" t="n">
        <v>302</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70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P. Talledo H. / J.C. Domínguez V.</t>
        </is>
      </c>
      <c r="C44" s="6" t="inlineStr">
        <is>
          <t>Fecha de evaluación</t>
        </is>
      </c>
      <c r="D44" s="7" t="inlineStr">
        <is>
          <t>2026-06-11</t>
        </is>
      </c>
      <c r="E44" s="8" t="n"/>
      <c r="F44" s="8" t="n"/>
    </row>
    <row r="45">
      <c r="A45" s="6" t="inlineStr">
        <is>
          <t>Hora de registro</t>
        </is>
      </c>
      <c r="B45" s="7" t="inlineStr">
        <is>
          <t>10:05</t>
        </is>
      </c>
      <c r="C45" s="6" t="inlineStr">
        <is>
          <t>Correlativo de ficha</t>
        </is>
      </c>
      <c r="D45" s="7" t="inlineStr">
        <is>
          <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Inspección rápida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sobre laderas de fuerte pendiente sin prácticas de conservación de suelos.</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45.9298</v>
      </c>
      <c r="C10" s="19">
        <f>ROUND(B10/$B$15*100,2)</f>
        <v/>
      </c>
      <c r="D10" s="11" t="inlineStr">
        <is>
          <t>Vigor alto</t>
        </is>
      </c>
      <c r="E10" s="11" t="inlineStr">
        <is>
          <t>Sobre umbral</t>
        </is>
      </c>
    </row>
    <row r="11">
      <c r="A11" s="12" t="inlineStr">
        <is>
          <t>0.4976 - 0.6139 · DN 4</t>
        </is>
      </c>
      <c r="B11" s="31" t="n">
        <v>46.2287</v>
      </c>
      <c r="C11" s="30">
        <f>ROUND(B11/$B$15*100,2)</f>
        <v/>
      </c>
      <c r="D11" s="13" t="inlineStr">
        <is>
          <t>Vigor moderado</t>
        </is>
      </c>
      <c r="E11" s="13" t="inlineStr">
        <is>
          <t>Sobre umbral</t>
        </is>
      </c>
    </row>
    <row r="12">
      <c r="A12" s="7" t="inlineStr">
        <is>
          <t>0.3813 - 0.4976 · DN 3</t>
        </is>
      </c>
      <c r="B12" s="18" t="n">
        <v>11.7243</v>
      </c>
      <c r="C12" s="19">
        <f>ROUND(B12/$B$15*100,2)</f>
        <v/>
      </c>
      <c r="D12" s="11" t="inlineStr">
        <is>
          <t>Vigor bajo</t>
        </is>
      </c>
      <c r="E12" s="11" t="inlineStr">
        <is>
          <t>BAJO umbral 0.4976</t>
        </is>
      </c>
    </row>
    <row r="13">
      <c r="A13" s="14" t="inlineStr">
        <is>
          <t>0.2650 - 0.3813 · DN 2</t>
        </is>
      </c>
      <c r="B13" s="20" t="n">
        <v>0.06469999999999999</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302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103.95</v>
      </c>
      <c r="C18" s="49" t="inlineStr">
        <is>
          <t>—</t>
        </is>
      </c>
      <c r="D18" s="46" t="inlineStr">
        <is>
          <t>Desviación planimétrica frente al catálogo</t>
        </is>
      </c>
      <c r="E18" s="46" t="inlineStr">
        <is>
          <t>+0.00 %</t>
        </is>
      </c>
    </row>
    <row r="19">
      <c r="A19" s="16" t="inlineStr">
        <is>
          <t>MSAVI 2024 — MEDIA DEL BLOQUE</t>
        </is>
      </c>
      <c r="B19" s="17" t="n">
        <v>0.604743</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302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(0.6047)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78.2869</v>
      </c>
      <c r="C25" s="19" t="n">
        <v>75.28</v>
      </c>
      <c r="D25" s="11" t="inlineStr">
        <is>
          <t>Dosel continuo, matorral denso o mosaico agroforestal</t>
        </is>
      </c>
      <c r="E25" s="11" t="inlineStr"/>
    </row>
    <row r="26">
      <c r="A26" s="14" t="inlineStr">
        <is>
          <t>Vegetación mediana</t>
        </is>
      </c>
      <c r="B26" s="20" t="n">
        <v>25.102</v>
      </c>
      <c r="C26" s="21" t="n">
        <v>24.14</v>
      </c>
      <c r="D26" s="15" t="inlineStr">
        <is>
          <t>Pastizal cultivado, matorral ralo, parcelas agrícolas</t>
        </is>
      </c>
      <c r="E26" s="15" t="inlineStr"/>
    </row>
    <row r="27">
      <c r="A27" s="7" t="inlineStr">
        <is>
          <t>Vegetación ligera</t>
        </is>
      </c>
      <c r="B27" s="18" t="n">
        <v>0.6042999999999999</v>
      </c>
      <c r="C27" s="19" t="n">
        <v>0.58</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103.95</v>
      </c>
      <c r="C29" s="25" t="inlineStr">
        <is>
          <t>—</t>
        </is>
      </c>
      <c r="D29" s="25" t="inlineStr">
        <is>
          <t>Desviación planimétrica frente al catálogo</t>
        </is>
      </c>
      <c r="E29" s="25" t="inlineStr">
        <is>
          <t>+0.04 %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75.28 % del polígono clasificado como «Vegetación alta» por el NDVI 2025; la observación de campo corresponde a una parcela o recorrido puntual y no es estadísticamente representativa de las 103.950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11</t>
        </is>
      </c>
    </row>
    <row r="6" ht="24" customHeight="1">
      <c r="A6" s="4" t="inlineStr">
        <is>
          <t>Levantamiento del 2026-06-11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52696.9</v>
      </c>
      <c r="F10" s="11" t="inlineStr"/>
      <c r="G10" s="11" t="inlineStr">
        <is>
          <t>Coordenada consignada en F-DT-01</t>
        </is>
      </c>
    </row>
    <row r="11">
      <c r="A11" s="14" t="inlineStr">
        <is>
          <t>H-01</t>
        </is>
      </c>
      <c r="B11" s="15" t="inlineStr">
        <is>
          <t>Fuente de agua — Quebrada estacional</t>
        </is>
      </c>
      <c r="C11" s="27" t="n">
        <v>621116</v>
      </c>
      <c r="D11" s="27" t="n">
        <v>9439798</v>
      </c>
      <c r="E11" s="15" t="n">
        <v>404.4</v>
      </c>
      <c r="F11" s="15" t="inlineStr">
        <is>
          <t>Estacional (lluvias)</t>
        </is>
      </c>
      <c r="G11" s="15" t="inlineStr">
        <is>
          <t>Quebrada con lecho rocoso</t>
        </is>
      </c>
    </row>
    <row r="12">
      <c r="A12" s="7" t="inlineStr">
        <is>
          <t>H-02</t>
        </is>
      </c>
      <c r="B12" s="11" t="inlineStr">
        <is>
          <t>Fuente de agua — Quebrada estacional</t>
        </is>
      </c>
      <c r="C12" s="26" t="n">
        <v>621204</v>
      </c>
      <c r="D12" s="26" t="n">
        <v>9440026</v>
      </c>
      <c r="E12" s="11" t="n">
        <v>446.6</v>
      </c>
      <c r="F12" s="11" t="inlineStr">
        <is>
          <t>Estacional (lluvias)</t>
        </is>
      </c>
      <c r="G12" s="11" t="inlineStr">
        <is>
          <t>Quebrada con vegetación</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620759</v>
      </c>
      <c r="C15" s="6" t="inlineStr">
        <is>
          <t>Centroide del bloque — UTM NORTE (m)</t>
        </is>
      </c>
      <c r="D15" s="7" t="n">
        <v>9439988</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del 11/06/2026 con track GPS Garmin 66sr; ingreso por vía vecinal PI-799. El sector verificado corresponde al margen este/sureste (cota ≈1328 msnm); el sector norte y de mayor altitud (hasta ≈2150 msnm) quedó caracterizado por teledetección y pendiente de acceso a pie/dron. Escarpes activos = taludes de corte de la trocha. Reptación posible en laderas de pastoreo, por confirmar.</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11</t>
        </is>
      </c>
    </row>
    <row r="6" ht="24" customHeight="1">
      <c r="A6" s="4" t="inlineStr">
        <is>
          <t>Distrito de Santo Domingo · Provincia de Morropon · Comparación de los bloques preliminares de intervención de la misma microcuenca</t>
        </is>
      </c>
    </row>
    <row r="7"/>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1" t="inlineStr">
        <is>
          <t>672 – 2244</t>
        </is>
      </c>
      <c r="E10" s="11" t="n">
        <v>1572</v>
      </c>
      <c r="F10" s="11" t="n">
        <v>27.41</v>
      </c>
      <c r="G10" s="18" t="n">
        <v>0.7067</v>
      </c>
      <c r="H10" s="19" t="n">
        <v>99.93000000000001</v>
      </c>
      <c r="I10" s="19" t="n">
        <v>0.07000000000000001</v>
      </c>
    </row>
    <row r="11">
      <c r="A11" s="12" t="inlineStr">
        <is>
          <t>► 11</t>
        </is>
      </c>
      <c r="B11" s="29" t="n">
        <v>103.95</v>
      </c>
      <c r="C11" s="30" t="n">
        <v>12.17</v>
      </c>
      <c r="D11" s="13" t="inlineStr">
        <is>
          <t>1375 – 1928</t>
        </is>
      </c>
      <c r="E11" s="13" t="n">
        <v>553</v>
      </c>
      <c r="F11" s="13" t="n">
        <v>32.19</v>
      </c>
      <c r="G11" s="31" t="n">
        <v>0.6047</v>
      </c>
      <c r="H11" s="30" t="n">
        <v>75.28</v>
      </c>
      <c r="I11" s="30" t="n">
        <v>11.34</v>
      </c>
    </row>
    <row r="12">
      <c r="A12" s="7" t="inlineStr">
        <is>
          <t>17</t>
        </is>
      </c>
      <c r="B12" s="28" t="n">
        <v>96.08</v>
      </c>
      <c r="C12" s="19" t="n">
        <v>11.25</v>
      </c>
      <c r="D12" s="11" t="inlineStr">
        <is>
          <t>1253 – 1880</t>
        </is>
      </c>
      <c r="E12" s="11" t="n">
        <v>627</v>
      </c>
      <c r="F12" s="11" t="n">
        <v>35.56</v>
      </c>
      <c r="G12" s="18" t="n">
        <v>0.6479</v>
      </c>
      <c r="H12" s="19" t="n">
        <v>88.68000000000001</v>
      </c>
      <c r="I12" s="19" t="n">
        <v>2.09</v>
      </c>
    </row>
    <row r="13">
      <c r="A13" s="14" t="inlineStr">
        <is>
          <t>14</t>
        </is>
      </c>
      <c r="B13" s="32" t="n">
        <v>92.90000000000001</v>
      </c>
      <c r="C13" s="21" t="n">
        <v>10.88</v>
      </c>
      <c r="D13" s="15" t="inlineStr">
        <is>
          <t>87 – 1355</t>
        </is>
      </c>
      <c r="E13" s="15" t="n">
        <v>1268</v>
      </c>
      <c r="F13" s="15" t="n">
        <v>23.75</v>
      </c>
      <c r="G13" s="20" t="n">
        <v>0.5197000000000001</v>
      </c>
      <c r="H13" s="21" t="n">
        <v>58.89</v>
      </c>
      <c r="I13" s="21" t="n">
        <v>39.02</v>
      </c>
    </row>
    <row r="14">
      <c r="A14" s="7" t="inlineStr">
        <is>
          <t>15</t>
        </is>
      </c>
      <c r="B14" s="28" t="n">
        <v>86.15000000000001</v>
      </c>
      <c r="C14" s="19" t="n">
        <v>10.09</v>
      </c>
      <c r="D14" s="11" t="inlineStr">
        <is>
          <t>1199 – 1655</t>
        </is>
      </c>
      <c r="E14" s="11" t="n">
        <v>456</v>
      </c>
      <c r="F14" s="11" t="n">
        <v>26.19</v>
      </c>
      <c r="G14" s="18" t="n">
        <v>0.5605</v>
      </c>
      <c r="H14" s="19" t="n">
        <v>56.47</v>
      </c>
      <c r="I14" s="19" t="n">
        <v>22.48</v>
      </c>
    </row>
    <row r="15">
      <c r="A15" s="14" t="inlineStr">
        <is>
          <t>23</t>
        </is>
      </c>
      <c r="B15" s="32" t="n">
        <v>81.78</v>
      </c>
      <c r="C15" s="21" t="n">
        <v>9.58</v>
      </c>
      <c r="D15" s="15" t="inlineStr">
        <is>
          <t>521 – 973</t>
        </is>
      </c>
      <c r="E15" s="15" t="n">
        <v>452</v>
      </c>
      <c r="F15" s="15" t="n">
        <v>35.28</v>
      </c>
      <c r="G15" s="20" t="n">
        <v>0.5731000000000001</v>
      </c>
      <c r="H15" s="21" t="n">
        <v>47.99</v>
      </c>
      <c r="I15" s="21" t="n">
        <v>18.75</v>
      </c>
    </row>
    <row r="16">
      <c r="A16" s="7" t="inlineStr">
        <is>
          <t>42</t>
        </is>
      </c>
      <c r="B16" s="28" t="n">
        <v>80.62</v>
      </c>
      <c r="C16" s="19" t="n">
        <v>9.44</v>
      </c>
      <c r="D16" s="11" t="inlineStr">
        <is>
          <t>1131 – 1548</t>
        </is>
      </c>
      <c r="E16" s="11" t="n">
        <v>417</v>
      </c>
      <c r="F16" s="11" t="n">
        <v>27.86</v>
      </c>
      <c r="G16" s="18" t="n">
        <v>0.6348</v>
      </c>
      <c r="H16" s="19" t="n">
        <v>88.83</v>
      </c>
      <c r="I16" s="19" t="n">
        <v>5.64</v>
      </c>
    </row>
    <row r="17">
      <c r="A17" s="14" t="inlineStr">
        <is>
          <t>M19B2</t>
        </is>
      </c>
      <c r="B17" s="32" t="n">
        <v>74.37</v>
      </c>
      <c r="C17" s="21" t="n">
        <v>8.710000000000001</v>
      </c>
      <c r="D17" s="15" t="inlineStr">
        <is>
          <t>203 – 523</t>
        </is>
      </c>
      <c r="E17" s="15" t="n">
        <v>320</v>
      </c>
      <c r="F17" s="15" t="n">
        <v>21.71</v>
      </c>
      <c r="G17" s="20" t="n">
        <v>0.4012</v>
      </c>
      <c r="H17" s="21" t="n">
        <v>1.28</v>
      </c>
      <c r="I17" s="21" t="n">
        <v>96.23999999999999</v>
      </c>
    </row>
    <row r="18">
      <c r="A18" s="7" t="inlineStr">
        <is>
          <t>82</t>
        </is>
      </c>
      <c r="B18" s="28" t="n">
        <v>35.66</v>
      </c>
      <c r="C18" s="19" t="n">
        <v>4.18</v>
      </c>
      <c r="D18" s="11" t="inlineStr">
        <is>
          <t>1796 – 2098</t>
        </is>
      </c>
      <c r="E18" s="11" t="n">
        <v>302</v>
      </c>
      <c r="F18" s="11" t="n">
        <v>23.55</v>
      </c>
      <c r="G18" s="18" t="n">
        <v>0.6283</v>
      </c>
      <c r="H18" s="19" t="n">
        <v>90.06999999999999</v>
      </c>
      <c r="I18" s="19" t="n">
        <v>12.67</v>
      </c>
    </row>
    <row r="19">
      <c r="A19" s="14" t="inlineStr">
        <is>
          <t>78</t>
        </is>
      </c>
      <c r="B19" s="32" t="n">
        <v>35.1</v>
      </c>
      <c r="C19" s="21" t="n">
        <v>4.11</v>
      </c>
      <c r="D19" s="15" t="inlineStr">
        <is>
          <t>1908 – 2236</t>
        </is>
      </c>
      <c r="E19" s="15" t="n">
        <v>328</v>
      </c>
      <c r="F19" s="15" t="n">
        <v>30.64</v>
      </c>
      <c r="G19" s="20" t="n">
        <v>0.7074</v>
      </c>
      <c r="H19" s="21" t="n">
        <v>89.33</v>
      </c>
      <c r="I19" s="21" t="n">
        <v>1.77</v>
      </c>
    </row>
    <row r="20">
      <c r="A20" s="7" t="inlineStr">
        <is>
          <t>M19B7</t>
        </is>
      </c>
      <c r="B20" s="28" t="n">
        <v>34.17</v>
      </c>
      <c r="C20" s="19" t="n">
        <v>4</v>
      </c>
      <c r="D20" s="11" t="inlineStr">
        <is>
          <t>1213 – 1578</t>
        </is>
      </c>
      <c r="E20" s="11" t="n">
        <v>365</v>
      </c>
      <c r="F20" s="11" t="n">
        <v>28.15</v>
      </c>
      <c r="G20" s="18" t="n">
        <v>0.5919</v>
      </c>
      <c r="H20" s="19" t="n">
        <v>78.52</v>
      </c>
      <c r="I20" s="19" t="n">
        <v>5.85</v>
      </c>
    </row>
    <row r="21">
      <c r="A21" s="14" t="inlineStr">
        <is>
          <t>59</t>
        </is>
      </c>
      <c r="B21" s="32" t="n">
        <v>13.55</v>
      </c>
      <c r="C21" s="21" t="n">
        <v>1.59</v>
      </c>
      <c r="D21" s="15" t="inlineStr">
        <is>
          <t>2045 – 2218</t>
        </is>
      </c>
      <c r="E21" s="15" t="n">
        <v>173</v>
      </c>
      <c r="F21" s="15"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3"/>
    <row r="24" ht="84" customHeight="1">
      <c r="A24" s="9" t="inlineStr">
        <is>
          <t>LECTURA INTRAMICROCUENCA. El bloque 11 ocupa el puesto 2 de 12 por superficie dentro de la microcuenca C1086-Q9570 (12.17 % de las 853.87 ha preliminares de la microcuenca). Su pendiente promedio (32.19 %, clase «25-50% (Mod. escarpado)») es la 10.ª más baja de 12 y se sitúa por encima del promedio de la microcuenca (28.51 %). Su MSAVI 2024 (0.6047) es el 7.º de 12 y queda por encima del promedio local (0.5993). Amplitud altitudinal del bloque: 553 m (1375–1928 msnm). El cuadro conserva todos los bloques catalogados en la microcuenca, incluidos los descartados en el tamizaje, para referencia del conjunto. Los bloques sin ficha DT figuran con sus parámetros de gabinete. BRECHA ESPECTRAL. El 11.34 % de la superficie del bloque (11.789 ha de 103.948 ha) se sitúa bajo el umbral MSAVI 0.4976, por debajo del promedio local de la microcuenca (19.14 %)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9">
    <mergeCell ref="A1:I1"/>
    <mergeCell ref="A4:I4"/>
    <mergeCell ref="A3:I3"/>
    <mergeCell ref="A26:I26"/>
    <mergeCell ref="A24:I24"/>
    <mergeCell ref="A2:I2"/>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(645575 E / 9393500 N) dista 52,697 m del centroide de catálogo (620759 E / 9439988 N), distancia incompatible con la superficie del bloque (103.95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(103.993 ha) coincide con la de catálogo (103.95 ha) dentro del ±2 % (+0.04 %)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70 % de cobertura vegetal en campo; el NDVI mediana 2025 clasifica 100.00 % del polígono en clases de vegetación</t>
        </is>
      </c>
      <c r="D13" s="13"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Dimensiones del inventario de cárcavas</t>
        </is>
      </c>
      <c r="C14" s="34" t="inlineStr">
        <is>
          <t>Se registran 0 rasgos erosivos, pero longitud, profundidad y ancho no fueron medidos instrumentalmente</t>
        </is>
      </c>
      <c r="D14" s="13"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Centro poblado asociado</t>
        </is>
      </c>
      <c r="C15" s="36" t="inlineStr">
        <is>
          <t>La ficha DT declara «Taylin de Tuñalí»; el cruce INEI-Bloques V5 identifica 1 centro(s) poblado(s) en el bloque: TAYLIN DE TUÑALI</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4" t="inlineStr">
        <is>
          <t>D-08</t>
        </is>
      </c>
      <c r="B17" s="34" t="inlineStr">
        <is>
          <t>Distribución areal MSAVI 2024</t>
        </is>
      </c>
      <c r="C17" s="34" t="inlineStr">
        <is>
          <t>La distribución por clase de MSAVI no figuraba en los insumos del entregable y se consignaba «Por determinar»; se incorpora la estadística zonal del ráster MSAVI clasificado (302 polígonos, 103.948 ha)</t>
        </is>
      </c>
      <c r="D17" s="37" t="inlineStr">
        <is>
          <t>CORREGIDO</t>
        </is>
      </c>
      <c r="E1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8" ht="48" customHeight="1">
      <c r="A18" s="34" t="inlineStr">
        <is>
          <t>D-09</t>
        </is>
      </c>
      <c r="B18" s="34" t="inlineStr">
        <is>
          <t>Superficie MSAVI vs. catálogo</t>
        </is>
      </c>
      <c r="C18" s="34" t="inlineStr">
        <is>
          <t>La superficie total clasificada por el MSAVI 2024 (103.948 ha) frente a la de catálogo V5/V6 (103.950 ha): desviación de +0.00 %</t>
        </is>
      </c>
      <c r="D18" s="37" t="inlineStr">
        <is>
          <t>CONFORME</t>
        </is>
      </c>
      <c r="E18" s="34" t="inlineStr">
        <is>
          <t>Sin acción: la segmentación del ráster valida la geometría del bloque dentro del ±2 %.</t>
        </is>
      </c>
    </row>
    <row r="19" ht="48" customHeight="1">
      <c r="A19" s="34" t="inlineStr">
        <is>
          <t>D-10</t>
        </is>
      </c>
      <c r="B19" s="34" t="inlineStr">
        <is>
          <t>Media MSAVI vs. clase DN dominante</t>
        </is>
      </c>
      <c r="C19" s="34" t="inlineStr">
        <is>
          <t>La media del bloque (0.6047) cae en la clase «DN 4 · 0.4976 - 0.6139 (Vigor moderado)»; la clase de mayor superficie es «DN 4 · 0.4976 - 0.6139 (Vigor moderado)», con 44.47 % del bloque. Superficie bajo el umbral 0.4976: 11.789 ha (11.34 %)</t>
        </is>
      </c>
      <c r="D19" s="37" t="inlineStr">
        <is>
          <t>CONFORME</t>
        </is>
      </c>
      <c r="E19" s="34" t="inlineStr">
        <is>
          <t>Sin acción: la media del bloque y la clase de mayor superficie coinciden.</t>
        </is>
      </c>
    </row>
    <row r="20"/>
    <row r="21">
      <c r="A21" s="16" t="inlineStr">
        <is>
          <t>RESUMEN</t>
        </is>
      </c>
      <c r="B21" s="17" t="inlineStr">
        <is>
          <t>10 verificaciones</t>
        </is>
      </c>
      <c r="C21" s="17" t="inlineStr">
        <is>
          <t>CONFORME: 5 · CORREGIDO: 1 · NO SUSTANTIVA: 2 · SUSTANTIVA: 2</t>
        </is>
      </c>
      <c r="D21" s="17" t="inlineStr"/>
      <c r="E21" s="17" t="inlineStr"/>
    </row>
    <row r="22"/>
    <row r="23" ht="60" customHeight="1">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41" t="n"/>
      <c r="C23" s="41" t="n"/>
      <c r="D23" s="41" t="n"/>
      <c r="E23" s="42"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11 — IN Piura</dc:title>
  <dc:subject>Diagnóstico Territorial por bloque de intervención</dc:subject>
  <dcterms:created xsi:type="dcterms:W3CDTF">2026-09-08T03:39:55Z</dcterms:created>
  <dcterms:modified xsi:type="dcterms:W3CDTF">2026-09-09T23:30:50Z</dcterms:modified>
</cp:coreProperties>
</file>