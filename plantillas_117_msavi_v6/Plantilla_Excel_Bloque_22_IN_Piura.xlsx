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22</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Platanal Bajo</t>
        </is>
      </c>
      <c r="C13" s="6" t="inlineStr">
        <is>
          <t>Comunidad campesina</t>
        </is>
      </c>
      <c r="D13" s="7" t="inlineStr">
        <is>
          <t>Asociación de pequeños propietarios «San Francisco de Asís» (F-DS-01)</t>
        </is>
      </c>
      <c r="E13" s="8" t="n"/>
      <c r="F13" s="8" t="n"/>
    </row>
    <row r="14">
      <c r="A14" s="6" t="inlineStr">
        <is>
          <t>Superficie de catálogo (V5/V6), ha</t>
        </is>
      </c>
      <c r="B14" s="7" t="n">
        <v>79.33</v>
      </c>
      <c r="C14" s="6" t="inlineStr">
        <is>
          <t>Fuente de superficie</t>
        </is>
      </c>
      <c r="D14" s="7" t="inlineStr">
        <is>
          <t>Catálogo maestro Bloques V5/V6</t>
        </is>
      </c>
      <c r="E14" s="8" t="n"/>
      <c r="F14" s="8" t="n"/>
    </row>
    <row r="15">
      <c r="A15" s="6" t="inlineStr">
        <is>
          <t>Centroide UTM ESTE (m)</t>
        </is>
      </c>
      <c r="B15" s="7" t="n">
        <v>601122</v>
      </c>
      <c r="C15" s="6" t="inlineStr">
        <is>
          <t>Centroide UTM NORTE (m)</t>
        </is>
      </c>
      <c r="D15" s="7" t="n">
        <v>9443651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596</v>
      </c>
      <c r="E19" s="8" t="n"/>
      <c r="F19" s="8" t="n"/>
    </row>
    <row r="20">
      <c r="A20" s="6" t="inlineStr">
        <is>
          <t>Amplitud altitudinal (m)</t>
        </is>
      </c>
      <c r="B20" s="7" t="n">
        <v>361</v>
      </c>
      <c r="C20" s="6" t="inlineStr">
        <is>
          <t>Piso altitudinal dominante</t>
        </is>
      </c>
      <c r="D20" s="7" t="inlineStr">
        <is>
          <t>&lt;1000 m (Yunga)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0.4232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ligera (66.29 %)</t>
        </is>
      </c>
      <c r="E29" s="8" t="n"/>
      <c r="F29" s="8" t="n"/>
    </row>
    <row r="30">
      <c r="A30" s="6" t="inlineStr">
        <is>
          <t>Superficie clasificada NDVI 2025 (ha)</t>
        </is>
      </c>
      <c r="B30" s="7" t="n">
        <v>79.374</v>
      </c>
      <c r="C30" s="6" t="inlineStr">
        <is>
          <t>Desviación frente al catálogo (%)</t>
        </is>
      </c>
      <c r="D30" s="7" t="n">
        <v>0.06</v>
      </c>
      <c r="E30" s="8" t="n"/>
      <c r="F30" s="8" t="n"/>
    </row>
    <row r="31">
      <c r="A31" s="6" t="inlineStr">
        <is>
          <t>Superficie clasificada MSAVI 2024 (ha)</t>
        </is>
      </c>
      <c r="B31" s="37" t="n">
        <v>79.33</v>
      </c>
      <c r="C31" s="6" t="inlineStr">
        <is>
          <t>Desviación MSAVI frente al catálogo (%)</t>
        </is>
      </c>
      <c r="D31" s="38" t="n">
        <v>0</v>
      </c>
      <c r="E31" s="8" t="n"/>
      <c r="F31" s="8" t="n"/>
    </row>
    <row r="32">
      <c r="A32" s="6" t="inlineStr">
        <is>
          <t>Superficie bajo umbral MSAVI 0.4976 (ha)</t>
        </is>
      </c>
      <c r="B32" s="37" t="n">
        <v>74.009</v>
      </c>
      <c r="C32" s="6" t="inlineStr">
        <is>
          <t>% del bloque bajo umbral (brecha espectral)</t>
        </is>
      </c>
      <c r="D32" s="38" t="n">
        <v>93.29000000000001</v>
      </c>
      <c r="E32" s="8" t="n"/>
      <c r="F32" s="8" t="n"/>
    </row>
    <row r="33">
      <c r="A33" s="6" t="inlineStr">
        <is>
          <t>Clase DN dominante (MSAVI 2024)</t>
        </is>
      </c>
      <c r="B33" s="7" t="inlineStr">
        <is>
          <t>DN 3 · 0.3813 - 0.4976 (Vigor bajo)</t>
        </is>
      </c>
      <c r="C33" s="6" t="inlineStr">
        <is>
          <t>N.° de polígonos MSAVI del bloque</t>
        </is>
      </c>
      <c r="D33" s="39" t="n">
        <v>217</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79.33 ha</t>
        </is>
      </c>
      <c r="E36" s="8" t="n"/>
      <c r="F36" s="8" t="n"/>
    </row>
    <row r="37">
      <c r="A37" s="6" t="inlineStr">
        <is>
          <t>Estado de conservación</t>
        </is>
      </c>
      <c r="B37" s="7" t="inlineStr">
        <is>
          <t>Levemente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n">
        <v>95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No consignado (F-DT-02 sin diligenciar)</t>
        </is>
      </c>
      <c r="C40" s="6" t="inlineStr">
        <is>
          <t>N.° de cárcavas registradas</t>
        </is>
      </c>
      <c r="D40" s="7" t="inlineStr">
        <is>
          <t>Sin inventario</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t>
        </is>
      </c>
      <c r="C44" s="6" t="inlineStr">
        <is>
          <t>Fecha de evaluación</t>
        </is>
      </c>
      <c r="D44" s="7" t="inlineStr">
        <is>
          <t>2026-07-03</t>
        </is>
      </c>
      <c r="E44" s="8" t="n"/>
      <c r="F44" s="8" t="n"/>
    </row>
    <row r="45">
      <c r="A45" s="6" t="inlineStr">
        <is>
          <t>Hora de registro</t>
        </is>
      </c>
      <c r="B45" s="7" t="inlineStr">
        <is>
          <t>15:06</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Por determinar</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Por determinar</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0.0977</v>
      </c>
      <c r="C10" s="19">
        <f>ROUND(B10/$B$15*100,2)</f>
        <v>0.12</v>
      </c>
      <c r="D10" s="11" t="inlineStr">
        <is>
          <t>Vigor alto</t>
        </is>
      </c>
      <c r="E10" s="11" t="inlineStr">
        <is>
          <t>Sobre umbral</t>
        </is>
      </c>
    </row>
    <row r="11">
      <c r="A11" s="12" t="inlineStr">
        <is>
          <t>0.4976 - 0.6139 · DN 4</t>
        </is>
      </c>
      <c r="B11" s="20" t="n">
        <v>5.2242</v>
      </c>
      <c r="C11" s="21">
        <f>ROUND(B11/$B$15*100,2)</f>
        <v>6.59</v>
      </c>
      <c r="D11" s="13" t="inlineStr">
        <is>
          <t>Vigor moderado</t>
        </is>
      </c>
      <c r="E11" s="13" t="inlineStr">
        <is>
          <t>Sobre umbral</t>
        </is>
      </c>
    </row>
    <row r="12">
      <c r="A12" s="14" t="inlineStr">
        <is>
          <t>0.3813 - 0.4976 · DN 3</t>
        </is>
      </c>
      <c r="B12" s="31" t="n">
        <v>58.3306</v>
      </c>
      <c r="C12" s="30">
        <f>ROUND(B12/$B$15*100,2)</f>
        <v>73.53</v>
      </c>
      <c r="D12" s="15" t="inlineStr">
        <is>
          <t>Vigor bajo</t>
        </is>
      </c>
      <c r="E12" s="15" t="inlineStr">
        <is>
          <t>BAJO umbral 0.4976</t>
        </is>
      </c>
    </row>
    <row r="13">
      <c r="A13" s="12" t="inlineStr">
        <is>
          <t>0.2650 - 0.3813 · DN 2</t>
        </is>
      </c>
      <c r="B13" s="20" t="n">
        <v>15.6779</v>
      </c>
      <c r="C13" s="21">
        <f>ROUND(B13/$B$15*100,2)</f>
        <v>19.76</v>
      </c>
      <c r="D13" s="13" t="inlineStr">
        <is>
          <t>Vigor muy bajo</t>
        </is>
      </c>
      <c r="E13" s="13"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2" t="inlineStr">
        <is>
          <t>TOTAL CLASIFICADO MSAVI 2024</t>
        </is>
      </c>
      <c r="B15" s="43">
        <f>SUM(B10:B14)</f>
        <v>79.3304</v>
      </c>
      <c r="C15" s="44">
        <f>SUM(C10:C14)</f>
        <v>100.0</v>
      </c>
      <c r="D15" s="42" t="inlineStr">
        <is>
          <t>Suma de la distribución areal · 217 polígonos</t>
        </is>
      </c>
      <c r="E15" s="42" t="inlineStr">
        <is>
          <t>—</t>
        </is>
      </c>
    </row>
    <row r="16" ht="30" customHeight="1">
      <c r="A16" s="45" t="inlineStr">
        <is>
          <t>Superficie SOBRE umbral 0.4976 (ha)</t>
        </is>
      </c>
      <c r="B16" s="46">
        <f>SUM(B10:B11)</f>
        <v>5.3219</v>
      </c>
      <c r="C16" s="47">
        <f>ROUND(B16/B15*100,2)</f>
        <v>6.71</v>
      </c>
      <c r="D16" s="45" t="inlineStr">
        <is>
          <t>Vigor alto y moderado (DN 4 y DN 5)</t>
        </is>
      </c>
      <c r="E16" s="45" t="inlineStr">
        <is>
          <t>Sobre umbral 0.4976</t>
        </is>
      </c>
    </row>
    <row r="17" ht="30" customHeight="1">
      <c r="A17" s="45" t="inlineStr">
        <is>
          <t>Superficie BAJO umbral 0.4976 (ha) — brecha</t>
        </is>
      </c>
      <c r="B17" s="46">
        <f>SUM(B12:B14)</f>
        <v>74.0085</v>
      </c>
      <c r="C17" s="47">
        <f>ROUND(B17/B15*100,2)</f>
        <v>93.29</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79.33</v>
      </c>
      <c r="C18" s="48" t="inlineStr">
        <is>
          <t>—</t>
        </is>
      </c>
      <c r="D18" s="45" t="inlineStr">
        <is>
          <t>Desviación planimétrica frente al catálogo</t>
        </is>
      </c>
      <c r="E18" s="45" t="inlineStr">
        <is>
          <t>+0.00 %</t>
        </is>
      </c>
    </row>
    <row r="19">
      <c r="A19" s="16" t="inlineStr">
        <is>
          <t>MSAVI 2024 — MEDIA DEL BLOQUE</t>
        </is>
      </c>
      <c r="B19" s="17" t="n">
        <v>0.42317</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(0.4232)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0.2579</v>
      </c>
      <c r="C25" s="19" t="n">
        <v>0.32</v>
      </c>
      <c r="D25" s="11" t="inlineStr">
        <is>
          <t>Dosel continuo, matorral denso o mosaico agroforestal</t>
        </is>
      </c>
      <c r="E25" s="11" t="inlineStr"/>
    </row>
    <row r="26">
      <c r="A26" s="12" t="inlineStr">
        <is>
          <t>Vegetación mediana</t>
        </is>
      </c>
      <c r="B26" s="20" t="n">
        <v>26.4754</v>
      </c>
      <c r="C26" s="21" t="n">
        <v>33.36</v>
      </c>
      <c r="D26" s="13" t="inlineStr">
        <is>
          <t>Pastizal cultivado, matorral ralo, parcelas agrícolas</t>
        </is>
      </c>
      <c r="E26" s="13" t="inlineStr"/>
    </row>
    <row r="27">
      <c r="A27" s="7" t="inlineStr">
        <is>
          <t>Vegetación ligera</t>
        </is>
      </c>
      <c r="B27" s="18" t="n">
        <v>52.6206</v>
      </c>
      <c r="C27" s="19" t="n">
        <v>66.29000000000001</v>
      </c>
      <c r="D27" s="11" t="inlineStr">
        <is>
          <t>Cobertura discontinua, suelo parcialmente expuesto</t>
        </is>
      </c>
      <c r="E27" s="11" t="inlineStr"/>
    </row>
    <row r="28">
      <c r="A28" s="12" t="inlineStr">
        <is>
          <t>Tierra desnuda</t>
        </is>
      </c>
      <c r="B28" s="20" t="n">
        <v>0.0198</v>
      </c>
      <c r="C28" s="21" t="n">
        <v>0.02</v>
      </c>
      <c r="D28" s="13" t="inlineStr">
        <is>
          <t>Suelo desnudo, afloramientos, plataformas y taludes</t>
        </is>
      </c>
      <c r="E28" s="13" t="inlineStr"/>
    </row>
    <row r="29">
      <c r="A29" s="16" t="inlineStr">
        <is>
          <t>TOTAL CLASIFICADO</t>
        </is>
      </c>
      <c r="B29" s="22">
        <f>SUM(B25:B28)</f>
        <v>79.3737</v>
      </c>
      <c r="C29" s="23">
        <f>SUM(C25:C28)</f>
        <v>99.99</v>
      </c>
      <c r="D29" s="17" t="inlineStr"/>
      <c r="E29" s="17" t="inlineStr"/>
    </row>
    <row r="30">
      <c r="A30" s="24" t="inlineStr">
        <is>
          <t>Superficie de catálogo (V5/V6)</t>
        </is>
      </c>
      <c r="B30" s="25" t="n">
        <v>79.33</v>
      </c>
      <c r="C30" s="25" t="inlineStr">
        <is>
          <t>—</t>
        </is>
      </c>
      <c r="D30" s="25" t="inlineStr">
        <is>
          <t>Desviación planimétrica frente al catálogo</t>
        </is>
      </c>
      <c r="E30" s="25" t="inlineStr">
        <is>
          <t>+0.06 %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0.32 % del polígono clasificado como «Vegetación alta» por el NDVI 2025; la observación de campo corresponde a una parcela o recorrido puntual y no es estadísticamente representativa de las 79.330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22</t>
        </is>
      </c>
    </row>
    <row r="6" ht="24" customHeight="1">
      <c r="A6" s="4" t="inlineStr">
        <is>
          <t>Levantamiento del 2026-07-03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67016.39999999999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601122</v>
      </c>
      <c r="C13" s="6" t="inlineStr">
        <is>
          <t>Centroide del bloque — UTM NORTE (m)</t>
        </is>
      </c>
      <c r="D13" s="7" t="n">
        <v>9443651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5"/>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Laderas de colina media, pendientes inferiores al 60% y altitud ~250 msnm. Una quebrada conduce las aguas pluviales hacia un badén en la vía afirmada al pie del bloque; desembocan en el río atravesando el CCPP y áreas de cultivo, lo que genera preocupación entre los pobladores en temporada de lluvias. No se evidenciaron surcos ni cárcavas en formación. Pastoreo caprino de bajo impacto y extracción de leña de intensidad reducida.</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22</t>
        </is>
      </c>
    </row>
    <row r="6" ht="24" customHeight="1">
      <c r="A6" s="4" t="inlineStr">
        <is>
          <t>Distrito de Chulucanas · Provincia de Morropon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7" t="n">
        <v>258.84</v>
      </c>
      <c r="C10" s="19" t="n">
        <v>29.57</v>
      </c>
      <c r="D10" s="11" t="inlineStr">
        <is>
          <t>553 – 1517</t>
        </is>
      </c>
      <c r="E10" s="11" t="n">
        <v>964</v>
      </c>
      <c r="F10" s="11" t="n">
        <v>29.82</v>
      </c>
      <c r="G10" s="18" t="n">
        <v>0.5087</v>
      </c>
      <c r="H10" s="19" t="n">
        <v>58.63</v>
      </c>
      <c r="I10" s="19" t="n">
        <v>48.4</v>
      </c>
    </row>
    <row r="11">
      <c r="A11" s="12" t="inlineStr">
        <is>
          <t>M17B4</t>
        </is>
      </c>
      <c r="B11" s="28" t="n">
        <v>124.71</v>
      </c>
      <c r="C11" s="21" t="n">
        <v>14.25</v>
      </c>
      <c r="D11" s="13" t="inlineStr">
        <is>
          <t>294 – 629</t>
        </is>
      </c>
      <c r="E11" s="13" t="n">
        <v>335</v>
      </c>
      <c r="F11" s="13" t="n">
        <v>18.69</v>
      </c>
      <c r="G11" s="20" t="n">
        <v>0.4235</v>
      </c>
      <c r="H11" s="21" t="n">
        <v>3.97</v>
      </c>
      <c r="I11" s="21" t="n">
        <v>91.94</v>
      </c>
    </row>
    <row r="12">
      <c r="A12" s="7" t="inlineStr">
        <is>
          <t>M17B6</t>
        </is>
      </c>
      <c r="B12" s="27" t="n">
        <v>106.54</v>
      </c>
      <c r="C12" s="19" t="n">
        <v>12.17</v>
      </c>
      <c r="D12" s="11" t="inlineStr">
        <is>
          <t>403 – 1049</t>
        </is>
      </c>
      <c r="E12" s="11" t="n">
        <v>646</v>
      </c>
      <c r="F12" s="11" t="n">
        <v>23.42</v>
      </c>
      <c r="G12" s="18" t="n">
        <v>0.4464</v>
      </c>
      <c r="H12" s="19" t="n">
        <v>18.53</v>
      </c>
      <c r="I12" s="19" t="n">
        <v>81.81999999999999</v>
      </c>
    </row>
    <row r="13">
      <c r="A13" s="14" t="inlineStr">
        <is>
          <t>► 22</t>
        </is>
      </c>
      <c r="B13" s="29" t="n">
        <v>79.33</v>
      </c>
      <c r="C13" s="30" t="n">
        <v>9.06</v>
      </c>
      <c r="D13" s="15" t="inlineStr">
        <is>
          <t>235 – 596</t>
        </is>
      </c>
      <c r="E13" s="15" t="n">
        <v>361</v>
      </c>
      <c r="F13" s="15" t="n">
        <v>22.51</v>
      </c>
      <c r="G13" s="31" t="n">
        <v>0.4232</v>
      </c>
      <c r="H13" s="30" t="n">
        <v>0.32</v>
      </c>
      <c r="I13" s="30" t="n">
        <v>93.29000000000001</v>
      </c>
    </row>
    <row r="14">
      <c r="A14" s="7" t="inlineStr">
        <is>
          <t>27</t>
        </is>
      </c>
      <c r="B14" s="27" t="n">
        <v>78.15000000000001</v>
      </c>
      <c r="C14" s="19" t="n">
        <v>8.93</v>
      </c>
      <c r="D14" s="11" t="inlineStr">
        <is>
          <t>1518 – 1895</t>
        </is>
      </c>
      <c r="E14" s="11" t="n">
        <v>377</v>
      </c>
      <c r="F14" s="11" t="n">
        <v>30.25</v>
      </c>
      <c r="G14" s="18" t="n">
        <v>0.5323</v>
      </c>
      <c r="H14" s="19" t="n">
        <v>64.75</v>
      </c>
      <c r="I14" s="19" t="n">
        <v>37.5</v>
      </c>
    </row>
    <row r="15">
      <c r="A15" s="12" t="inlineStr">
        <is>
          <t>M17B10</t>
        </is>
      </c>
      <c r="B15" s="28" t="n">
        <v>75.36</v>
      </c>
      <c r="C15" s="21" t="n">
        <v>8.609999999999999</v>
      </c>
      <c r="D15" s="13" t="inlineStr">
        <is>
          <t>466 – 902</t>
        </is>
      </c>
      <c r="E15" s="13" t="n">
        <v>436</v>
      </c>
      <c r="F15" s="13" t="n">
        <v>25.94</v>
      </c>
      <c r="G15" s="20" t="n">
        <v>0.4725</v>
      </c>
      <c r="H15" s="21" t="n">
        <v>29.2</v>
      </c>
      <c r="I15" s="21" t="n">
        <v>73.33</v>
      </c>
    </row>
    <row r="16">
      <c r="A16" s="7" t="inlineStr">
        <is>
          <t>M17B5</t>
        </is>
      </c>
      <c r="B16" s="27" t="n">
        <v>74.03</v>
      </c>
      <c r="C16" s="19" t="n">
        <v>8.460000000000001</v>
      </c>
      <c r="D16" s="11" t="inlineStr">
        <is>
          <t>794 – 1317</t>
        </is>
      </c>
      <c r="E16" s="11" t="n">
        <v>523</v>
      </c>
      <c r="F16" s="11" t="n">
        <v>27.42</v>
      </c>
      <c r="G16" s="18" t="n">
        <v>0.5482</v>
      </c>
      <c r="H16" s="19" t="n">
        <v>61.34</v>
      </c>
      <c r="I16" s="19" t="n">
        <v>28.94</v>
      </c>
    </row>
    <row r="17">
      <c r="A17" s="12" t="inlineStr">
        <is>
          <t>M17B1</t>
        </is>
      </c>
      <c r="B17" s="28" t="n">
        <v>42.45</v>
      </c>
      <c r="C17" s="21" t="n">
        <v>4.85</v>
      </c>
      <c r="D17" s="13" t="inlineStr">
        <is>
          <t>177 – 313</t>
        </is>
      </c>
      <c r="E17" s="13" t="n">
        <v>136</v>
      </c>
      <c r="F17" s="13" t="n">
        <v>14.73</v>
      </c>
      <c r="G17" s="20" t="n">
        <v>0.3323</v>
      </c>
      <c r="H17" s="21" t="n">
        <v>0</v>
      </c>
      <c r="I17" s="21" t="n">
        <v>99.84</v>
      </c>
    </row>
    <row r="18">
      <c r="A18" s="7" t="inlineStr">
        <is>
          <t>32</t>
        </is>
      </c>
      <c r="B18" s="27"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2">
        <f>SUM(B10:B18)</f>
        <v>875.24</v>
      </c>
      <c r="C19" s="23">
        <f>SUM(C10:C18)</f>
        <v>99.99</v>
      </c>
      <c r="D19" s="17" t="inlineStr">
        <is>
          <t>177 – 1895</t>
        </is>
      </c>
      <c r="E19" s="17" t="inlineStr"/>
      <c r="F19" s="17">
        <f>ROUND(AVERAGE(F10:F18),2)</f>
        <v>22.85</v>
      </c>
      <c r="G19" s="22">
        <f>ROUND(AVERAGE(G10:G18),4)</f>
        <v>0.451</v>
      </c>
      <c r="H19" s="23">
        <f>ROUND(AVERAGE(H10:H18),2)</f>
        <v>29.59</v>
      </c>
      <c r="I19" s="23">
        <f>ROUND(AVERAGE(I10:I18),2)</f>
        <v>69.38</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0" t="n"/>
      <c r="C20" s="40" t="n"/>
      <c r="D20" s="40" t="n"/>
      <c r="E20" s="40" t="n"/>
      <c r="F20" s="40" t="n"/>
      <c r="G20" s="40" t="n"/>
      <c r="H20" s="41" t="n"/>
    </row>
    <row r="21"/>
    <row r="22" ht="84" customHeight="1">
      <c r="A22" s="9" t="inlineStr">
        <is>
          <t>LECTURA INTRAMICROCUENCA. El bloque 22 ocupa el puesto 4 de 9 por superficie dentro de la microcuenca C1096-Q9556 (9.06 % de las 875.24 ha preliminares de la microcuenca). Su pendiente promedio (22.51 %, clase «15-25% (Fuert. inclinado)») es la 4.ª más baja de 9 y se sitúa por debajo del promedio de la microcuenca (22.85 %). Su MSAVI 2024 (0.4232) es el 7.º de 9 y queda por debajo del promedio local (0.4510). Amplitud altitudinal del bloque: 361 m (235–596 msnm). El cuadro conserva todos los bloques catalogados en la microcuenca, incluidos los descartados en el tamizaje, para referencia del conjunto. Los bloques sin ficha DT figuran con sus parámetros de gabinete. BRECHA ESPECTRAL. El 93.29 % de la superficie del bloque (74.009 ha de 79.330 ha) se sitúa bajo el umbral MSAVI 0.4976, por encima del promedio local de la microcuenca (69.38 %) calculado sobre los bloques con dato MSAVI disponible.</t>
        </is>
      </c>
      <c r="B22" s="40" t="n"/>
      <c r="C22" s="40" t="n"/>
      <c r="D22" s="40" t="n"/>
      <c r="E22" s="40" t="n"/>
      <c r="F22" s="40" t="n"/>
      <c r="G22" s="40" t="n"/>
      <c r="H22" s="41"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0" t="n"/>
      <c r="C24" s="40" t="n"/>
      <c r="D24" s="40" t="n"/>
      <c r="E24" s="40" t="n"/>
      <c r="F24" s="40" t="n"/>
      <c r="G24" s="40" t="n"/>
      <c r="H24" s="41"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el catálogo maestro V5/V6 asigna el bloque a «C1096-Q9556»</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67,016 m del centroide de catálogo (601122 E / 9443651 N), distancia incompatible con la superficie del bloque (79.33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(79.374 ha) coincide con la de catálogo (79.33 ha) dentro del ±2 % (+0.06 %)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22.51 %,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Inventario georreferenciado de cárcavas</t>
        </is>
      </c>
      <c r="C14" s="33" t="inlineStr">
        <is>
          <t>El inventario de cárcavas no fue ejecutado o no consta en la ficha DT</t>
        </is>
      </c>
      <c r="D14" s="34" t="inlineStr">
        <is>
          <t>SUSTANTIVA</t>
        </is>
      </c>
      <c r="E14" s="33"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5" t="inlineStr">
        <is>
          <t>D-06</t>
        </is>
      </c>
      <c r="B15" s="35" t="inlineStr">
        <is>
          <t>Elenco florístico</t>
        </is>
      </c>
      <c r="C15" s="35" t="inlineStr">
        <is>
          <t>La ficha registra 7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«Platanal Bajo»; el cruce INEI-Bloques V5 identifica 1 centro(s) poblado(s) en el bloque: PLATANAL BAJO</t>
        </is>
      </c>
      <c r="D16" s="36"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4" t="inlineStr">
        <is>
          <t>SUSTANTIVA</t>
        </is>
      </c>
      <c r="E17" s="35" t="inlineStr">
        <is>
          <t>Debe tomarse del modelamiento de mesolocalización (PMM + EPH + PGI ponderados por AHP) antes de fijar la prioridad definitiva de intervención del bloque.</t>
        </is>
      </c>
    </row>
    <row r="18" ht="48" customHeight="1">
      <c r="A18" s="35" t="inlineStr">
        <is>
          <t>D-09</t>
        </is>
      </c>
      <c r="B18" s="35" t="inlineStr">
        <is>
          <t>Distribución areal MSAVI 2024</t>
        </is>
      </c>
      <c r="C18" s="35" t="inlineStr">
        <is>
          <t>La distribución por clase de MSAVI no figuraba en los insumos del entregable y se consignaba «Por determinar»; se incorpora la estadística zonal del ráster MSAVI clasificado (217 polígonos, 79.330 ha)</t>
        </is>
      </c>
      <c r="D18" s="34" t="inlineStr">
        <is>
          <t>CORREGIDO</t>
        </is>
      </c>
      <c r="E18"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5" t="inlineStr">
        <is>
          <t>D-10</t>
        </is>
      </c>
      <c r="B19" s="35" t="inlineStr">
        <is>
          <t>Superficie MSAVI vs. catálogo</t>
        </is>
      </c>
      <c r="C19" s="35" t="inlineStr">
        <is>
          <t>La superficie total clasificada por el MSAVI 2024 (79.330 ha) frente a la de catálogo V5/V6 (79.330 ha): desviación de +0.00 %</t>
        </is>
      </c>
      <c r="D19" s="34" t="inlineStr">
        <is>
          <t>CONFORME</t>
        </is>
      </c>
      <c r="E19" s="35" t="inlineStr">
        <is>
          <t>Sin acción: la segmentación del ráster valida la geometría del bloque dentro del ±2 %.</t>
        </is>
      </c>
    </row>
    <row r="20" ht="48" customHeight="1">
      <c r="A20" s="35" t="inlineStr">
        <is>
          <t>D-11</t>
        </is>
      </c>
      <c r="B20" s="35" t="inlineStr">
        <is>
          <t>Media MSAVI vs. clase DN dominante</t>
        </is>
      </c>
      <c r="C20" s="35" t="inlineStr">
        <is>
          <t>La media del bloque (0.4232) cae en la clase «DN 3 · 0.3813 - 0.4976 (Vigor bajo)»; la clase de mayor superficie es «DN 3 · 0.3813 - 0.4976 (Vigor bajo)», con 73.53 % del bloque. Superficie bajo el umbral 0.4976: 74.009 ha (93.29 %)</t>
        </is>
      </c>
      <c r="D20" s="34" t="inlineStr">
        <is>
          <t>CONFORME</t>
        </is>
      </c>
      <c r="E20" s="35" t="inlineStr">
        <is>
          <t>Sin acción: la media del bloque y la clase de mayor superficie coinciden.</t>
        </is>
      </c>
    </row>
    <row r="21"/>
    <row r="22">
      <c r="A22" s="16" t="inlineStr">
        <is>
          <t>RESUMEN</t>
        </is>
      </c>
      <c r="B22" s="17" t="inlineStr">
        <is>
          <t>11 verificaciones</t>
        </is>
      </c>
      <c r="C22" s="17" t="inlineStr">
        <is>
          <t>CONFORME: 4 · CORREGIDO: 1 · NO SUSTANTIVA: 1 · SUSTANTIVA: 5</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0" t="n"/>
      <c r="C24" s="40" t="n"/>
      <c r="D24" s="40" t="n"/>
      <c r="E24" s="41"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22 — IN Piura</dc:title>
  <dc:subject>Diagnóstico Territorial por bloque de intervención</dc:subject>
  <dcterms:created xsi:type="dcterms:W3CDTF">2026-09-08T03:39:56Z</dcterms:created>
  <dcterms:modified xsi:type="dcterms:W3CDTF">2026-09-10T00:28:26Z</dcterms:modified>
</cp:coreProperties>
</file>