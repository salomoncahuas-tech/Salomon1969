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M19B2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M19B2</t>
        </is>
      </c>
      <c r="C9" s="6" t="inlineStr">
        <is>
          <t>Microcuenca (catálogo)</t>
        </is>
      </c>
      <c r="D9" s="7" t="inlineStr">
        <is>
          <t>C1086-Q9570</t>
        </is>
      </c>
      <c r="E9" s="8" t="n"/>
      <c r="F9" s="8" t="n"/>
    </row>
    <row r="10">
      <c r="A10" s="6" t="inlineStr">
        <is>
          <t>Zona de planificación</t>
        </is>
      </c>
      <c r="B10" s="7" t="inlineStr">
        <is>
          <t>Z05</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Morropon</t>
        </is>
      </c>
      <c r="C12" s="6" t="inlineStr">
        <is>
          <t>Capital distrital</t>
        </is>
      </c>
      <c r="D12" s="7" t="inlineStr">
        <is>
          <t>Morropon</t>
        </is>
      </c>
      <c r="E12" s="8" t="n"/>
      <c r="F12" s="8" t="n"/>
    </row>
    <row r="13">
      <c r="A13" s="6" t="inlineStr">
        <is>
          <t>Centro poblado asociado</t>
        </is>
      </c>
      <c r="B13" s="7" t="inlineStr">
        <is>
          <t>Boca Negra</t>
        </is>
      </c>
      <c r="C13" s="6" t="inlineStr">
        <is>
          <t>Comunidad campesina</t>
        </is>
      </c>
      <c r="D13" s="7" t="inlineStr">
        <is>
          <t>No consignada</t>
        </is>
      </c>
      <c r="E13" s="8" t="n"/>
      <c r="F13" s="8" t="n"/>
    </row>
    <row r="14">
      <c r="A14" s="6" t="inlineStr">
        <is>
          <t>Superficie de catálogo (V5/V6), ha</t>
        </is>
      </c>
      <c r="B14" s="7" t="n">
        <v>74.37</v>
      </c>
      <c r="C14" s="6" t="inlineStr">
        <is>
          <t>Fuente de superficie</t>
        </is>
      </c>
      <c r="D14" s="7" t="inlineStr">
        <is>
          <t>Catálogo maestro Bloques V5/V6</t>
        </is>
      </c>
      <c r="E14" s="8" t="n"/>
      <c r="F14" s="8" t="n"/>
    </row>
    <row r="15">
      <c r="A15" s="6" t="inlineStr">
        <is>
          <t>Centroide UTM ESTE (m)</t>
        </is>
      </c>
      <c r="B15" s="7" t="n">
        <v>617715</v>
      </c>
      <c r="C15" s="6" t="inlineStr">
        <is>
          <t>Centroide UTM NORTE (m)</t>
        </is>
      </c>
      <c r="D15" s="7" t="n">
        <v>9427284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203</v>
      </c>
      <c r="C19" s="6" t="inlineStr">
        <is>
          <t>Altitud máxima (msnm)</t>
        </is>
      </c>
      <c r="D19" s="7" t="n">
        <v>523</v>
      </c>
      <c r="E19" s="8" t="n"/>
      <c r="F19" s="8" t="n"/>
    </row>
    <row r="20">
      <c r="A20" s="6" t="inlineStr">
        <is>
          <t>Amplitud altitudinal (m)</t>
        </is>
      </c>
      <c r="B20" s="7" t="n">
        <v>320</v>
      </c>
      <c r="C20" s="6" t="inlineStr">
        <is>
          <t>Piso altitudinal dominante</t>
        </is>
      </c>
      <c r="D20" s="7" t="inlineStr">
        <is>
          <t>&lt;1000 m (Yunga)</t>
        </is>
      </c>
      <c r="E20" s="8" t="n"/>
      <c r="F20" s="8" t="n"/>
    </row>
    <row r="21">
      <c r="A21" s="6" t="inlineStr">
        <is>
          <t>Pendiente promedio (%)</t>
        </is>
      </c>
      <c r="B21" s="7" t="n">
        <v>21.71</v>
      </c>
      <c r="C21" s="6" t="inlineStr">
        <is>
          <t>Pendiente promedio (grados)</t>
        </is>
      </c>
      <c r="D21" s="7" t="n">
        <v>12.2</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0.4012</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(68.39 %)</t>
        </is>
      </c>
      <c r="E29" s="8" t="n"/>
      <c r="F29" s="8" t="n"/>
    </row>
    <row r="30">
      <c r="A30" s="6" t="inlineStr">
        <is>
          <t>Superficie clasificada NDVI 2025 (ha)</t>
        </is>
      </c>
      <c r="B30" s="7" t="n">
        <v>74.40600000000001</v>
      </c>
      <c r="C30" s="6" t="inlineStr">
        <is>
          <t>Desviación frente al catálogo (%)</t>
        </is>
      </c>
      <c r="D30" s="7" t="n">
        <v>0.05</v>
      </c>
      <c r="E30" s="8" t="n"/>
      <c r="F30" s="8" t="n"/>
    </row>
    <row r="31">
      <c r="A31" s="6" t="inlineStr">
        <is>
          <t>Superficie clasificada MSAVI 2024 (ha)</t>
        </is>
      </c>
      <c r="B31" s="37" t="n">
        <v>74.372</v>
      </c>
      <c r="C31" s="6" t="inlineStr">
        <is>
          <t>Desviación MSAVI frente al catálogo (%)</t>
        </is>
      </c>
      <c r="D31" s="38" t="n">
        <v>0</v>
      </c>
      <c r="E31" s="8" t="n"/>
      <c r="F31" s="8" t="n"/>
    </row>
    <row r="32">
      <c r="A32" s="6" t="inlineStr">
        <is>
          <t>Superficie bajo umbral MSAVI 0.4976 (ha)</t>
        </is>
      </c>
      <c r="B32" s="37" t="n">
        <v>71.57299999999999</v>
      </c>
      <c r="C32" s="6" t="inlineStr">
        <is>
          <t>% del bloque bajo umbral (brecha espectral)</t>
        </is>
      </c>
      <c r="D32" s="38" t="n">
        <v>96.23999999999999</v>
      </c>
      <c r="E32" s="8" t="n"/>
      <c r="F32" s="8" t="n"/>
    </row>
    <row r="33">
      <c r="A33" s="6" t="inlineStr">
        <is>
          <t>Clase DN dominante (MSAVI 2024)</t>
        </is>
      </c>
      <c r="B33" s="7" t="inlineStr">
        <is>
          <t>DN 3 · 0.3813 - 0.4976 (Vigor bajo)</t>
        </is>
      </c>
      <c r="C33" s="6" t="inlineStr">
        <is>
          <t>N.° de polígonos MSAVI del bloque</t>
        </is>
      </c>
      <c r="D33" s="39" t="n">
        <v>243</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74.372 ha (100% del bloque)</t>
        </is>
      </c>
      <c r="E36" s="8" t="n"/>
      <c r="F36" s="8" t="n"/>
    </row>
    <row r="37">
      <c r="A37" s="6" t="inlineStr">
        <is>
          <t>Estado de conservación</t>
        </is>
      </c>
      <c r="B37" s="7" t="inlineStr">
        <is>
          <t>Conservado (sin intervención evidente)</t>
        </is>
      </c>
      <c r="C37" s="6" t="inlineStr">
        <is>
          <t>Uso actual dominante del suelo</t>
        </is>
      </c>
      <c r="D37" s="7" t="inlineStr">
        <is>
          <t>Forestal de protección</t>
        </is>
      </c>
      <c r="E37" s="8" t="n"/>
      <c r="F37" s="8" t="n"/>
    </row>
    <row r="38">
      <c r="A38" s="6" t="inlineStr">
        <is>
          <t>Tipo de cobertura dominante</t>
        </is>
      </c>
      <c r="B38" s="7" t="inlineStr">
        <is>
          <t>Bosque denso (&gt;70%)</t>
        </is>
      </c>
      <c r="C38" s="6" t="inlineStr">
        <is>
          <t>Cobertura vegetal total — campo (%)</t>
        </is>
      </c>
      <c r="D38" s="7" t="n">
        <v>95</v>
      </c>
      <c r="E38" s="8" t="n"/>
      <c r="F38" s="8" t="n"/>
    </row>
    <row r="39">
      <c r="A39" s="6" t="inlineStr">
        <is>
          <t>Suelo desnudo — campo (%)</t>
        </is>
      </c>
      <c r="B39" s="7" t="n">
        <v>0</v>
      </c>
      <c r="C39" s="6" t="inlineStr">
        <is>
          <t>Regeneración natural</t>
        </is>
      </c>
      <c r="D39" s="7" t="inlineStr">
        <is>
          <t>Regular (10-50 pl./100m²)</t>
        </is>
      </c>
      <c r="E39" s="8" t="n"/>
      <c r="F39" s="8" t="n"/>
    </row>
    <row r="40">
      <c r="A40" s="6" t="inlineStr">
        <is>
          <t>Nivel general de erosión</t>
        </is>
      </c>
      <c r="B40" s="7" t="inlineStr">
        <is>
          <t>Nula</t>
        </is>
      </c>
      <c r="C40" s="6" t="inlineStr">
        <is>
          <t>N.° de cárcavas registradas</t>
        </is>
      </c>
      <c r="D40" s="7" t="n">
        <v>0</v>
      </c>
      <c r="E40" s="8" t="n"/>
      <c r="F40" s="8" t="n"/>
    </row>
    <row r="41">
      <c r="A41" s="6" t="inlineStr">
        <is>
          <t>Elenco florístico (n.° de taxones)</t>
        </is>
      </c>
      <c r="B41" s="7" t="n">
        <v>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Carlos Domínguez Varas; Ing. Héctor S. Cahuas Miller</t>
        </is>
      </c>
      <c r="C44" s="6" t="inlineStr">
        <is>
          <t>Fecha de evaluación</t>
        </is>
      </c>
      <c r="D44" s="7" t="inlineStr">
        <is>
          <t>2026-05-06</t>
        </is>
      </c>
      <c r="E44" s="8" t="n"/>
      <c r="F44" s="8" t="n"/>
    </row>
    <row r="45">
      <c r="A45" s="6" t="inlineStr">
        <is>
          <t>Hora de registro</t>
        </is>
      </c>
      <c r="B45" s="7" t="inlineStr">
        <is>
          <t>10:30 h</t>
        </is>
      </c>
      <c r="C45" s="6" t="inlineStr">
        <is>
          <t>Correlativo de ficha</t>
        </is>
      </c>
      <c r="D45" s="7" t="inlineStr">
        <is>
          <t>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(observación desde los límites del polígono)</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el formato de campo</t>
        </is>
      </c>
      <c r="C51" s="6" t="inlineStr">
        <is>
          <t>Velocidad de degradación</t>
        </is>
      </c>
      <c r="D51" s="7" t="inlineStr">
        <is>
          <t>Estable</t>
        </is>
      </c>
      <c r="E51" s="8" t="n"/>
      <c r="F51" s="8" t="n"/>
    </row>
    <row r="52">
      <c r="A52" s="6" t="inlineStr">
        <is>
          <t>Reversibilidad técnica</t>
        </is>
      </c>
      <c r="B52" s="7" t="inlineStr">
        <is>
          <t>No consignada</t>
        </is>
      </c>
      <c r="C52" s="6" t="inlineStr">
        <is>
          <t>Urgencia de intervención</t>
        </is>
      </c>
      <c r="D52" s="7" t="inlineStr">
        <is>
          <t>Baja</t>
        </is>
      </c>
      <c r="E52" s="8" t="n"/>
      <c r="F52" s="8" t="n"/>
    </row>
    <row r="53">
      <c r="A53" s="6" t="inlineStr">
        <is>
          <t>Urgencia de control de erosión</t>
        </is>
      </c>
      <c r="B53" s="7" t="inlineStr">
        <is>
          <t>Baja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M19B2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2.799</v>
      </c>
      <c r="C11" s="21">
        <f>ROUND(B11/$B$15*100,2)</f>
        <v/>
      </c>
      <c r="D11" s="13" t="inlineStr">
        <is>
          <t>Vigor moderado</t>
        </is>
      </c>
      <c r="E11" s="13" t="inlineStr">
        <is>
          <t>Sobre umbral</t>
        </is>
      </c>
    </row>
    <row r="12">
      <c r="A12" s="14" t="inlineStr">
        <is>
          <t>0.3813 - 0.4976 · DN 3</t>
        </is>
      </c>
      <c r="B12" s="31" t="n">
        <v>47.8495</v>
      </c>
      <c r="C12" s="30">
        <f>ROUND(B12/$B$15*100,2)</f>
        <v/>
      </c>
      <c r="D12" s="15" t="inlineStr">
        <is>
          <t>Vigor bajo</t>
        </is>
      </c>
      <c r="E12" s="15" t="inlineStr">
        <is>
          <t>BAJO umbral 0.4976</t>
        </is>
      </c>
    </row>
    <row r="13">
      <c r="A13" s="12" t="inlineStr">
        <is>
          <t>0.2650 - 0.3813 · DN 2</t>
        </is>
      </c>
      <c r="B13" s="20" t="n">
        <v>23.3919</v>
      </c>
      <c r="C13" s="21">
        <f>ROUND(B13/$B$15*100,2)</f>
        <v/>
      </c>
      <c r="D13" s="13" t="inlineStr">
        <is>
          <t>Vigor muy bajo</t>
        </is>
      </c>
      <c r="E13" s="13" t="inlineStr">
        <is>
          <t>BAJO umbral 0.4976</t>
        </is>
      </c>
    </row>
    <row r="14">
      <c r="A14" s="7" t="inlineStr">
        <is>
          <t>&lt;= 0.2650 · DN 1</t>
        </is>
      </c>
      <c r="B14" s="18" t="n">
        <v>0.3321</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243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74.37</v>
      </c>
      <c r="C18" s="48" t="inlineStr">
        <is>
          <t>—</t>
        </is>
      </c>
      <c r="D18" s="45" t="inlineStr">
        <is>
          <t>Desviación planimétrica frente al catálogo</t>
        </is>
      </c>
      <c r="E18" s="45" t="inlineStr">
        <is>
          <t>+0.00 %</t>
        </is>
      </c>
    </row>
    <row r="19">
      <c r="A19" s="16" t="inlineStr">
        <is>
          <t>MSAVI 2024 — MEDIA DEL BLOQUE</t>
        </is>
      </c>
      <c r="B19" s="17" t="n">
        <v>0.401185</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243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(0.4012)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0.9533</v>
      </c>
      <c r="C25" s="19" t="n">
        <v>1.28</v>
      </c>
      <c r="D25" s="11" t="inlineStr">
        <is>
          <t>Dosel continuo, matorral denso o mosaico agroforestal</t>
        </is>
      </c>
      <c r="E25" s="11" t="inlineStr"/>
    </row>
    <row r="26">
      <c r="A26" s="12" t="inlineStr">
        <is>
          <t>Vegetación mediana</t>
        </is>
      </c>
      <c r="B26" s="20" t="n">
        <v>50.8872</v>
      </c>
      <c r="C26" s="21" t="n">
        <v>68.39</v>
      </c>
      <c r="D26" s="13" t="inlineStr">
        <is>
          <t>Pastizal cultivado, matorral ralo, parcelas agrícolas</t>
        </is>
      </c>
      <c r="E26" s="13" t="inlineStr"/>
    </row>
    <row r="27">
      <c r="A27" s="7" t="inlineStr">
        <is>
          <t>Vegetación ligera</t>
        </is>
      </c>
      <c r="B27" s="18" t="n">
        <v>22.0176</v>
      </c>
      <c r="C27" s="19" t="n">
        <v>29.59</v>
      </c>
      <c r="D27" s="11" t="inlineStr">
        <is>
          <t>Cobertura discontinua, suelo parcialmente expuesto</t>
        </is>
      </c>
      <c r="E27" s="11" t="inlineStr"/>
    </row>
    <row r="28">
      <c r="A28" s="12" t="inlineStr">
        <is>
          <t>Tierra desnuda</t>
        </is>
      </c>
      <c r="B28" s="20" t="n">
        <v>0.5483</v>
      </c>
      <c r="C28" s="21" t="n">
        <v>0.74</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74.37</v>
      </c>
      <c r="C30" s="25" t="inlineStr">
        <is>
          <t>—</t>
        </is>
      </c>
      <c r="D30" s="25" t="inlineStr">
        <is>
          <t>Desviación planimétrica frente al catálogo</t>
        </is>
      </c>
      <c r="E30" s="25" t="inlineStr">
        <is>
          <t>+0.05 %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95 % frente a un 1.28 % del polígono clasificado como «Vegetación alta» por el NDVI 2025; la observación de campo corresponde a una parcela o recorrido puntual y no es estadísticamente representativa de las 74.370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M19B2</t>
        </is>
      </c>
    </row>
    <row r="6" ht="24" customHeight="1">
      <c r="A6" s="4" t="inlineStr">
        <is>
          <t>Levantamiento del 2026-05-06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617078</v>
      </c>
      <c r="D10" s="26" t="n">
        <v>9426985</v>
      </c>
      <c r="E10" s="11" t="n">
        <v>703.7</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617715</v>
      </c>
      <c r="C13" s="6" t="inlineStr">
        <is>
          <t>Centroide del bloque — UTM NORTE (m)</t>
        </is>
      </c>
      <c r="D13" s="7" t="n">
        <v>9427284</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228"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Registro de campo del 06-05-2026 (código de verificación VER-20260512-C609B73C, condiciones despejadas, avance físico 100%, sin desviaciones al plan): AL PIE DE LA COLINA SE ENCUENTRA EL CENTRO POBLADO BOCA NEGRA Y UNA INSTITUCIÓN EDUCATIVA, CUYOS ALUMNOS Y DOCENTES SE ENCARGAN DE LA CONSERVACIÓN DEL ECOSISTEMA a través de la concientización de la población. Morfología montañosa (25-50%), susceptibilidad media a la escorrentía superficial durante lluvias intensas, MITIGADA SIGNIFICATIVAMENTE POR LA ALTA COBERTURA VEGETAL (95%). Exposición oeste: mayor radiación vespertina y evapotranspiración. NO SE EVIDENCIAN escarpes activos, reptación, deslizamientos antiguos ni remociones activas: ESTABILIDAD GEOTÉCNICA FAVORABLE para implementar medidas de infraestructura natural sin riesgos de falla inducida. LIMITACIÓN DEL LEVANTAMIENTO: la evaluación fue limitada por RESTRICCIONES DE ACCESO derivadas del desconocimiento de las rutas de ingreso; NO SE PUDO ACCEDER AL INTERIOR DEL BLOQUE, por lo que la información biofísica se basa en OBSERVACIÓN DESDE LOS LÍMITES DEL POLÍGONO. GABINETE (DEM): rango altitudinal 203-523 msnm; pendiente promedio 21.71% (la más alta de los cinco bloques del paquete); la ficha F-EE-05 registra una pendiente predominante del 45%. INCONSISTENCIA: LA ALTITUD GPS (167.2 msnm) ES INFERIOR A LA COTA MÍNIMA DEL POLÍGONO (203 msnm), coherente con que el punto se situara AL PIE DE LA LADERA, FUERA DEL BLOQUE. FACTOR LIMITANTE PRINCIPAL: LA ACCESIBILIDAD. MSAVI medio 2024 = 0.4012.</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M19B2</t>
        </is>
      </c>
    </row>
    <row r="6" ht="24" customHeight="1">
      <c r="A6" s="4" t="inlineStr">
        <is>
          <t>Distrito de Morropon · Provincia de Morropon · Comparación de los bloques preliminares de intervención de la misma microcuenca</t>
        </is>
      </c>
    </row>
    <row r="7"/>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7" t="n">
        <v>119.54</v>
      </c>
      <c r="C10" s="19" t="n">
        <v>14</v>
      </c>
      <c r="D10" s="11" t="inlineStr">
        <is>
          <t>672 – 2244</t>
        </is>
      </c>
      <c r="E10" s="11" t="n">
        <v>1572</v>
      </c>
      <c r="F10" s="11" t="n">
        <v>27.41</v>
      </c>
      <c r="G10" s="18" t="n">
        <v>0.7067</v>
      </c>
      <c r="H10" s="19" t="n">
        <v>99.93000000000001</v>
      </c>
      <c r="I10" s="19" t="n">
        <v>0.07000000000000001</v>
      </c>
    </row>
    <row r="11">
      <c r="A11" s="12" t="inlineStr">
        <is>
          <t>11</t>
        </is>
      </c>
      <c r="B11" s="28" t="n">
        <v>103.95</v>
      </c>
      <c r="C11" s="21" t="n">
        <v>12.17</v>
      </c>
      <c r="D11" s="13" t="inlineStr">
        <is>
          <t>1375 – 1928</t>
        </is>
      </c>
      <c r="E11" s="13" t="n">
        <v>553</v>
      </c>
      <c r="F11" s="13" t="n">
        <v>32.19</v>
      </c>
      <c r="G11" s="20" t="n">
        <v>0.6047</v>
      </c>
      <c r="H11" s="21" t="n">
        <v>75.28</v>
      </c>
      <c r="I11" s="21" t="n">
        <v>11.34</v>
      </c>
    </row>
    <row r="12">
      <c r="A12" s="7" t="inlineStr">
        <is>
          <t>17</t>
        </is>
      </c>
      <c r="B12" s="27" t="n">
        <v>96.08</v>
      </c>
      <c r="C12" s="19" t="n">
        <v>11.25</v>
      </c>
      <c r="D12" s="11" t="inlineStr">
        <is>
          <t>1253 – 1880</t>
        </is>
      </c>
      <c r="E12" s="11" t="n">
        <v>627</v>
      </c>
      <c r="F12" s="11" t="n">
        <v>35.56</v>
      </c>
      <c r="G12" s="18" t="n">
        <v>0.6479</v>
      </c>
      <c r="H12" s="19" t="n">
        <v>88.68000000000001</v>
      </c>
      <c r="I12" s="19" t="n">
        <v>2.09</v>
      </c>
    </row>
    <row r="13">
      <c r="A13" s="12" t="inlineStr">
        <is>
          <t>14</t>
        </is>
      </c>
      <c r="B13" s="28" t="n">
        <v>92.90000000000001</v>
      </c>
      <c r="C13" s="21" t="n">
        <v>10.88</v>
      </c>
      <c r="D13" s="13" t="inlineStr">
        <is>
          <t>87 – 1355</t>
        </is>
      </c>
      <c r="E13" s="13" t="n">
        <v>1268</v>
      </c>
      <c r="F13" s="13" t="n">
        <v>23.75</v>
      </c>
      <c r="G13" s="20" t="n">
        <v>0.5197000000000001</v>
      </c>
      <c r="H13" s="21" t="n">
        <v>58.89</v>
      </c>
      <c r="I13" s="21" t="n">
        <v>39.02</v>
      </c>
    </row>
    <row r="14">
      <c r="A14" s="7" t="inlineStr">
        <is>
          <t>15</t>
        </is>
      </c>
      <c r="B14" s="27" t="n">
        <v>86.15000000000001</v>
      </c>
      <c r="C14" s="19" t="n">
        <v>10.09</v>
      </c>
      <c r="D14" s="11" t="inlineStr">
        <is>
          <t>1199 – 1655</t>
        </is>
      </c>
      <c r="E14" s="11" t="n">
        <v>456</v>
      </c>
      <c r="F14" s="11" t="n">
        <v>26.19</v>
      </c>
      <c r="G14" s="18" t="n">
        <v>0.5605</v>
      </c>
      <c r="H14" s="19" t="n">
        <v>56.47</v>
      </c>
      <c r="I14" s="19" t="n">
        <v>22.48</v>
      </c>
    </row>
    <row r="15">
      <c r="A15" s="12" t="inlineStr">
        <is>
          <t>23</t>
        </is>
      </c>
      <c r="B15" s="28" t="n">
        <v>81.78</v>
      </c>
      <c r="C15" s="21" t="n">
        <v>9.58</v>
      </c>
      <c r="D15" s="13" t="inlineStr">
        <is>
          <t>521 – 973</t>
        </is>
      </c>
      <c r="E15" s="13" t="n">
        <v>452</v>
      </c>
      <c r="F15" s="13" t="n">
        <v>35.28</v>
      </c>
      <c r="G15" s="20" t="n">
        <v>0.5731000000000001</v>
      </c>
      <c r="H15" s="21" t="n">
        <v>47.99</v>
      </c>
      <c r="I15" s="21" t="n">
        <v>18.75</v>
      </c>
    </row>
    <row r="16">
      <c r="A16" s="7" t="inlineStr">
        <is>
          <t>42</t>
        </is>
      </c>
      <c r="B16" s="27" t="n">
        <v>80.62</v>
      </c>
      <c r="C16" s="19" t="n">
        <v>9.44</v>
      </c>
      <c r="D16" s="11" t="inlineStr">
        <is>
          <t>1131 – 1548</t>
        </is>
      </c>
      <c r="E16" s="11" t="n">
        <v>417</v>
      </c>
      <c r="F16" s="11" t="n">
        <v>27.86</v>
      </c>
      <c r="G16" s="18" t="n">
        <v>0.6348</v>
      </c>
      <c r="H16" s="19" t="n">
        <v>88.83</v>
      </c>
      <c r="I16" s="19" t="n">
        <v>5.64</v>
      </c>
    </row>
    <row r="17">
      <c r="A17" s="14" t="inlineStr">
        <is>
          <t>► M19B2</t>
        </is>
      </c>
      <c r="B17" s="29" t="n">
        <v>74.37</v>
      </c>
      <c r="C17" s="30" t="n">
        <v>8.710000000000001</v>
      </c>
      <c r="D17" s="15" t="inlineStr">
        <is>
          <t>203 – 523</t>
        </is>
      </c>
      <c r="E17" s="15" t="n">
        <v>320</v>
      </c>
      <c r="F17" s="15" t="n">
        <v>21.71</v>
      </c>
      <c r="G17" s="31" t="n">
        <v>0.4012</v>
      </c>
      <c r="H17" s="30" t="n">
        <v>1.28</v>
      </c>
      <c r="I17" s="30" t="n">
        <v>96.23999999999999</v>
      </c>
    </row>
    <row r="18">
      <c r="A18" s="7" t="inlineStr">
        <is>
          <t>82</t>
        </is>
      </c>
      <c r="B18" s="27" t="n">
        <v>35.66</v>
      </c>
      <c r="C18" s="19" t="n">
        <v>4.18</v>
      </c>
      <c r="D18" s="11" t="inlineStr">
        <is>
          <t>1796 – 2098</t>
        </is>
      </c>
      <c r="E18" s="11" t="n">
        <v>302</v>
      </c>
      <c r="F18" s="11" t="n">
        <v>23.55</v>
      </c>
      <c r="G18" s="18" t="n">
        <v>0.6283</v>
      </c>
      <c r="H18" s="19" t="n">
        <v>90.06999999999999</v>
      </c>
      <c r="I18" s="19" t="n">
        <v>12.67</v>
      </c>
    </row>
    <row r="19">
      <c r="A19" s="12" t="inlineStr">
        <is>
          <t>78</t>
        </is>
      </c>
      <c r="B19" s="28" t="n">
        <v>35.1</v>
      </c>
      <c r="C19" s="21" t="n">
        <v>4.11</v>
      </c>
      <c r="D19" s="13" t="inlineStr">
        <is>
          <t>1908 – 2236</t>
        </is>
      </c>
      <c r="E19" s="13" t="n">
        <v>328</v>
      </c>
      <c r="F19" s="13" t="n">
        <v>30.64</v>
      </c>
      <c r="G19" s="20" t="n">
        <v>0.7074</v>
      </c>
      <c r="H19" s="21" t="n">
        <v>89.33</v>
      </c>
      <c r="I19" s="21" t="n">
        <v>1.77</v>
      </c>
    </row>
    <row r="20">
      <c r="A20" s="7" t="inlineStr">
        <is>
          <t>M19B7</t>
        </is>
      </c>
      <c r="B20" s="27" t="n">
        <v>34.17</v>
      </c>
      <c r="C20" s="19" t="n">
        <v>4</v>
      </c>
      <c r="D20" s="11" t="inlineStr">
        <is>
          <t>1213 – 1578</t>
        </is>
      </c>
      <c r="E20" s="11" t="n">
        <v>365</v>
      </c>
      <c r="F20" s="11" t="n">
        <v>28.15</v>
      </c>
      <c r="G20" s="18" t="n">
        <v>0.5919</v>
      </c>
      <c r="H20" s="19" t="n">
        <v>78.52</v>
      </c>
      <c r="I20" s="19" t="n">
        <v>5.85</v>
      </c>
    </row>
    <row r="21">
      <c r="A21" s="12" t="inlineStr">
        <is>
          <t>59</t>
        </is>
      </c>
      <c r="B21" s="28" t="n">
        <v>13.55</v>
      </c>
      <c r="C21" s="21" t="n">
        <v>1.59</v>
      </c>
      <c r="D21" s="13" t="inlineStr">
        <is>
          <t>2045 – 2218</t>
        </is>
      </c>
      <c r="E21" s="13" t="n">
        <v>173</v>
      </c>
      <c r="F21" s="13" t="n">
        <v>29.85</v>
      </c>
      <c r="G21" s="20" t="n">
        <v>0.6147</v>
      </c>
      <c r="H21" s="21" t="n">
        <v>86.56999999999999</v>
      </c>
      <c r="I21" s="21" t="n">
        <v>13.72</v>
      </c>
    </row>
    <row r="22">
      <c r="A22" s="16" t="inlineStr">
        <is>
          <t>TOTAL / PROMEDIO</t>
        </is>
      </c>
      <c r="B22" s="32">
        <f>SUM(B10:B21)</f>
        <v/>
      </c>
      <c r="C22" s="23">
        <f>SUM(C10:C21)</f>
        <v/>
      </c>
      <c r="D22" s="17" t="inlineStr">
        <is>
          <t>87 – 2244</t>
        </is>
      </c>
      <c r="E22" s="17" t="inlineStr"/>
      <c r="F22" s="17">
        <f>ROUND(AVERAGE(F10:F21),2)</f>
        <v/>
      </c>
      <c r="G22" s="22">
        <f>ROUND(AVERAGE(G10:G21),4)</f>
        <v/>
      </c>
      <c r="H22" s="23">
        <f>ROUND(AVERAGE(H10:H21),2)</f>
        <v/>
      </c>
      <c r="I22" s="23">
        <f>ROUND(AVERAGE(I10:I21),2)</f>
        <v/>
      </c>
    </row>
    <row r="23"/>
    <row r="24" ht="84" customHeight="1">
      <c r="A24" s="9" t="inlineStr">
        <is>
          <t>LECTURA INTRAMICROCUENCA. El bloque M19B2 ocupa el puesto 8 de 12 por superficie dentro de la microcuenca C1086-Q9570 (8.71 % de las 853.87 ha preliminares de la microcuenca). Su pendiente promedio (21.71 %, clase «15-25% (Fuert. inclinado)») es la 1.ª más baja de 12 y se sitúa por debajo del promedio de la microcuenca (28.51 %). Su MSAVI 2024 (0.4012) es el 12.º de 12 y queda por debajo del promedio local (0.5993). Amplitud altitudinal del bloque: 320 m (203–523 msnm). El cuadro conserva todos los bloques catalogados en la microcuenca, incluidos los descartados en el tamizaje, para referencia del conjunto. Los bloques sin ficha DT figuran con sus parámetros de gabinete. BRECHA ESPECTRAL. El 96.24 % de la superficie del bloque (71.573 ha de 74.372 ha) se sitúa bajo el umbral MSAVI 0.4976, por encima del promedio local de la microcuenca (19.14 %) calculado sobre los bloques con dato MSAVI disponible.</t>
        </is>
      </c>
      <c r="B24" s="40" t="n"/>
      <c r="C24" s="40" t="n"/>
      <c r="D24" s="40" t="n"/>
      <c r="E24" s="40" t="n"/>
      <c r="F24" s="40" t="n"/>
      <c r="G24" s="40" t="n"/>
      <c r="H24" s="41"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0" t="n"/>
      <c r="C26" s="40" t="n"/>
      <c r="D26" s="40" t="n"/>
      <c r="E26" s="40" t="n"/>
      <c r="F26" s="40" t="n"/>
      <c r="G26" s="40" t="n"/>
      <c r="H26" s="41" t="n"/>
    </row>
  </sheetData>
  <mergeCells count="9">
    <mergeCell ref="A1:I1"/>
    <mergeCell ref="A4:I4"/>
    <mergeCell ref="A3:I3"/>
    <mergeCell ref="A26:I26"/>
    <mergeCell ref="A24:I24"/>
    <mergeCell ref="A2:I2"/>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M19B2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«C1086-Q9570»</t>
        </is>
      </c>
      <c r="D10" s="34" t="inlineStr">
        <is>
          <t>CONFORME</t>
        </is>
      </c>
      <c r="E10" s="33" t="inlineStr">
        <is>
          <t>Sin acción.</t>
        </is>
      </c>
    </row>
    <row r="11" ht="48" customHeight="1">
      <c r="A11" s="35" t="inlineStr">
        <is>
          <t>D-02</t>
        </is>
      </c>
      <c r="B11" s="35" t="inlineStr">
        <is>
          <t>UTM del punto de muestreo</t>
        </is>
      </c>
      <c r="C11" s="35" t="inlineStr">
        <is>
          <t>El punto de muestreo declarado dista 704 m del centroide de catálogo, compatible con la extensión del bloque</t>
        </is>
      </c>
      <c r="D11" s="34" t="inlineStr">
        <is>
          <t>CONFORME</t>
        </is>
      </c>
      <c r="E11" s="35" t="inlineStr">
        <is>
          <t>Sin acción.</t>
        </is>
      </c>
    </row>
    <row r="12" ht="48" customHeight="1">
      <c r="A12" s="33" t="inlineStr">
        <is>
          <t>D-03</t>
        </is>
      </c>
      <c r="B12" s="33" t="inlineStr">
        <is>
          <t>Superficie del polígono</t>
        </is>
      </c>
      <c r="C12" s="33" t="inlineStr">
        <is>
          <t>La superficie clasificada por el NDVI 2025 (74.406 ha) coincide con la de catálogo (74.37 ha) dentro del ±2 % (+0.05 %)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21.71 %,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Elenco florístico</t>
        </is>
      </c>
      <c r="C14" s="33" t="inlineStr">
        <is>
          <t>La ficha registra 4 taxones, por debajo del mínimo de 15 que exige el formato V5</t>
        </is>
      </c>
      <c r="D14" s="36" t="inlineStr">
        <is>
          <t>SUSTANTIVA</t>
        </is>
      </c>
      <c r="E14" s="33" t="inlineStr">
        <is>
          <t>Registro florístico preliminar, sin colecta ni determinación botánica formal. Debe cerrarse con colecta botánica en la siguiente campaña.</t>
        </is>
      </c>
    </row>
    <row r="15" ht="48" customHeight="1">
      <c r="A15" s="35" t="inlineStr">
        <is>
          <t>D-06</t>
        </is>
      </c>
      <c r="B15" s="35" t="inlineStr">
        <is>
          <t>Representatividad del levantamiento</t>
        </is>
      </c>
      <c r="C15" s="35" t="inlineStr">
        <is>
          <t>Ninguna de las estaciones fotográficas georreferenciadas se localiza dentro del polígono del bloque</t>
        </is>
      </c>
      <c r="D15" s="36" t="inlineStr">
        <is>
          <t>SUSTANTIVA</t>
        </is>
      </c>
      <c r="E15" s="35" t="inlineStr">
        <is>
          <t>La verificación documenta el perímetro y la vista panorámica del bloque, no su interior. Los parámetros que exigen recorrido interno se consignan «Por determinar».</t>
        </is>
      </c>
    </row>
    <row r="16" ht="48" customHeight="1">
      <c r="A16" s="33" t="inlineStr">
        <is>
          <t>D-07</t>
        </is>
      </c>
      <c r="B16" s="33" t="inlineStr">
        <is>
          <t>Centro poblado asociado</t>
        </is>
      </c>
      <c r="C16" s="33" t="inlineStr">
        <is>
          <t>La ficha DT declara «Boca Negra»; el cruce INEI-Bloques V5 identifica 1 centro(s) poblado(s) en el bloque: BOCA NEGRA</t>
        </is>
      </c>
      <c r="D16" s="34"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8" ht="48" customHeight="1">
      <c r="A18" s="33" t="inlineStr">
        <is>
          <t>D-09</t>
        </is>
      </c>
      <c r="B18" s="33" t="inlineStr">
        <is>
          <t>F-DT-01</t>
        </is>
      </c>
      <c r="C18" s="33" t="inlineStr">
        <is>
          <t>La altitud GPS (167.2 msnm) es INFERIOR a la cota mínima del polígono según MDE (203 msnm)</t>
        </is>
      </c>
      <c r="D18" s="36" t="inlineStr">
        <is>
          <t>SUSTANTIVA</t>
        </is>
      </c>
      <c r="E18" s="33" t="inlineStr">
        <is>
          <t>El punto de observación se situó al pie de la ladera, FUERA del bloque</t>
        </is>
      </c>
    </row>
    <row r="19" ht="48" customHeight="1">
      <c r="A19" s="35" t="inlineStr">
        <is>
          <t>D-10</t>
        </is>
      </c>
      <c r="B19" s="35" t="inlineStr">
        <is>
          <t>F-DT-01</t>
        </is>
      </c>
      <c r="C19" s="35" t="inlineStr">
        <is>
          <t>No se pudo acceder al interior del bloque por desconocimiento de las rutas de ingreso</t>
        </is>
      </c>
      <c r="D19" s="36" t="inlineStr">
        <is>
          <t>SUSTANTIVA</t>
        </is>
      </c>
      <c r="E19" s="35" t="inlineStr">
        <is>
          <t>Toda la información biofísica procede de observación desde los límites</t>
        </is>
      </c>
    </row>
    <row r="20" ht="48" customHeight="1">
      <c r="A20" s="33" t="inlineStr">
        <is>
          <t>D-11</t>
        </is>
      </c>
      <c r="B20" s="33" t="inlineStr">
        <is>
          <t>F-DT-02</t>
        </is>
      </c>
      <c r="C20" s="33" t="inlineStr">
        <is>
          <t>La calificación de erosión NULA se basa en observación externa</t>
        </is>
      </c>
      <c r="D20" s="36" t="inlineStr">
        <is>
          <t>SUSTANTIVA</t>
        </is>
      </c>
      <c r="E20" s="33" t="inlineStr">
        <is>
          <t>Debe confirmarse con recorrido interno</t>
        </is>
      </c>
    </row>
    <row r="21" ht="48" customHeight="1">
      <c r="A21" s="35" t="inlineStr">
        <is>
          <t>D-12</t>
        </is>
      </c>
      <c r="B21" s="35" t="inlineStr">
        <is>
          <t>F-DT-03</t>
        </is>
      </c>
      <c r="C21" s="35" t="inlineStr">
        <is>
          <t>Cobertura arbustiva 100% y dosel 95% con herbácea, hojarasca y suelo desnudo en 0%</t>
        </is>
      </c>
      <c r="D21" s="15" t="inlineStr">
        <is>
          <t>NO SUSTANTIVA</t>
        </is>
      </c>
      <c r="E21" s="35" t="inlineStr">
        <is>
          <t>Superposición de estratos declarada; verificar</t>
        </is>
      </c>
    </row>
    <row r="22" ht="48" customHeight="1">
      <c r="A22" s="33" t="inlineStr">
        <is>
          <t>D-13</t>
        </is>
      </c>
      <c r="B22" s="33" t="inlineStr">
        <is>
          <t>F-DT-03</t>
        </is>
      </c>
      <c r="C22" s="33" t="inlineStr">
        <is>
          <t>Solo 4 taxones registrados, sin estrato ni abundancia, frente al mínimo de 15</t>
        </is>
      </c>
      <c r="D22" s="36" t="inlineStr">
        <is>
          <t>SUSTANTIVA</t>
        </is>
      </c>
      <c r="E22" s="33" t="inlineStr">
        <is>
          <t>Levantamiento florístico pendiente</t>
        </is>
      </c>
    </row>
    <row r="23" ht="48" customHeight="1">
      <c r="A23" s="35" t="inlineStr">
        <is>
          <t>D-14</t>
        </is>
      </c>
      <c r="B23" s="35" t="inlineStr">
        <is>
          <t>F-DT-03</t>
        </is>
      </c>
      <c r="C23" s="35" t="inlineStr">
        <is>
          <t>EL MSAVI 2024 (0.4012) ES SUSTANTIVAMENTE INFERIOR A LO QUE SUGERIRÍA UNA COBERTURA DEL 95%, con una banda continua de cobertura baja en el flanco occidental</t>
        </is>
      </c>
      <c r="D23" s="36" t="inlineStr">
        <is>
          <t>SUSTANTIVA</t>
        </is>
      </c>
      <c r="E23" s="35" t="inlineStr">
        <is>
          <t>El estado favorable puede deberse al momento POST LLUVIOSO del levantamiento: SE RECOMIENDA SEGUNDA VISITA EN ÉPOCA SECA ANTES DE DECIDIR LA EXCLUSIÓN DEL BLOQUE</t>
        </is>
      </c>
    </row>
    <row r="24" ht="48" customHeight="1">
      <c r="A24" s="33" t="inlineStr">
        <is>
          <t>D-15</t>
        </is>
      </c>
      <c r="B24" s="33" t="inlineStr">
        <is>
          <t>F-DT-03 / F-DT-04</t>
        </is>
      </c>
      <c r="C24" s="33" t="inlineStr">
        <is>
          <t>Suelo desnudo: 0% en F-DT-03 frente a 5% en el indicador N.° 2</t>
        </is>
      </c>
      <c r="D24" s="15" t="inlineStr">
        <is>
          <t>NO SUSTANTIVA</t>
        </is>
      </c>
      <c r="E24" s="33" t="inlineStr">
        <is>
          <t>Conciliar</t>
        </is>
      </c>
    </row>
    <row r="25" ht="48" customHeight="1">
      <c r="A25" s="35" t="inlineStr">
        <is>
          <t>D-16</t>
        </is>
      </c>
      <c r="B25" s="35" t="inlineStr">
        <is>
          <t>F-DT-04</t>
        </is>
      </c>
      <c r="C25" s="35" t="inlineStr">
        <is>
          <t>Indicadores 3 a 6 no valorados; indicadores 1, 2, 7 y 8 sin calificación de nivel; reversibilidad no consignada</t>
        </is>
      </c>
      <c r="D25" s="36" t="inlineStr">
        <is>
          <t>SUSTANTIVA</t>
        </is>
      </c>
      <c r="E25" s="35" t="inlineStr">
        <is>
          <t>Por completar</t>
        </is>
      </c>
    </row>
    <row r="26" ht="48" customHeight="1">
      <c r="A26" s="33" t="inlineStr">
        <is>
          <t>D-17</t>
        </is>
      </c>
      <c r="B26" s="33" t="inlineStr">
        <is>
          <t>F-DT-04</t>
        </is>
      </c>
      <c r="C26" s="33" t="inlineStr">
        <is>
          <t>Pendiente promedio 21.71% (MDE) frente a 45% predominante de la ficha F-EE-05, sobre un centro poblado al pie de la ladera</t>
        </is>
      </c>
      <c r="D26" s="36" t="inlineStr">
        <is>
          <t>SUSTANTIVA</t>
        </is>
      </c>
      <c r="E26" s="33" t="inlineStr">
        <is>
          <t>Mantener el bloque bajo seguimiento por regulación de riesgos naturales</t>
        </is>
      </c>
    </row>
    <row r="27" ht="48" customHeight="1">
      <c r="A27" s="35" t="inlineStr">
        <is>
          <t>D-18</t>
        </is>
      </c>
      <c r="B27" s="35" t="inlineStr">
        <is>
          <t>F-DT-05</t>
        </is>
      </c>
      <c r="C27" s="35" t="inlineStr">
        <is>
          <t>Accesibilidad: se desconocen las vías de ingreso al interior del polígono</t>
        </is>
      </c>
      <c r="D27" s="36" t="inlineStr">
        <is>
          <t>SUSTANTIVA</t>
        </is>
      </c>
      <c r="E27" s="35" t="inlineStr">
        <is>
          <t>ÚNICO FACTOR QUE CONDICIONA LA DELIMITACIÓN FINAL; requiere acompañamiento local</t>
        </is>
      </c>
    </row>
    <row r="28" ht="48" customHeight="1">
      <c r="A28" s="35" t="inlineStr">
        <is>
          <t>D-19</t>
        </is>
      </c>
      <c r="B28" s="35" t="inlineStr">
        <is>
          <t>Distribución areal MSAVI 2024</t>
        </is>
      </c>
      <c r="C28" s="35" t="inlineStr">
        <is>
          <t>La distribución por clase de MSAVI no figuraba en los insumos del entregable y se consignaba «Por determinar»; se incorpora la estadística zonal del ráster MSAVI clasificado (243 polígonos, 74.372 ha)</t>
        </is>
      </c>
      <c r="D28" s="36" t="inlineStr">
        <is>
          <t>CORREGIDO</t>
        </is>
      </c>
      <c r="E28"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9" ht="48" customHeight="1">
      <c r="A29" s="35" t="inlineStr">
        <is>
          <t>D-20</t>
        </is>
      </c>
      <c r="B29" s="35" t="inlineStr">
        <is>
          <t>Superficie MSAVI vs. catálogo</t>
        </is>
      </c>
      <c r="C29" s="35" t="inlineStr">
        <is>
          <t>La superficie total clasificada por el MSAVI 2024 (74.372 ha) frente a la de catálogo V5/V6 (74.370 ha): desviación de +0.00 %</t>
        </is>
      </c>
      <c r="D29" s="36" t="inlineStr">
        <is>
          <t>CONFORME</t>
        </is>
      </c>
      <c r="E29" s="35" t="inlineStr">
        <is>
          <t>Sin acción: la segmentación del ráster valida la geometría del bloque dentro del ±2 %.</t>
        </is>
      </c>
    </row>
    <row r="30" ht="48" customHeight="1">
      <c r="A30" s="35" t="inlineStr">
        <is>
          <t>D-21</t>
        </is>
      </c>
      <c r="B30" s="35" t="inlineStr">
        <is>
          <t>Media MSAVI vs. clase DN dominante</t>
        </is>
      </c>
      <c r="C30" s="35" t="inlineStr">
        <is>
          <t>La media del bloque (0.4012) cae en la clase «DN 3 · 0.3813 - 0.4976 (Vigor bajo)»; la clase de mayor superficie es «DN 3 · 0.3813 - 0.4976 (Vigor bajo)», con 64.34 % del bloque. Superficie bajo el umbral 0.4976: 71.573 ha (96.24 %)</t>
        </is>
      </c>
      <c r="D30" s="36" t="inlineStr">
        <is>
          <t>CONFORME</t>
        </is>
      </c>
      <c r="E30" s="35" t="inlineStr">
        <is>
          <t>Sin acción: la media del bloque y la clase de mayor superficie coinciden.</t>
        </is>
      </c>
    </row>
    <row r="31"/>
    <row r="32">
      <c r="A32" s="16" t="inlineStr">
        <is>
          <t>RESUMEN</t>
        </is>
      </c>
      <c r="B32" s="17" t="inlineStr">
        <is>
          <t>21 verificaciones</t>
        </is>
      </c>
      <c r="C32" s="17" t="inlineStr">
        <is>
          <t>CONFORME: 6 · CORREGIDO: 1 · NO SUSTANTIVA: 3 · SUSTANTIVA: 11</t>
        </is>
      </c>
      <c r="D32" s="17" t="inlineStr"/>
      <c r="E32" s="17" t="inlineStr"/>
    </row>
    <row r="33"/>
    <row r="34" ht="60" customHeight="1">
      <c r="A3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4" s="40" t="n"/>
      <c r="C34" s="40" t="n"/>
      <c r="D34" s="40" t="n"/>
      <c r="E34" s="41" t="n"/>
    </row>
  </sheetData>
  <mergeCells count="8">
    <mergeCell ref="A34:E34"/>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M19B2 — IN Piura</dc:title>
  <dc:subject>Diagnóstico Territorial por bloque de intervención</dc:subject>
  <dcterms:created xsi:type="dcterms:W3CDTF">2026-09-08T03:39:57Z</dcterms:created>
  <dcterms:modified xsi:type="dcterms:W3CDTF">2026-09-09T23:30:54Z</dcterms:modified>
</cp:coreProperties>
</file>