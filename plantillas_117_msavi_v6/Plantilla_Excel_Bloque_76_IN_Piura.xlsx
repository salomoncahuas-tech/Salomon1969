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76</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76</t>
        </is>
      </c>
      <c r="C9" s="6" t="inlineStr">
        <is>
          <t>Microcuenca (catálogo)</t>
        </is>
      </c>
      <c r="D9" s="7" t="inlineStr">
        <is>
          <t>C1076-Q9593</t>
        </is>
      </c>
      <c r="E9" s="8" t="n"/>
      <c r="F9" s="8" t="n"/>
    </row>
    <row r="10">
      <c r="A10" s="6" t="inlineStr">
        <is>
          <t>Zona de planificación</t>
        </is>
      </c>
      <c r="B10" s="7" t="inlineStr">
        <is>
          <t>Z14</t>
        </is>
      </c>
      <c r="C10" s="6" t="inlineStr">
        <is>
          <t>Microcuenca declarada en ficha DT</t>
        </is>
      </c>
      <c r="D10" s="7" t="inlineStr">
        <is>
          <t>C1076-Q9584 (según ficha — valor por defecto de plantilla; catálogo: C1076-Q9593)</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Sahuate Hualanga · Hualanga</t>
        </is>
      </c>
      <c r="C13" s="6" t="inlineStr">
        <is>
          <t>Comunidad campesina</t>
        </is>
      </c>
      <c r="D13" s="7" t="inlineStr">
        <is>
          <t>Por verificar</t>
        </is>
      </c>
      <c r="E13" s="8" t="n"/>
      <c r="F13" s="8" t="n"/>
    </row>
    <row r="14">
      <c r="A14" s="6" t="inlineStr">
        <is>
          <t>Superficie de catálogo (V5/V6), ha</t>
        </is>
      </c>
      <c r="B14" s="7" t="n">
        <v>19.62</v>
      </c>
      <c r="C14" s="6" t="inlineStr">
        <is>
          <t>Fuente de superficie</t>
        </is>
      </c>
      <c r="D14" s="7" t="inlineStr">
        <is>
          <t>Catálogo maestro Bloques V5/V6</t>
        </is>
      </c>
      <c r="E14" s="8" t="n"/>
      <c r="F14" s="8" t="n"/>
    </row>
    <row r="15">
      <c r="A15" s="6" t="inlineStr">
        <is>
          <t>Centroide UTM ESTE (m)</t>
        </is>
      </c>
      <c r="B15" s="7" t="n">
        <v>657922</v>
      </c>
      <c r="C15" s="6" t="inlineStr">
        <is>
          <t>Centroide UTM NORTE (m)</t>
        </is>
      </c>
      <c r="D15" s="7" t="n">
        <v>9377477</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1647</v>
      </c>
      <c r="C19" s="6" t="inlineStr">
        <is>
          <t>Altitud máxima (msnm)</t>
        </is>
      </c>
      <c r="D19" s="7" t="n">
        <v>1838</v>
      </c>
      <c r="E19" s="8" t="n"/>
      <c r="F19" s="8" t="n"/>
    </row>
    <row r="20">
      <c r="A20" s="6" t="inlineStr">
        <is>
          <t>Amplitud altitudinal (m)</t>
        </is>
      </c>
      <c r="B20" s="7" t="n">
        <v>191</v>
      </c>
      <c r="C20" s="6" t="inlineStr">
        <is>
          <t>Piso altitudinal dominante</t>
        </is>
      </c>
      <c r="D20" s="7" t="inlineStr">
        <is>
          <t>1500-2000 m (Quechua media)</t>
        </is>
      </c>
      <c r="E20" s="8" t="n"/>
      <c r="F20" s="8" t="n"/>
    </row>
    <row r="21">
      <c r="A21" s="6" t="inlineStr">
        <is>
          <t>Pendiente promedio (%)</t>
        </is>
      </c>
      <c r="B21" s="7" t="n">
        <v>26.25</v>
      </c>
      <c r="C21" s="6" t="inlineStr">
        <is>
          <t>Pendiente promedio (grados)</t>
        </is>
      </c>
      <c r="D21" s="7" t="n">
        <v>14.7</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0.4925</v>
      </c>
      <c r="C28" s="6" t="inlineStr">
        <is>
          <t>MSAVI 2024 — clase de la media</t>
        </is>
      </c>
      <c r="D28" s="7" t="inlineStr">
        <is>
          <t>0.3813 - 0.4976 (Vigor bajo)</t>
        </is>
      </c>
      <c r="E28" s="8" t="n"/>
      <c r="F28" s="8" t="n"/>
    </row>
    <row r="29">
      <c r="A29" s="6" t="inlineStr">
        <is>
          <t>Condición frente al umbral 0.4976</t>
        </is>
      </c>
      <c r="B29" s="7" t="inlineStr">
        <is>
          <t>BAJO umbral 0.4976</t>
        </is>
      </c>
      <c r="C29" s="6" t="inlineStr">
        <is>
          <t>NDVI mediana 2025 — clase modal</t>
        </is>
      </c>
      <c r="D29" s="7" t="inlineStr">
        <is>
          <t>Vegetación mediana (51.48 %)</t>
        </is>
      </c>
      <c r="E29" s="8" t="n"/>
      <c r="F29" s="8" t="n"/>
    </row>
    <row r="30">
      <c r="A30" s="6" t="inlineStr">
        <is>
          <t>Superficie clasificada NDVI 2025 (ha)</t>
        </is>
      </c>
      <c r="B30" s="7" t="n">
        <v>19.619</v>
      </c>
      <c r="C30" s="6" t="inlineStr">
        <is>
          <t>Desviación frente al catálogo (%)</t>
        </is>
      </c>
      <c r="D30" s="7" t="n">
        <v>-0.01</v>
      </c>
      <c r="E30" s="8" t="n"/>
      <c r="F30" s="8" t="n"/>
    </row>
    <row r="31">
      <c r="A31" s="6" t="inlineStr">
        <is>
          <t>Superficie clasificada MSAVI 2024 (ha)</t>
        </is>
      </c>
      <c r="B31" s="38" t="n">
        <v>19.615</v>
      </c>
      <c r="C31" s="6" t="inlineStr">
        <is>
          <t>Desviación MSAVI frente al catálogo (%)</t>
        </is>
      </c>
      <c r="D31" s="39" t="n">
        <v>-0.02</v>
      </c>
      <c r="E31" s="8" t="n"/>
      <c r="F31" s="8" t="n"/>
    </row>
    <row r="32">
      <c r="A32" s="6" t="inlineStr">
        <is>
          <t>Superficie bajo umbral MSAVI 0.4976 (ha)</t>
        </is>
      </c>
      <c r="B32" s="38" t="n">
        <v>10.619</v>
      </c>
      <c r="C32" s="6" t="inlineStr">
        <is>
          <t>% del bloque bajo umbral (brecha espectral)</t>
        </is>
      </c>
      <c r="D32" s="39" t="n">
        <v>54.14</v>
      </c>
      <c r="E32" s="8" t="n"/>
      <c r="F32" s="8" t="n"/>
    </row>
    <row r="33">
      <c r="A33" s="6" t="inlineStr">
        <is>
          <t>Clase DN dominante (MSAVI 2024)</t>
        </is>
      </c>
      <c r="B33" s="7" t="inlineStr">
        <is>
          <t>DN 3 · 0.3813 - 0.4976 (Vigor bajo)</t>
        </is>
      </c>
      <c r="C33" s="6" t="inlineStr">
        <is>
          <t>N.° de polígonos MSAVI del bloque</t>
        </is>
      </c>
      <c r="D33" s="40" t="n">
        <v>99</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 — por continuidad con bloques vecinos</t>
        </is>
      </c>
      <c r="C36" s="6" t="inlineStr">
        <is>
          <t>Superficie de ecosistema (ha)</t>
        </is>
      </c>
      <c r="D36" s="7" t="inlineStr">
        <is>
          <t>Por determinar</t>
        </is>
      </c>
      <c r="E36" s="8" t="n"/>
      <c r="F36" s="8" t="n"/>
    </row>
    <row r="37">
      <c r="A37" s="6" t="inlineStr">
        <is>
          <t>Estado de conservación</t>
        </is>
      </c>
      <c r="B37" s="7" t="inlineStr">
        <is>
          <t>Alterado (intervención marcada)</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inlineStr">
        <is>
          <t>Por determinar</t>
        </is>
      </c>
      <c r="E38" s="8" t="n"/>
      <c r="F38" s="8" t="n"/>
    </row>
    <row r="39">
      <c r="A39" s="6" t="inlineStr">
        <is>
          <t>Suelo desnudo — campo (%)</t>
        </is>
      </c>
      <c r="B39" s="7" t="inlineStr">
        <is>
          <t>Por determinar</t>
        </is>
      </c>
      <c r="C39" s="6" t="inlineStr">
        <is>
          <t>Regeneración natural</t>
        </is>
      </c>
      <c r="D39" s="7" t="inlineStr">
        <is>
          <t>Escasa (&lt;10 pl./100m²)</t>
        </is>
      </c>
      <c r="E39" s="8" t="n"/>
      <c r="F39" s="8" t="n"/>
    </row>
    <row r="40">
      <c r="A40" s="6" t="inlineStr">
        <is>
          <t>Nivel general de erosión</t>
        </is>
      </c>
      <c r="B40" s="7" t="inlineStr">
        <is>
          <t>Fuerte (cárcavas incipientes) — describe el BORDE OCCIDENTAL y el corredor vial</t>
        </is>
      </c>
      <c r="C40" s="6" t="inlineStr">
        <is>
          <t>N.° de cárcavas registradas</t>
        </is>
      </c>
      <c r="D40" s="7" t="n">
        <v>2</v>
      </c>
      <c r="E40" s="8" t="n"/>
      <c r="F40" s="8" t="n"/>
    </row>
    <row r="41">
      <c r="A41" s="6" t="inlineStr">
        <is>
          <t>Elenco florístico (n.° de taxones)</t>
        </is>
      </c>
      <c r="B41" s="7" t="n">
        <v>11</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Pedro Talledo Hernández</t>
        </is>
      </c>
      <c r="C44" s="6" t="inlineStr">
        <is>
          <t>Fecha de evaluación</t>
        </is>
      </c>
      <c r="D44" s="7" t="inlineStr">
        <is>
          <t>2026-08-19</t>
        </is>
      </c>
      <c r="E44" s="8" t="n"/>
      <c r="F44" s="8" t="n"/>
    </row>
    <row r="45">
      <c r="A45" s="6" t="inlineStr">
        <is>
          <t>Hora de registro</t>
        </is>
      </c>
      <c r="B45" s="7" t="inlineStr">
        <is>
          <t>14:20 - 14:29 h</t>
        </is>
      </c>
      <c r="C45" s="6" t="inlineStr">
        <is>
          <t>Correlativo de ficha</t>
        </is>
      </c>
      <c r="D45" s="7" t="inlineStr">
        <is>
          <t>F-DT-01 / B-76 / 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 (prellenado de gabinete)</t>
        </is>
      </c>
      <c r="E47" s="8" t="n"/>
      <c r="F47" s="8" t="n"/>
    </row>
    <row r="48">
      <c r="A48" s="6" t="inlineStr">
        <is>
          <t>Estaciones fotográficas georreferenciadas</t>
        </is>
      </c>
      <c r="B48" s="7" t="n">
        <v>10</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Economía familiar de subsistencia en ladera —maíz en secano y ganadería caprina extensiva— sin alternativas productivas</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76</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1.8539</v>
      </c>
      <c r="C10" s="19">
        <f>ROUND(B10/$B$15*100,2)</f>
        <v/>
      </c>
      <c r="D10" s="11" t="inlineStr">
        <is>
          <t>Vigor alto</t>
        </is>
      </c>
      <c r="E10" s="11" t="inlineStr">
        <is>
          <t>Sobre umbral</t>
        </is>
      </c>
    </row>
    <row r="11">
      <c r="A11" s="12" t="inlineStr">
        <is>
          <t>0.4976 - 0.6139 · DN 4</t>
        </is>
      </c>
      <c r="B11" s="20" t="n">
        <v>7.1417</v>
      </c>
      <c r="C11" s="21">
        <f>ROUND(B11/$B$15*100,2)</f>
        <v/>
      </c>
      <c r="D11" s="13" t="inlineStr">
        <is>
          <t>Vigor moderado</t>
        </is>
      </c>
      <c r="E11" s="13" t="inlineStr">
        <is>
          <t>Sobre umbral</t>
        </is>
      </c>
    </row>
    <row r="12">
      <c r="A12" s="14" t="inlineStr">
        <is>
          <t>0.3813 - 0.4976 · DN 3</t>
        </is>
      </c>
      <c r="B12" s="32" t="n">
        <v>9.005699999999999</v>
      </c>
      <c r="C12" s="31">
        <f>ROUND(B12/$B$15*100,2)</f>
        <v/>
      </c>
      <c r="D12" s="15" t="inlineStr">
        <is>
          <t>Vigor bajo</t>
        </is>
      </c>
      <c r="E12" s="15" t="inlineStr">
        <is>
          <t>BAJO umbral 0.4976</t>
        </is>
      </c>
    </row>
    <row r="13">
      <c r="A13" s="12" t="inlineStr">
        <is>
          <t>0.2650 - 0.3813 · DN 2</t>
        </is>
      </c>
      <c r="B13" s="20" t="n">
        <v>1.6138</v>
      </c>
      <c r="C13" s="21">
        <f>ROUND(B13/$B$15*100,2)</f>
        <v/>
      </c>
      <c r="D13" s="13" t="inlineStr">
        <is>
          <t>Vigor muy bajo</t>
        </is>
      </c>
      <c r="E13" s="13"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99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19.62</v>
      </c>
      <c r="C18" s="49" t="inlineStr">
        <is>
          <t>—</t>
        </is>
      </c>
      <c r="D18" s="46" t="inlineStr">
        <is>
          <t>Desviación planimétrica frente al catálogo</t>
        </is>
      </c>
      <c r="E18" s="46" t="inlineStr">
        <is>
          <t>-0.02 %</t>
        </is>
      </c>
    </row>
    <row r="19">
      <c r="A19" s="16" t="inlineStr">
        <is>
          <t>MSAVI 2024 — MEDIA DEL BLOQUE</t>
        </is>
      </c>
      <c r="B19" s="17" t="n">
        <v>0.492462</v>
      </c>
      <c r="C19" s="17" t="inlineStr">
        <is>
          <t>—</t>
        </is>
      </c>
      <c r="D19" s="17" t="inlineStr">
        <is>
          <t>Vigor bajo · clase 0.3813 - 0.4976</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99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(0.4925)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9.078200000000001</v>
      </c>
      <c r="C25" s="19" t="n">
        <v>46.27</v>
      </c>
      <c r="D25" s="11" t="inlineStr">
        <is>
          <t>Dosel continuo, matorral denso o mosaico agroforestal</t>
        </is>
      </c>
      <c r="E25" s="11" t="inlineStr"/>
    </row>
    <row r="26">
      <c r="A26" s="12" t="inlineStr">
        <is>
          <t>Vegetación mediana</t>
        </is>
      </c>
      <c r="B26" s="20" t="n">
        <v>10.0995</v>
      </c>
      <c r="C26" s="21" t="n">
        <v>51.48</v>
      </c>
      <c r="D26" s="13" t="inlineStr">
        <is>
          <t>Pastizal cultivado, matorral ralo, parcelas agrícolas</t>
        </is>
      </c>
      <c r="E26" s="13" t="inlineStr"/>
    </row>
    <row r="27">
      <c r="A27" s="7" t="inlineStr">
        <is>
          <t>Vegetación ligera</t>
        </is>
      </c>
      <c r="B27" s="18" t="n">
        <v>0.441</v>
      </c>
      <c r="C27" s="19" t="n">
        <v>2.25</v>
      </c>
      <c r="D27" s="11" t="inlineStr">
        <is>
          <t>Cobertura discontinua, suelo parcialmente expuesto</t>
        </is>
      </c>
      <c r="E27" s="11" t="inlineStr"/>
    </row>
    <row r="28">
      <c r="A28" s="16" t="inlineStr">
        <is>
          <t>TOTAL CLASIFICADO</t>
        </is>
      </c>
      <c r="B28" s="22">
        <f>SUM(B25:B27)</f>
        <v/>
      </c>
      <c r="C28" s="23">
        <f>SUM(C25:C27)</f>
        <v/>
      </c>
      <c r="D28" s="17" t="inlineStr"/>
      <c r="E28" s="17" t="inlineStr"/>
    </row>
    <row r="29">
      <c r="A29" s="24" t="inlineStr">
        <is>
          <t>Superficie de catálogo (V5/V6)</t>
        </is>
      </c>
      <c r="B29" s="25" t="n">
        <v>19.62</v>
      </c>
      <c r="C29" s="25" t="inlineStr">
        <is>
          <t>—</t>
        </is>
      </c>
      <c r="D29" s="25" t="inlineStr">
        <is>
          <t>Desviación planimétrica frente al catálogo</t>
        </is>
      </c>
      <c r="E29" s="25" t="inlineStr">
        <is>
          <t>-0.01 %</t>
        </is>
      </c>
    </row>
    <row r="30"/>
    <row r="31" ht="72"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1" s="41" t="n"/>
      <c r="C31" s="41" t="n"/>
      <c r="D31" s="41" t="n"/>
      <c r="E31" s="42" t="n"/>
    </row>
  </sheetData>
  <mergeCells count="10">
    <mergeCell ref="A21:E21"/>
    <mergeCell ref="A4:E4"/>
    <mergeCell ref="A2:E2"/>
    <mergeCell ref="A1:E1"/>
    <mergeCell ref="A5:E5"/>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76</t>
        </is>
      </c>
    </row>
    <row r="6" ht="24" customHeight="1">
      <c r="A6" s="4" t="inlineStr">
        <is>
          <t>Levantamiento del 2026-08-19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657922</v>
      </c>
      <c r="D10" s="26" t="n">
        <v>9377480</v>
      </c>
      <c r="E10" s="11" t="n">
        <v>3</v>
      </c>
      <c r="F10" s="11" t="inlineStr"/>
      <c r="G10" s="11" t="inlineStr">
        <is>
          <t>Coordenada consignada en F-DT-01</t>
        </is>
      </c>
    </row>
    <row r="11">
      <c r="A11" s="12" t="inlineStr">
        <is>
          <t>E-01</t>
        </is>
      </c>
      <c r="B11" s="13" t="inlineStr">
        <is>
          <t>Estación fotográfica</t>
        </is>
      </c>
      <c r="C11" s="27" t="n">
        <v>657704</v>
      </c>
      <c r="D11" s="27" t="n">
        <v>9377627</v>
      </c>
      <c r="E11" s="13" t="n">
        <v>264.6</v>
      </c>
      <c r="F11" s="13" t="inlineStr"/>
      <c r="G11" s="13" t="inlineStr">
        <is>
          <t>Registro fotográfico georreferenciado</t>
        </is>
      </c>
    </row>
    <row r="12">
      <c r="A12" s="7" t="inlineStr">
        <is>
          <t>E-02</t>
        </is>
      </c>
      <c r="B12" s="11" t="inlineStr">
        <is>
          <t>Estación fotográfica</t>
        </is>
      </c>
      <c r="C12" s="26" t="n">
        <v>657727</v>
      </c>
      <c r="D12" s="26" t="n">
        <v>9377637</v>
      </c>
      <c r="E12" s="11" t="n">
        <v>252.2</v>
      </c>
      <c r="F12" s="11" t="inlineStr"/>
      <c r="G12" s="11" t="inlineStr">
        <is>
          <t>Registro fotográfico georreferenciado</t>
        </is>
      </c>
    </row>
    <row r="13">
      <c r="A13" s="12" t="inlineStr">
        <is>
          <t>E-06</t>
        </is>
      </c>
      <c r="B13" s="13" t="inlineStr">
        <is>
          <t>Estación fotográfica</t>
        </is>
      </c>
      <c r="C13" s="27" t="n">
        <v>657551</v>
      </c>
      <c r="D13" s="27" t="n">
        <v>9377519</v>
      </c>
      <c r="E13" s="13" t="n">
        <v>373.4</v>
      </c>
      <c r="F13" s="13" t="inlineStr"/>
      <c r="G13" s="13" t="inlineStr">
        <is>
          <t>Registro fotográfico georreferenciado</t>
        </is>
      </c>
    </row>
    <row r="14">
      <c r="A14" s="7" t="inlineStr">
        <is>
          <t>E-08</t>
        </is>
      </c>
      <c r="B14" s="11" t="inlineStr">
        <is>
          <t>Estación fotográfica</t>
        </is>
      </c>
      <c r="C14" s="26" t="n">
        <v>657554</v>
      </c>
      <c r="D14" s="26" t="n">
        <v>9377128</v>
      </c>
      <c r="E14" s="11" t="n">
        <v>507.2</v>
      </c>
      <c r="F14" s="11" t="inlineStr"/>
      <c r="G14" s="11" t="inlineStr">
        <is>
          <t>Registro fotográfico georreferenciado</t>
        </is>
      </c>
    </row>
    <row r="15">
      <c r="A15" s="12" t="inlineStr">
        <is>
          <t>C-01</t>
        </is>
      </c>
      <c r="B15" s="13" t="inlineStr">
        <is>
          <t>Rasgo erosivo — Cárcava somera (0.5-2 m)</t>
        </is>
      </c>
      <c r="C15" s="27" t="n">
        <v>657703</v>
      </c>
      <c r="D15" s="27" t="n">
        <v>9377569</v>
      </c>
      <c r="E15" s="13" t="n">
        <v>237.5</v>
      </c>
      <c r="F15" s="13" t="inlineStr">
        <is>
          <t>Activa</t>
        </is>
      </c>
      <c r="G15" s="13" t="inlineStr">
        <is>
          <t>Concentración natural de escorrentía</t>
        </is>
      </c>
    </row>
    <row r="16">
      <c r="A16" s="7" t="inlineStr">
        <is>
          <t>C-02</t>
        </is>
      </c>
      <c r="B16" s="11" t="inlineStr">
        <is>
          <t>Rasgo erosivo — Cárcava incipiente</t>
        </is>
      </c>
      <c r="C16" s="26" t="n">
        <v>657554</v>
      </c>
      <c r="D16" s="26" t="n">
        <v>9377128</v>
      </c>
      <c r="E16" s="11" t="n">
        <v>507.2</v>
      </c>
      <c r="F16" s="11" t="inlineStr">
        <is>
          <t>Activa</t>
        </is>
      </c>
      <c r="G16" s="11" t="inlineStr">
        <is>
          <t>Cambio de uso del suelo</t>
        </is>
      </c>
    </row>
    <row r="17">
      <c r="A17" s="12" t="inlineStr">
        <is>
          <t>H-01</t>
        </is>
      </c>
      <c r="B17" s="13" t="inlineStr">
        <is>
          <t>Fuente de agua — Quebrada estacional</t>
        </is>
      </c>
      <c r="C17" s="27" t="n">
        <v>657703</v>
      </c>
      <c r="D17" s="27" t="n">
        <v>9377569</v>
      </c>
      <c r="E17" s="13" t="n">
        <v>237.5</v>
      </c>
      <c r="F17" s="13" t="inlineStr">
        <is>
          <t>Estacional</t>
        </is>
      </c>
      <c r="G17" s="13" t="inlineStr">
        <is>
          <t>Vaguada de fondo pedregoso, sin obra de cruce</t>
        </is>
      </c>
    </row>
    <row r="18">
      <c r="A18" s="16" t="inlineStr">
        <is>
          <t>TOTAL: 8 puntos</t>
        </is>
      </c>
      <c r="B18" s="17" t="inlineStr"/>
      <c r="C18" s="17" t="inlineStr"/>
      <c r="D18" s="17" t="inlineStr"/>
      <c r="E18" s="17" t="inlineStr"/>
      <c r="F18" s="17" t="inlineStr"/>
      <c r="G18" s="17" t="inlineStr"/>
    </row>
    <row r="20">
      <c r="A20" s="6" t="inlineStr">
        <is>
          <t>Centroide del bloque — UTM ESTE (m)</t>
        </is>
      </c>
      <c r="B20" s="7" t="n">
        <v>657922</v>
      </c>
      <c r="C20" s="6" t="inlineStr">
        <is>
          <t>Centroide del bloque — UTM NORTE (m)</t>
        </is>
      </c>
      <c r="D20" s="7" t="n">
        <v>9377477</v>
      </c>
      <c r="E20" s="8" t="n"/>
      <c r="F20" s="8" t="n"/>
      <c r="G20" s="8" t="n"/>
      <c r="H20" s="8" t="n"/>
    </row>
    <row r="21">
      <c r="A21" s="6" t="inlineStr">
        <is>
          <t>N.° de estaciones fotográficas declaradas</t>
        </is>
      </c>
      <c r="B21" s="7" t="n">
        <v>10</v>
      </c>
      <c r="C21" s="6" t="inlineStr">
        <is>
          <t>Estaciones dentro del polígono</t>
        </is>
      </c>
      <c r="D21" s="7" t="n">
        <v>0</v>
      </c>
      <c r="E21" s="8" t="n"/>
      <c r="F21" s="8" t="n"/>
      <c r="G21" s="8" t="n"/>
      <c r="H21" s="8" t="n"/>
    </row>
    <row r="23" ht="180" customHeight="1">
      <c r="A23"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DE CAMPO DEL 19-08-2026 — recorrido vehicular por la trocha Hualanga-Sahuate con registro fotográfico georreferenciado; 10 tomas en 4 posiciones. LA FICHA NO FUE DILIGENCIADA EN CAMPO: los valores son PRELLENADO DE GABINETE a partir de estadística zonal sobre el MDE, catálogos maestros y clasificación de los planos temáticos MSAVI 2024 y NDVI mediana 2025. CONTROL GEOMÉTRICO: LAS 10 ESTACIONES SE LOCALIZAN FUERA DEL POLÍGONO, entre ~45 y ~169 m de su límite occidental y septentrional; EL INTERIOR DEL BLOQUE NO FUE VERIFICADO. Las coordenadas del punto de muestreo corresponden al CENTROIDE del polígono, no a un punto GPS de campo. La altitud consignada es la cota media del MDE (rango 1 647-1 838 msnm); NO se registró altitud GPS. Indicios: afloramientos de roca meteorizada y saprolito, taludes de corte activos de 2-5 m y colapso del borde de plataforma observados en el CORREDOR VIAL PERIMETRAL (E-04 a E-09); su ocurrencia dentro del polígono NO ha sido verificada. Pendiente promedio del bloque (MDE) = 26.25%; exposición dominante deducida de la disposición de las curvas de nivel.</t>
        </is>
      </c>
      <c r="B23" s="41" t="n"/>
      <c r="C23" s="41" t="n"/>
      <c r="D23" s="41" t="n"/>
      <c r="E23" s="41" t="n"/>
      <c r="F23" s="41" t="n"/>
      <c r="G23" s="42" t="n"/>
    </row>
  </sheetData>
  <mergeCells count="8">
    <mergeCell ref="A1:G1"/>
    <mergeCell ref="A8:G8"/>
    <mergeCell ref="A3:G3"/>
    <mergeCell ref="A6:G6"/>
    <mergeCell ref="A4:G4"/>
    <mergeCell ref="A2:G2"/>
    <mergeCell ref="A5:G5"/>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2"/>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C1076-Q9593 — BLOQUE 76</t>
        </is>
      </c>
    </row>
    <row r="6" ht="24" customHeight="1">
      <c r="A6" s="4" t="inlineStr">
        <is>
          <t>Distrito de Huarmaca · Provincia de Huancabamba · Comparación de los bloques preliminares de intervención de la misma microcuenca</t>
        </is>
      </c>
    </row>
    <row r="7"/>
    <row r="8" ht="18" customHeight="1">
      <c r="A8" s="5" t="inlineStr">
        <is>
          <t>BLOQUES DE LA MICROCUENCA C1076-Q9593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10</t>
        </is>
      </c>
      <c r="B10" s="28" t="n">
        <v>150.21</v>
      </c>
      <c r="C10" s="19" t="n">
        <v>28.67</v>
      </c>
      <c r="D10" s="11" t="inlineStr">
        <is>
          <t>912 – 1510</t>
        </is>
      </c>
      <c r="E10" s="11" t="n">
        <v>598</v>
      </c>
      <c r="F10" s="11" t="n">
        <v>27.39</v>
      </c>
      <c r="G10" s="18" t="n">
        <v>0.5465</v>
      </c>
      <c r="H10" s="19" t="n">
        <v>85.18000000000001</v>
      </c>
      <c r="I10" s="19" t="n">
        <v>28.51</v>
      </c>
    </row>
    <row r="11">
      <c r="A11" s="12" t="inlineStr">
        <is>
          <t>8</t>
        </is>
      </c>
      <c r="B11" s="29" t="n">
        <v>126.95</v>
      </c>
      <c r="C11" s="21" t="n">
        <v>24.23</v>
      </c>
      <c r="D11" s="13" t="inlineStr">
        <is>
          <t>1504 – 1970</t>
        </is>
      </c>
      <c r="E11" s="13" t="n">
        <v>466</v>
      </c>
      <c r="F11" s="13" t="n">
        <v>29.85</v>
      </c>
      <c r="G11" s="20" t="n">
        <v>0.5548</v>
      </c>
      <c r="H11" s="21" t="n">
        <v>72.25</v>
      </c>
      <c r="I11" s="21" t="n">
        <v>28.4</v>
      </c>
    </row>
    <row r="12">
      <c r="A12" s="7" t="inlineStr">
        <is>
          <t>16</t>
        </is>
      </c>
      <c r="B12" s="28" t="n">
        <v>83.33</v>
      </c>
      <c r="C12" s="19" t="n">
        <v>15.91</v>
      </c>
      <c r="D12" s="11" t="inlineStr">
        <is>
          <t>1349 – 1746</t>
        </is>
      </c>
      <c r="E12" s="11" t="n">
        <v>397</v>
      </c>
      <c r="F12" s="11" t="n">
        <v>22.34</v>
      </c>
      <c r="G12" s="18" t="n">
        <v>0.6284</v>
      </c>
      <c r="H12" s="19" t="n">
        <v>94.13</v>
      </c>
      <c r="I12" s="19" t="n">
        <v>7.3</v>
      </c>
    </row>
    <row r="13">
      <c r="A13" s="12" t="inlineStr">
        <is>
          <t>20</t>
        </is>
      </c>
      <c r="B13" s="29" t="n">
        <v>81.33</v>
      </c>
      <c r="C13" s="21" t="n">
        <v>15.52</v>
      </c>
      <c r="D13" s="13" t="inlineStr">
        <is>
          <t>1217 – 1607</t>
        </is>
      </c>
      <c r="E13" s="13" t="n">
        <v>390</v>
      </c>
      <c r="F13" s="13" t="n">
        <v>24.54</v>
      </c>
      <c r="G13" s="20" t="n">
        <v>0.4851</v>
      </c>
      <c r="H13" s="21" t="n">
        <v>52.44</v>
      </c>
      <c r="I13" s="21" t="n">
        <v>59.23</v>
      </c>
    </row>
    <row r="14">
      <c r="A14" s="7" t="inlineStr">
        <is>
          <t>80</t>
        </is>
      </c>
      <c r="B14" s="28" t="n">
        <v>28.83</v>
      </c>
      <c r="C14" s="19" t="n">
        <v>5.5</v>
      </c>
      <c r="D14" s="11" t="inlineStr">
        <is>
          <t>2180 – 2491</t>
        </is>
      </c>
      <c r="E14" s="11" t="n">
        <v>311</v>
      </c>
      <c r="F14" s="11" t="n">
        <v>32.9</v>
      </c>
      <c r="G14" s="18" t="n">
        <v>0.5931</v>
      </c>
      <c r="H14" s="19" t="n">
        <v>78.73</v>
      </c>
      <c r="I14" s="19" t="n">
        <v>16.88</v>
      </c>
    </row>
    <row r="15">
      <c r="A15" s="12" t="inlineStr">
        <is>
          <t>51</t>
        </is>
      </c>
      <c r="B15" s="29" t="n">
        <v>22.93</v>
      </c>
      <c r="C15" s="21" t="n">
        <v>4.38</v>
      </c>
      <c r="D15" s="13" t="inlineStr">
        <is>
          <t>1734 – 2018</t>
        </is>
      </c>
      <c r="E15" s="13" t="n">
        <v>284</v>
      </c>
      <c r="F15" s="13" t="n">
        <v>31.74</v>
      </c>
      <c r="G15" s="20" t="n">
        <v>0.5238</v>
      </c>
      <c r="H15" s="21" t="n">
        <v>69.45999999999999</v>
      </c>
      <c r="I15" s="21" t="n">
        <v>34.63</v>
      </c>
    </row>
    <row r="16">
      <c r="A16" s="14" t="inlineStr">
        <is>
          <t>► 76</t>
        </is>
      </c>
      <c r="B16" s="30" t="n">
        <v>19.62</v>
      </c>
      <c r="C16" s="31" t="n">
        <v>3.75</v>
      </c>
      <c r="D16" s="15" t="inlineStr">
        <is>
          <t>1647 – 1838</t>
        </is>
      </c>
      <c r="E16" s="15" t="n">
        <v>191</v>
      </c>
      <c r="F16" s="15" t="n">
        <v>26.25</v>
      </c>
      <c r="G16" s="32" t="n">
        <v>0.4925</v>
      </c>
      <c r="H16" s="31" t="n">
        <v>46.27</v>
      </c>
      <c r="I16" s="31" t="n">
        <v>54.14</v>
      </c>
    </row>
    <row r="17">
      <c r="A17" s="12" t="inlineStr">
        <is>
          <t>71</t>
        </is>
      </c>
      <c r="B17" s="29" t="n">
        <v>10.67</v>
      </c>
      <c r="C17" s="21" t="n">
        <v>2.04</v>
      </c>
      <c r="D17" s="13" t="inlineStr">
        <is>
          <t>1478 – 1609</t>
        </is>
      </c>
      <c r="E17" s="13" t="n">
        <v>131</v>
      </c>
      <c r="F17" s="13" t="n">
        <v>29.45</v>
      </c>
      <c r="G17" s="20" t="n">
        <v>0.5571</v>
      </c>
      <c r="H17" s="21" t="n">
        <v>81.37</v>
      </c>
      <c r="I17" s="21" t="n">
        <v>25.94</v>
      </c>
    </row>
    <row r="18">
      <c r="A18" s="16" t="inlineStr">
        <is>
          <t>TOTAL / PROMEDIO</t>
        </is>
      </c>
      <c r="B18" s="33">
        <f>SUM(B10:B17)</f>
        <v/>
      </c>
      <c r="C18" s="23">
        <f>SUM(C10:C17)</f>
        <v/>
      </c>
      <c r="D18" s="17" t="inlineStr">
        <is>
          <t>912 – 2491</t>
        </is>
      </c>
      <c r="E18" s="17" t="inlineStr"/>
      <c r="F18" s="17">
        <f>ROUND(AVERAGE(F10:F17),2)</f>
        <v/>
      </c>
      <c r="G18" s="22">
        <f>ROUND(AVERAGE(G10:G17),4)</f>
        <v/>
      </c>
      <c r="H18" s="23">
        <f>ROUND(AVERAGE(H10:H17),2)</f>
        <v/>
      </c>
      <c r="I18" s="23">
        <f>ROUND(AVERAGE(I10:I17),2)</f>
        <v/>
      </c>
    </row>
    <row r="19"/>
    <row r="20" ht="84" customHeight="1">
      <c r="A20" s="9" t="inlineStr">
        <is>
          <t>LECTURA INTRAMICROCUENCA. El bloque 76 ocupa el puesto 7 de 8 por superficie dentro de la microcuenca C1076-Q9593 (3.75 % de las 523.87 ha preliminares de la microcuenca). Su pendiente promedio (26.25 %, clase «25-50% (Mod. escarpado)») es la 3.ª más baja de 8 y se sitúa por debajo del promedio de la microcuenca (28.06 %). Su MSAVI 2024 (0.4925) es el 7.º de 8 y queda por debajo del promedio local (0.5477). Amplitud altitudinal del bloque: 191 m (1647–1838 msnm). El cuadro conserva todos los bloques catalogados en la microcuenca, incluidos los descartados en el tamizaje, para referencia del conjunto. Los bloques sin ficha DT figuran con sus parámetros de gabinete. BRECHA ESPECTRAL. El 54.14 % de la superficie del bloque (10.619 ha de 19.615 ha) se sitúa bajo el umbral MSAVI 0.4976, por encima del promedio local de la microcuenca (31.88 %) calculado sobre los bloques con dato MSAVI disponible.</t>
        </is>
      </c>
      <c r="B20" s="41" t="n"/>
      <c r="C20" s="41" t="n"/>
      <c r="D20" s="41" t="n"/>
      <c r="E20" s="41" t="n"/>
      <c r="F20" s="41" t="n"/>
      <c r="G20" s="41" t="n"/>
      <c r="H20" s="42" t="n"/>
    </row>
    <row r="21"/>
    <row r="22" ht="60" customHeight="1">
      <c r="A22"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2" s="41" t="n"/>
      <c r="C22" s="41" t="n"/>
      <c r="D22" s="41" t="n"/>
      <c r="E22" s="41" t="n"/>
      <c r="F22" s="41" t="n"/>
      <c r="G22" s="41" t="n"/>
      <c r="H22" s="42" t="n"/>
    </row>
  </sheetData>
  <mergeCells count="9">
    <mergeCell ref="A1:I1"/>
    <mergeCell ref="A4:I4"/>
    <mergeCell ref="A3:I3"/>
    <mergeCell ref="A20:I20"/>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76</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La ficha DT declara «C1076-Q9584 (según ficha — valor por defecto de plantilla; catálogo: C1076-Q9593)»; el catálogo maestro V5/V6 asigna el bloque a «C1076-Q9593»</t>
        </is>
      </c>
      <c r="D10" s="35" t="inlineStr">
        <is>
          <t>SUSTANTIVA</t>
        </is>
      </c>
      <c r="E10" s="34" t="inlineStr">
        <is>
          <t>Se conserva el código del catálogo maestro para todo cálculo intramicrocuenca. La declaración de la ficha debe corregirse en la siguiente versión del formato V5.</t>
        </is>
      </c>
    </row>
    <row r="11" ht="48" customHeight="1">
      <c r="A11" s="36" t="inlineStr">
        <is>
          <t>D-02</t>
        </is>
      </c>
      <c r="B11" s="36" t="inlineStr">
        <is>
          <t>UTM del punto de muestreo</t>
        </is>
      </c>
      <c r="C11" s="36" t="inlineStr">
        <is>
          <t>El punto de muestreo declarado dista 3 m del centroide de catálogo, compatible con la extensión del bloque</t>
        </is>
      </c>
      <c r="D11" s="37" t="inlineStr">
        <is>
          <t>CONFORME</t>
        </is>
      </c>
      <c r="E11" s="36" t="inlineStr">
        <is>
          <t>Sin acción.</t>
        </is>
      </c>
    </row>
    <row r="12" ht="48" customHeight="1">
      <c r="A12" s="34" t="inlineStr">
        <is>
          <t>D-03</t>
        </is>
      </c>
      <c r="B12" s="34" t="inlineStr">
        <is>
          <t>Superficie del polígono</t>
        </is>
      </c>
      <c r="C12" s="34" t="inlineStr">
        <is>
          <t>La superficie clasificada por el NDVI 2025 (19.619 ha) coincide con la de catálogo (19.62 ha) dentro del ±2 % (-0.01 %)</t>
        </is>
      </c>
      <c r="D12" s="37" t="inlineStr">
        <is>
          <t>CONFORME</t>
        </is>
      </c>
      <c r="E12" s="34" t="inlineStr">
        <is>
          <t>Sin acción: la segmentación valida la geometría del bloque.</t>
        </is>
      </c>
    </row>
    <row r="13" ht="48" customHeight="1">
      <c r="A13" s="36" t="inlineStr">
        <is>
          <t>D-04</t>
        </is>
      </c>
      <c r="B13" s="36" t="inlineStr">
        <is>
          <t>Dimensiones del inventario de cárcavas</t>
        </is>
      </c>
      <c r="C13" s="36" t="inlineStr">
        <is>
          <t>Se registran 2 rasgos erosivos, pero longitud, profundidad y ancho no fueron medidos instrumentalmente</t>
        </is>
      </c>
      <c r="D13" s="15" t="inlineStr">
        <is>
          <t>NO SUSTANTIVA</t>
        </is>
      </c>
      <c r="E13" s="36" t="inlineStr">
        <is>
          <t>El conteo registrado no debe usarse para calcular densidad de cárcavas por hectárea. Pendiente de levantamiento con GPS submétrico.</t>
        </is>
      </c>
    </row>
    <row r="14" ht="48" customHeight="1">
      <c r="A14" s="34" t="inlineStr">
        <is>
          <t>D-05</t>
        </is>
      </c>
      <c r="B14" s="34" t="inlineStr">
        <is>
          <t>Elenco florístico</t>
        </is>
      </c>
      <c r="C14" s="34" t="inlineStr">
        <is>
          <t>La ficha registra 11 taxones, por debajo del mínimo de 15 que exige el formato V5</t>
        </is>
      </c>
      <c r="D14" s="35" t="inlineStr">
        <is>
          <t>SUSTANTIVA</t>
        </is>
      </c>
      <c r="E14" s="34" t="inlineStr">
        <is>
          <t>Registro florístico preliminar, sin colecta ni determinación botánica formal. Debe cerrarse con colecta botánica en la siguiente campaña.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5"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Centro poblado asociado</t>
        </is>
      </c>
      <c r="C16" s="34" t="inlineStr">
        <is>
          <t>La ficha DT declara «Sahuate Hualanga · Hualanga»; el cruce INEI-Bloques V5 identifica 2 centro(s) poblado(s) en el bloque: HUALANGA, SAHUATE HUALANGA</t>
        </is>
      </c>
      <c r="D16" s="37"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5" t="inlineStr">
        <is>
          <t>SUSTANTIVA</t>
        </is>
      </c>
      <c r="E17" s="36" t="inlineStr">
        <is>
          <t>Debe tomarse del modelamiento de mesolocalización (PMM + EPH + PGI ponderados por AHP) antes de fijar la prioridad definitiva de intervención del bloque.</t>
        </is>
      </c>
    </row>
    <row r="18" ht="48" customHeight="1">
      <c r="A18" s="34" t="inlineStr">
        <is>
          <t>D-09</t>
        </is>
      </c>
      <c r="B18" s="34" t="inlineStr">
        <is>
          <t>Ficha DT</t>
        </is>
      </c>
      <c r="C18" s="34" t="inlineStr">
        <is>
          <t>La ficha consigna microcuenca C1076-Q9584; el catálogo maestro asigna al bloque 76 la microcuenca C1076-Q9593</t>
        </is>
      </c>
      <c r="D18" s="35" t="inlineStr">
        <is>
          <t>SUSTANTIVA</t>
        </is>
      </c>
      <c r="E18" s="34" t="inlineStr">
        <is>
          <t>Valor por defecto de la plantilla; se conserva el del catálogo</t>
        </is>
      </c>
    </row>
    <row r="19" ht="48" customHeight="1">
      <c r="A19" s="36" t="inlineStr">
        <is>
          <t>D-10</t>
        </is>
      </c>
      <c r="B19" s="36" t="inlineStr">
        <is>
          <t>Fichas F-DT-01 a F-DT-05</t>
        </is>
      </c>
      <c r="C19" s="36" t="inlineStr">
        <is>
          <t>NO DILIGENCIADAS EN CAMPO: prellenado de gabinete</t>
        </is>
      </c>
      <c r="D19" s="35" t="inlineStr">
        <is>
          <t>SUSTANTIVA</t>
        </is>
      </c>
      <c r="E19" s="36" t="inlineStr">
        <is>
          <t>Levantamiento de campo pendiente</t>
        </is>
      </c>
    </row>
    <row r="20" ht="48" customHeight="1">
      <c r="A20" s="34" t="inlineStr">
        <is>
          <t>D-11</t>
        </is>
      </c>
      <c r="B20" s="34" t="inlineStr">
        <is>
          <t>F-DT-01</t>
        </is>
      </c>
      <c r="C20" s="34" t="inlineStr">
        <is>
          <t>Las 10 estaciones se localizan FUERA del polígono (~45 a ~169 m); el interior no fue verificado</t>
        </is>
      </c>
      <c r="D20" s="35" t="inlineStr">
        <is>
          <t>SUSTANTIVA</t>
        </is>
      </c>
      <c r="E20" s="34" t="inlineStr">
        <is>
          <t>La caracterización describe el borde occidental y el corredor vial</t>
        </is>
      </c>
    </row>
    <row r="21" ht="48" customHeight="1">
      <c r="A21" s="36" t="inlineStr">
        <is>
          <t>D-12</t>
        </is>
      </c>
      <c r="B21" s="36" t="inlineStr">
        <is>
          <t>F-DT-02</t>
        </is>
      </c>
      <c r="C21" s="36" t="inlineStr">
        <is>
          <t>Las 2 cárcavas inventariadas se ubican fuera del polígono y sus dimensiones no fueron medidas</t>
        </is>
      </c>
      <c r="D21" s="35" t="inlineStr">
        <is>
          <t>SUSTANTIVA</t>
        </is>
      </c>
      <c r="E21" s="36" t="inlineStr">
        <is>
          <t>Inventario interior pendiente</t>
        </is>
      </c>
    </row>
    <row r="22" ht="48" customHeight="1">
      <c r="A22" s="34" t="inlineStr">
        <is>
          <t>D-13</t>
        </is>
      </c>
      <c r="B22" s="34" t="inlineStr">
        <is>
          <t>F-DT-03</t>
        </is>
      </c>
      <c r="C22" s="34" t="inlineStr">
        <is>
          <t>Lista florística de 11 taxones frente al mínimo de 15; coberturas, alturas y DAP sin medición</t>
        </is>
      </c>
      <c r="D22" s="35" t="inlineStr">
        <is>
          <t>SUSTANTIVA</t>
        </is>
      </c>
      <c r="E22" s="34" t="inlineStr">
        <is>
          <t>Colecta botánica y medición dasométrica pendientes</t>
        </is>
      </c>
    </row>
    <row r="23" ht="48" customHeight="1">
      <c r="A23" s="36" t="inlineStr">
        <is>
          <t>D-14</t>
        </is>
      </c>
      <c r="B23" s="36" t="inlineStr">
        <is>
          <t>F-DT-04</t>
        </is>
      </c>
      <c r="C23" s="36" t="inlineStr">
        <is>
          <t>54.64% del bloque (10.717 ha) bajo umbral MSAVI 0.4976, pero la causalidad solo está acreditada en la franja perimetral</t>
        </is>
      </c>
      <c r="D23" s="35" t="inlineStr">
        <is>
          <t>SUSTANTIVA</t>
        </is>
      </c>
      <c r="E23" s="36" t="inlineStr">
        <is>
          <t>Requiere comparación multitemporal del MSAVI</t>
        </is>
      </c>
    </row>
    <row r="24" ht="48" customHeight="1">
      <c r="A24" s="34" t="inlineStr">
        <is>
          <t>D-15</t>
        </is>
      </c>
      <c r="B24" s="34" t="inlineStr">
        <is>
          <t>F-DT-04</t>
        </is>
      </c>
      <c r="C24" s="34" t="inlineStr">
        <is>
          <t>7 de los 8 indicadores cuantitativos «Por determinar»</t>
        </is>
      </c>
      <c r="D24" s="35" t="inlineStr">
        <is>
          <t>SUSTANTIVA</t>
        </is>
      </c>
      <c r="E24" s="34" t="inlineStr">
        <is>
          <t>Cuantificación pendiente</t>
        </is>
      </c>
    </row>
    <row r="25" ht="48" customHeight="1">
      <c r="A25" s="36" t="inlineStr">
        <is>
          <t>D-16</t>
        </is>
      </c>
      <c r="B25" s="36" t="inlineStr">
        <is>
          <t>F-DT-05</t>
        </is>
      </c>
      <c r="C25" s="36" t="inlineStr">
        <is>
          <t>La trocha Hualanga-Sahuate no figura en las capas de red vial del proyecto</t>
        </is>
      </c>
      <c r="D25" s="35" t="inlineStr">
        <is>
          <t>SUSTANTIVA</t>
        </is>
      </c>
      <c r="E25" s="36" t="inlineStr">
        <is>
          <t>Incorporar a los filtros de exclusión y buffers</t>
        </is>
      </c>
    </row>
    <row r="26" ht="48" customHeight="1">
      <c r="A26" s="36" t="inlineStr">
        <is>
          <t>D-17</t>
        </is>
      </c>
      <c r="B26" s="36" t="inlineStr">
        <is>
          <t>Distribución areal MSAVI 2024</t>
        </is>
      </c>
      <c r="C26" s="36" t="inlineStr">
        <is>
          <t>La distribución por clase de MSAVI no figuraba en los insumos del entregable y se consignaba «Por determinar»; se incorpora la estadística zonal del ráster MSAVI clasificado (99 polígonos, 19.615 ha)</t>
        </is>
      </c>
      <c r="D26" s="35" t="inlineStr">
        <is>
          <t>CORREGIDO</t>
        </is>
      </c>
      <c r="E26"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7" ht="48" customHeight="1">
      <c r="A27" s="36" t="inlineStr">
        <is>
          <t>D-18</t>
        </is>
      </c>
      <c r="B27" s="36" t="inlineStr">
        <is>
          <t>Superficie MSAVI vs. catálogo</t>
        </is>
      </c>
      <c r="C27" s="36" t="inlineStr">
        <is>
          <t>La superficie total clasificada por el MSAVI 2024 (19.615 ha) frente a la de catálogo V5/V6 (19.620 ha): desviación de -0.02 %</t>
        </is>
      </c>
      <c r="D27" s="35" t="inlineStr">
        <is>
          <t>CONFORME</t>
        </is>
      </c>
      <c r="E27" s="36" t="inlineStr">
        <is>
          <t>Sin acción: la segmentación del ráster valida la geometría del bloque dentro del ±2 %.</t>
        </is>
      </c>
    </row>
    <row r="28" ht="48" customHeight="1">
      <c r="A28" s="36" t="inlineStr">
        <is>
          <t>D-19</t>
        </is>
      </c>
      <c r="B28" s="36" t="inlineStr">
        <is>
          <t>Media MSAVI vs. clase DN dominante</t>
        </is>
      </c>
      <c r="C28" s="36" t="inlineStr">
        <is>
          <t>La media del bloque (0.4925) cae en la clase «DN 3 · 0.3813 - 0.4976 (Vigor bajo)»; la clase de mayor superficie es «DN 3 · 0.3813 - 0.4976 (Vigor bajo)», con 45.91 % del bloque. Superficie bajo el umbral 0.4976: 10.619 ha (54.14 %)</t>
        </is>
      </c>
      <c r="D28" s="35" t="inlineStr">
        <is>
          <t>CONFORME</t>
        </is>
      </c>
      <c r="E28" s="36" t="inlineStr">
        <is>
          <t>Sin acción: la media del bloque y la clase de mayor superficie coinciden.</t>
        </is>
      </c>
    </row>
    <row r="29"/>
    <row r="30">
      <c r="A30" s="16" t="inlineStr">
        <is>
          <t>RESUMEN</t>
        </is>
      </c>
      <c r="B30" s="17" t="inlineStr">
        <is>
          <t>19 verificaciones</t>
        </is>
      </c>
      <c r="C30" s="17" t="inlineStr">
        <is>
          <t>CONFORME: 5 · CORREGIDO: 1 · NO SUSTANTIVA: 1 · SUSTANTIVA: 12</t>
        </is>
      </c>
      <c r="D30" s="17" t="inlineStr"/>
      <c r="E30" s="17" t="inlineStr"/>
    </row>
    <row r="31"/>
    <row r="32" ht="60" customHeight="1">
      <c r="A32"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2" s="41" t="n"/>
      <c r="C32" s="41" t="n"/>
      <c r="D32" s="41" t="n"/>
      <c r="E32" s="42" t="n"/>
    </row>
  </sheetData>
  <mergeCells count="8">
    <mergeCell ref="A4:E4"/>
    <mergeCell ref="A2:E2"/>
    <mergeCell ref="A5:E5"/>
    <mergeCell ref="A1:E1"/>
    <mergeCell ref="A32:E32"/>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76 — IN Piura</dc:title>
  <dc:subject>Diagnóstico Territorial por bloque de intervención</dc:subject>
  <dcterms:created xsi:type="dcterms:W3CDTF">2026-09-08T03:39:57Z</dcterms:created>
  <dcterms:modified xsi:type="dcterms:W3CDTF">2026-09-09T23:30:53Z</dcterms:modified>
</cp:coreProperties>
</file>