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M11B3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M11B3</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CP La Quemazón / CP La Pareja / CP Alto San José</t>
        </is>
      </c>
      <c r="C13" s="6" t="inlineStr">
        <is>
          <t>Comunidad campesina</t>
        </is>
      </c>
      <c r="D13" s="7" t="inlineStr">
        <is>
          <t>Por verificar in situ</t>
        </is>
      </c>
      <c r="E13" s="8" t="n"/>
      <c r="F13" s="8" t="n"/>
    </row>
    <row r="14">
      <c r="A14" s="6" t="inlineStr">
        <is>
          <t>Superficie de catálogo (V5/V6), ha</t>
        </is>
      </c>
      <c r="B14" s="7" t="n">
        <v>106.03</v>
      </c>
      <c r="C14" s="6" t="inlineStr">
        <is>
          <t>Fuente de superficie</t>
        </is>
      </c>
      <c r="D14" s="7" t="inlineStr">
        <is>
          <t>Catálogo maestro Bloques V5/V6</t>
        </is>
      </c>
      <c r="E14" s="8" t="n"/>
      <c r="F14" s="8" t="n"/>
    </row>
    <row r="15">
      <c r="A15" s="6" t="inlineStr">
        <is>
          <t>Centroide UTM ESTE (m)</t>
        </is>
      </c>
      <c r="B15" s="7" t="n">
        <v>642079</v>
      </c>
      <c r="C15" s="6" t="inlineStr">
        <is>
          <t>Centroide UTM NORTE (m)</t>
        </is>
      </c>
      <c r="D15" s="7" t="n">
        <v>9413823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278</v>
      </c>
      <c r="C19" s="6" t="inlineStr">
        <is>
          <t>Altitud máxima (msnm)</t>
        </is>
      </c>
      <c r="D19" s="7" t="n">
        <v>477</v>
      </c>
      <c r="E19" s="8" t="n"/>
      <c r="F19" s="8" t="n"/>
    </row>
    <row r="20">
      <c r="A20" s="6" t="inlineStr">
        <is>
          <t>Amplitud altitudinal (m)</t>
        </is>
      </c>
      <c r="B20" s="7" t="n">
        <v>199</v>
      </c>
      <c r="C20" s="6" t="inlineStr">
        <is>
          <t>Piso altitudinal dominante</t>
        </is>
      </c>
      <c r="D20" s="7" t="inlineStr">
        <is>
          <t>&lt;1000 m (Yunga)</t>
        </is>
      </c>
      <c r="E20" s="8" t="n"/>
      <c r="F20" s="8" t="n"/>
    </row>
    <row r="21">
      <c r="A21" s="6" t="inlineStr">
        <is>
          <t>Pendiente promedio (%)</t>
        </is>
      </c>
      <c r="B21" s="7" t="n">
        <v>18.11</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 (no observado a distancia)</t>
        </is>
      </c>
      <c r="C25" s="6" t="inlineStr">
        <is>
          <t>Remociones en masa activas</t>
        </is>
      </c>
      <c r="D25" s="7" t="inlineStr">
        <is>
          <t>No (no observado a distancia)</t>
        </is>
      </c>
      <c r="E25" s="8" t="n"/>
      <c r="F25" s="8" t="n"/>
    </row>
    <row r="26"/>
    <row r="27" ht="18" customHeight="1">
      <c r="A27" s="5" t="inlineStr">
        <is>
          <t>3. ÍNDICES DE VEGETACIÓN (SENTINEL-2)</t>
        </is>
      </c>
    </row>
    <row r="28">
      <c r="A28" s="6" t="inlineStr">
        <is>
          <t>MSAVI 2024 — media del bloque</t>
        </is>
      </c>
      <c r="B28" s="7" t="n">
        <v>0.3956</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(49.93 %)</t>
        </is>
      </c>
      <c r="E29" s="8" t="n"/>
      <c r="F29" s="8" t="n"/>
    </row>
    <row r="30">
      <c r="A30" s="6" t="inlineStr">
        <is>
          <t>Superficie clasificada NDVI 2025 (ha)</t>
        </is>
      </c>
      <c r="B30" s="7" t="n">
        <v>106.059</v>
      </c>
      <c r="C30" s="6" t="inlineStr">
        <is>
          <t>Desviación frente al catálogo (%)</t>
        </is>
      </c>
      <c r="D30" s="7" t="n">
        <v>0.03</v>
      </c>
      <c r="E30" s="8" t="n"/>
      <c r="F30" s="8" t="n"/>
    </row>
    <row r="31">
      <c r="A31" s="6" t="inlineStr">
        <is>
          <t>Superficie clasificada MSAVI 2024 (ha)</t>
        </is>
      </c>
      <c r="B31" s="39" t="n">
        <v>106.027</v>
      </c>
      <c r="C31" s="6" t="inlineStr">
        <is>
          <t>Desviación MSAVI frente al catálogo (%)</t>
        </is>
      </c>
      <c r="D31" s="40" t="n">
        <v>0</v>
      </c>
      <c r="E31" s="8" t="n"/>
      <c r="F31" s="8" t="n"/>
    </row>
    <row r="32">
      <c r="A32" s="6" t="inlineStr">
        <is>
          <t>Superficie bajo umbral MSAVI 0.4976 (ha)</t>
        </is>
      </c>
      <c r="B32" s="39" t="n">
        <v>94.229</v>
      </c>
      <c r="C32" s="6" t="inlineStr">
        <is>
          <t>% del bloque bajo umbral (brecha espectral)</t>
        </is>
      </c>
      <c r="D32" s="40" t="n">
        <v>88.87</v>
      </c>
      <c r="E32" s="8" t="n"/>
      <c r="F32" s="8" t="n"/>
    </row>
    <row r="33">
      <c r="A33" s="6" t="inlineStr">
        <is>
          <t>Clase DN dominante (MSAVI 2024)</t>
        </is>
      </c>
      <c r="B33" s="7" t="inlineStr">
        <is>
          <t>DN 3 · 0.3813 - 0.4976 (Vigor bajo)</t>
        </is>
      </c>
      <c r="C33" s="6" t="inlineStr">
        <is>
          <t>N.° de polígonos MSAVI del bloque</t>
        </is>
      </c>
      <c r="D33" s="41" t="n">
        <v>338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106.03 ha (100% del bloque)</t>
        </is>
      </c>
      <c r="E36" s="8" t="n"/>
      <c r="F36" s="8" t="n"/>
    </row>
    <row r="37">
      <c r="A37" s="6" t="inlineStr">
        <is>
          <t>Estado de conservación</t>
        </is>
      </c>
      <c r="B37" s="7" t="inlineStr">
        <is>
          <t>Levemente alterado</t>
        </is>
      </c>
      <c r="C37" s="6" t="inlineStr">
        <is>
          <t>Uso actual dominante del suelo</t>
        </is>
      </c>
      <c r="D37" s="7" t="inlineStr">
        <is>
          <t>Forestal de protección</t>
        </is>
      </c>
      <c r="E37" s="8" t="n"/>
      <c r="F37" s="8" t="n"/>
    </row>
    <row r="38">
      <c r="A38" s="6" t="inlineStr">
        <is>
          <t>Tipo de cobertura dominante</t>
        </is>
      </c>
      <c r="B38" s="7" t="inlineStr">
        <is>
          <t>Bosque ralo (30-70%)</t>
        </is>
      </c>
      <c r="C38" s="6" t="inlineStr">
        <is>
          <t>Cobertura vegetal total — campo (%)</t>
        </is>
      </c>
      <c r="D38" s="7" t="n">
        <v>75</v>
      </c>
      <c r="E38" s="8" t="n"/>
      <c r="F38" s="8" t="n"/>
    </row>
    <row r="39">
      <c r="A39" s="6" t="inlineStr">
        <is>
          <t>Suelo desnudo — campo (%)</t>
        </is>
      </c>
      <c r="B39" s="7" t="n">
        <v>5</v>
      </c>
      <c r="C39" s="6" t="inlineStr">
        <is>
          <t>Regeneración natural</t>
        </is>
      </c>
      <c r="D39" s="7" t="inlineStr">
        <is>
          <t>Sin registro en ficha</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t>
        </is>
      </c>
      <c r="C44" s="6" t="inlineStr">
        <is>
          <t>Fecha de evaluación</t>
        </is>
      </c>
      <c r="D44" s="7" t="inlineStr">
        <is>
          <t>2026-05-07</t>
        </is>
      </c>
      <c r="E44" s="8" t="n"/>
      <c r="F44" s="8" t="n"/>
    </row>
    <row r="45">
      <c r="A45" s="6" t="inlineStr">
        <is>
          <t>Hora de registro</t>
        </is>
      </c>
      <c r="B45" s="7" t="inlineStr">
        <is>
          <t>12:00 h</t>
        </is>
      </c>
      <c r="C45" s="6" t="inlineStr">
        <is>
          <t>Correlativo de ficha</t>
        </is>
      </c>
      <c r="D45" s="7" t="inlineStr">
        <is>
          <t>M11B3-01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a distancia (sin parcela)</t>
        </is>
      </c>
      <c r="E47" s="8" t="n"/>
      <c r="F47" s="8" t="n"/>
    </row>
    <row r="48">
      <c r="A48" s="6" t="inlineStr">
        <is>
          <t>Estaciones fotográficas georreferenciadas</t>
        </is>
      </c>
      <c r="B48" s="7" t="n">
        <v>0</v>
      </c>
      <c r="C48" s="6" t="inlineStr">
        <is>
          <t>Modalidad de acceso</t>
        </is>
      </c>
      <c r="D48" s="7" t="inlineStr">
        <is>
          <t>INACCESIBLE EN LLUVIAS</t>
        </is>
      </c>
      <c r="E48" s="8" t="n"/>
      <c r="F48" s="8" t="n"/>
    </row>
    <row r="49"/>
    <row r="50" ht="18" customHeight="1">
      <c r="A50" s="5" t="inlineStr">
        <is>
          <t>6. SÍNTESIS PARA LA GESTIÓN DEL RIESGO EN CONTEXTO DE CAMBIO CLIMÁTICO</t>
        </is>
      </c>
    </row>
    <row r="51">
      <c r="A51" s="6" t="inlineStr">
        <is>
          <t>Causa subyacente principal</t>
        </is>
      </c>
      <c r="B51" s="7" t="inlineStr">
        <is>
          <t>Sequía prolongada / cambio climático como motor subyacente regional. Presión antrópica histórica baja en el polígono</t>
        </is>
      </c>
      <c r="C51" s="6" t="inlineStr">
        <is>
          <t>Velocidad de degradación</t>
        </is>
      </c>
      <c r="D51" s="7" t="inlineStr">
        <is>
          <t>Estable</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M11B3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0.1667</v>
      </c>
      <c r="C10" s="19">
        <f>ROUND(B10/$B$15*100,2)</f>
        <v/>
      </c>
      <c r="D10" s="11" t="inlineStr">
        <is>
          <t>Vigor alto</t>
        </is>
      </c>
      <c r="E10" s="11" t="inlineStr">
        <is>
          <t>Sobre umbral</t>
        </is>
      </c>
    </row>
    <row r="11">
      <c r="A11" s="12" t="inlineStr">
        <is>
          <t>0.4976 - 0.6139 · DN 4</t>
        </is>
      </c>
      <c r="B11" s="20" t="n">
        <v>11.6313</v>
      </c>
      <c r="C11" s="21">
        <f>ROUND(B11/$B$15*100,2)</f>
        <v/>
      </c>
      <c r="D11" s="13" t="inlineStr">
        <is>
          <t>Vigor moderado</t>
        </is>
      </c>
      <c r="E11" s="13" t="inlineStr">
        <is>
          <t>Sobre umbral</t>
        </is>
      </c>
    </row>
    <row r="12">
      <c r="A12" s="14" t="inlineStr">
        <is>
          <t>0.3813 - 0.4976 · DN 3</t>
        </is>
      </c>
      <c r="B12" s="30" t="n">
        <v>47.1236</v>
      </c>
      <c r="C12" s="29">
        <f>ROUND(B12/$B$15*100,2)</f>
        <v/>
      </c>
      <c r="D12" s="15" t="inlineStr">
        <is>
          <t>Vigor bajo</t>
        </is>
      </c>
      <c r="E12" s="15" t="inlineStr">
        <is>
          <t>BAJO umbral 0.4976</t>
        </is>
      </c>
    </row>
    <row r="13">
      <c r="A13" s="12" t="inlineStr">
        <is>
          <t>0.2650 - 0.3813 · DN 2</t>
        </is>
      </c>
      <c r="B13" s="20" t="n">
        <v>43.1431</v>
      </c>
      <c r="C13" s="21">
        <f>ROUND(B13/$B$15*100,2)</f>
        <v/>
      </c>
      <c r="D13" s="13" t="inlineStr">
        <is>
          <t>Vigor muy bajo</t>
        </is>
      </c>
      <c r="E13" s="13" t="inlineStr">
        <is>
          <t>BAJO umbral 0.4976</t>
        </is>
      </c>
    </row>
    <row r="14">
      <c r="A14" s="7" t="inlineStr">
        <is>
          <t>&lt;= 0.2650 · DN 1</t>
        </is>
      </c>
      <c r="B14" s="18" t="n">
        <v>3.9623</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338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106.03</v>
      </c>
      <c r="C18" s="50" t="inlineStr">
        <is>
          <t>—</t>
        </is>
      </c>
      <c r="D18" s="47" t="inlineStr">
        <is>
          <t>Desviación planimétrica frente al catálogo</t>
        </is>
      </c>
      <c r="E18" s="47" t="inlineStr">
        <is>
          <t>+0.00 %</t>
        </is>
      </c>
    </row>
    <row r="19">
      <c r="A19" s="16" t="inlineStr">
        <is>
          <t>MSAVI 2024 — MEDIA DEL BLOQUE</t>
        </is>
      </c>
      <c r="B19" s="17" t="n">
        <v>0.395609</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338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(0.3956)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22.4394</v>
      </c>
      <c r="C25" s="19" t="n">
        <v>21.16</v>
      </c>
      <c r="D25" s="11" t="inlineStr">
        <is>
          <t>Dosel continuo, matorral denso o mosaico agroforestal</t>
        </is>
      </c>
      <c r="E25" s="11" t="inlineStr"/>
    </row>
    <row r="26">
      <c r="A26" s="12" t="inlineStr">
        <is>
          <t>Vegetación mediana</t>
        </is>
      </c>
      <c r="B26" s="20" t="n">
        <v>52.9549</v>
      </c>
      <c r="C26" s="21" t="n">
        <v>49.93</v>
      </c>
      <c r="D26" s="13" t="inlineStr">
        <is>
          <t>Pastizal cultivado, matorral ralo, parcelas agrícolas</t>
        </is>
      </c>
      <c r="E26" s="13" t="inlineStr"/>
    </row>
    <row r="27">
      <c r="A27" s="7" t="inlineStr">
        <is>
          <t>Vegetación ligera</t>
        </is>
      </c>
      <c r="B27" s="18" t="n">
        <v>29.6374</v>
      </c>
      <c r="C27" s="19" t="n">
        <v>27.94</v>
      </c>
      <c r="D27" s="11" t="inlineStr">
        <is>
          <t>Cobertura discontinua, suelo parcialmente expuesto</t>
        </is>
      </c>
      <c r="E27" s="11" t="inlineStr"/>
    </row>
    <row r="28">
      <c r="A28" s="12" t="inlineStr">
        <is>
          <t>Tierra desnuda</t>
        </is>
      </c>
      <c r="B28" s="20" t="n">
        <v>1.027</v>
      </c>
      <c r="C28" s="21" t="n">
        <v>0.97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106.03</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21.16 % del polígono clasificado como «Vegetación alta» por el NDVI 2025; la observación de campo corresponde a una parcela o recorrido puntual y no es estadísticamente representativa de las 106.030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M11B3</t>
        </is>
      </c>
    </row>
    <row r="6" ht="24" customHeight="1">
      <c r="A6" s="4" t="inlineStr">
        <is>
          <t>Levantamiento del 2026-05-07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642079</v>
      </c>
      <c r="D10" s="26" t="n">
        <v>9413823</v>
      </c>
      <c r="E10" s="11" t="n">
        <v>0</v>
      </c>
      <c r="F10" s="11" t="inlineStr"/>
      <c r="G10" s="11" t="inlineStr">
        <is>
          <t>Coordenada consignada en F-DT-01</t>
        </is>
      </c>
    </row>
    <row r="11">
      <c r="A11" s="12" t="inlineStr">
        <is>
          <t>H-01</t>
        </is>
      </c>
      <c r="B11" s="13" t="inlineStr">
        <is>
          <t>Fuente de agua — Río</t>
        </is>
      </c>
      <c r="C11" s="27" t="n">
        <v>642300</v>
      </c>
      <c r="D11" s="27" t="n">
        <v>9413400</v>
      </c>
      <c r="E11" s="13" t="n">
        <v>477.3</v>
      </c>
      <c r="F11" s="13" t="inlineStr">
        <is>
          <t>Permanente</t>
        </is>
      </c>
      <c r="G11" s="13" t="inlineStr">
        <is>
          <t>Río Bigote, borde sur-oriental</t>
        </is>
      </c>
    </row>
    <row r="12">
      <c r="A12" s="7" t="inlineStr">
        <is>
          <t>H-02</t>
        </is>
      </c>
      <c r="B12" s="11" t="inlineStr">
        <is>
          <t>Fuente de agua — Quebrada estacional</t>
        </is>
      </c>
      <c r="C12" s="26" t="n">
        <v>641900</v>
      </c>
      <c r="D12" s="26" t="n">
        <v>9413900</v>
      </c>
      <c r="E12" s="11" t="n">
        <v>194.9</v>
      </c>
      <c r="F12" s="11" t="inlineStr">
        <is>
          <t>Estacional</t>
        </is>
      </c>
      <c r="G12" s="11" t="inlineStr">
        <is>
          <t>Microquebradas de bajo orden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642079</v>
      </c>
      <c r="C15" s="6" t="inlineStr">
        <is>
          <t>Centroide del bloque — UTM NORTE (m)</t>
        </is>
      </c>
      <c r="D15" s="7" t="n">
        <v>9413823</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5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PARCIAL — OBSERVACIÓN A DISTANCIA DESDE LA RIBERA OPUESTA DEL RÍO BIGOTE (07/05/2026). ACCESO TERRESTRE DIRECTO INTERRUMPIDO POR CRECIDA DEL RÍO BIGOTE (caudal sobre nivel de vadeo seguro). HALLAZGOS VISUALES: COBERTURA FORESTAL DENSA Y CONTINUA, DOSEL ARBÓREO CERRADO, LÍNEA DE CUMBRE ÍNTEGRA, SIN PARCHES VISIBLES DE SUELO DESNUDO NI EVIDENCIAS MACROSCÓPICAS DE DEGRADACIÓN RECIENTE. Los indicios de remoción en masa registrados como «No» CORRESPONDEN A NO OBSERVACIÓN A DISTANCIA y requieren verificación in situ. Se recomienda reprogramar la verificación por modalidad alternativa (cabecera de microcuenca, cruce en época seca agosto-octubre 2026, o sobrevuelo RPA). MSAVI PROMEDIO ZONAL DEL BLOQUE: 0.396 (EL MÁS ALTO ENTRE LOS BLOQUES INSPECCIONADOS DEL CORREDOR).</t>
        </is>
      </c>
      <c r="B18" s="42" t="n"/>
      <c r="C18" s="42" t="n"/>
      <c r="D18" s="42" t="n"/>
      <c r="E18" s="42" t="n"/>
      <c r="F18" s="42" t="n"/>
      <c r="G18" s="43"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M11B3</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M11B3</t>
        </is>
      </c>
      <c r="B10" s="28" t="n">
        <v>106.03</v>
      </c>
      <c r="C10" s="29" t="n">
        <v>26.64</v>
      </c>
      <c r="D10" s="15" t="inlineStr">
        <is>
          <t>278 – 477</t>
        </is>
      </c>
      <c r="E10" s="15" t="n">
        <v>199</v>
      </c>
      <c r="F10" s="15" t="n">
        <v>18.11</v>
      </c>
      <c r="G10" s="30" t="n">
        <v>0.3956</v>
      </c>
      <c r="H10" s="29" t="n">
        <v>21.16</v>
      </c>
      <c r="I10" s="29" t="n">
        <v>88.87</v>
      </c>
    </row>
    <row r="11">
      <c r="A11" s="12" t="inlineStr">
        <is>
          <t>24</t>
        </is>
      </c>
      <c r="B11" s="31" t="n">
        <v>90.16</v>
      </c>
      <c r="C11" s="21" t="n">
        <v>22.65</v>
      </c>
      <c r="D11" s="13" t="inlineStr">
        <is>
          <t>1319 – 1887</t>
        </is>
      </c>
      <c r="E11" s="13" t="n">
        <v>568</v>
      </c>
      <c r="F11" s="13" t="n">
        <v>32.98</v>
      </c>
      <c r="G11" s="20" t="n">
        <v>0.6748</v>
      </c>
      <c r="H11" s="21" t="n">
        <v>98.51000000000001</v>
      </c>
      <c r="I11" s="21" t="n">
        <v>2.29</v>
      </c>
    </row>
    <row r="12">
      <c r="A12" s="7" t="inlineStr">
        <is>
          <t>87</t>
        </is>
      </c>
      <c r="B12" s="32"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31" t="n">
        <v>50.46</v>
      </c>
      <c r="C13" s="21" t="n">
        <v>12.68</v>
      </c>
      <c r="D13" s="13" t="inlineStr">
        <is>
          <t>1508 – 2080</t>
        </is>
      </c>
      <c r="E13" s="13" t="n">
        <v>572</v>
      </c>
      <c r="F13" s="13" t="n">
        <v>35.5</v>
      </c>
      <c r="G13" s="20" t="n">
        <v>0.6036</v>
      </c>
      <c r="H13" s="21" t="n">
        <v>99.2</v>
      </c>
      <c r="I13" s="21" t="n">
        <v>2.95</v>
      </c>
    </row>
    <row r="14">
      <c r="A14" s="7" t="inlineStr">
        <is>
          <t>86</t>
        </is>
      </c>
      <c r="B14" s="32"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31"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32" t="n">
        <v>17.82</v>
      </c>
      <c r="C16" s="19" t="n">
        <v>4.48</v>
      </c>
      <c r="D16" s="11" t="inlineStr">
        <is>
          <t>242 – 346</t>
        </is>
      </c>
      <c r="E16" s="11" t="n">
        <v>104</v>
      </c>
      <c r="F16" s="11" t="n">
        <v>13.71</v>
      </c>
      <c r="G16" s="18" t="n">
        <v>0.2725</v>
      </c>
      <c r="H16" s="19" t="n">
        <v>0.11</v>
      </c>
      <c r="I16" s="19" t="n">
        <v>99.78</v>
      </c>
    </row>
    <row r="17">
      <c r="A17" s="12" t="inlineStr">
        <is>
          <t>85</t>
        </is>
      </c>
      <c r="B17" s="31"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32"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2" t="n"/>
      <c r="C20" s="42" t="n"/>
      <c r="D20" s="42" t="n"/>
      <c r="E20" s="42" t="n"/>
      <c r="F20" s="42" t="n"/>
      <c r="G20" s="42" t="n"/>
      <c r="H20" s="43" t="n"/>
    </row>
    <row r="21"/>
    <row r="22" ht="84" customHeight="1">
      <c r="A22" s="9" t="inlineStr">
        <is>
          <t>LECTURA INTRAMICROCUENCA. El bloque M11B3 ocupa el puesto 1 de 9 por superficie dentro de la microcuenca C1081-Q9583 (26.64 % de las 398.04 ha preliminares de la microcuenca). Su pendiente promedio (18.11 %, clase «15-25% (Fuert. inclinado)») es la 2.ª más baja de 4 y se sitúa por debajo del promedio de la microcuenca (25.08 %). Su MSAVI 2024 (0.3956) es el 3.º de 9 y queda por encima del promedio local (0.3616). Amplitud altitudinal del bloque: 199 m (278–477 msnm). El cuadro conserva todos los bloques catalogados en la microcuenca, incluidos los descartados en el tamizaje, para referencia del conjunto. Los bloques sin ficha DT figuran con sus parámetros de gabinete. BRECHA ESPECTRAL. El 88.87 % de la superficie del bloque (94.229 ha de 106.027 ha) se sitúa bajo el umbral MSAVI 0.4976, por encima del promedio local de la microcuenca (76.96 %) calculado sobre los bloques con dato MSAVI disponible.</t>
        </is>
      </c>
      <c r="B22" s="42" t="n"/>
      <c r="C22" s="42" t="n"/>
      <c r="D22" s="42" t="n"/>
      <c r="E22" s="42" t="n"/>
      <c r="F22" s="42" t="n"/>
      <c r="G22" s="42" t="n"/>
      <c r="H22" s="43"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3"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M11B3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(106.059 ha) coincide con la de catálogo (106.03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75 % de cobertura vegetal en campo; el NDVI mediana 2025 clasifica 99.03 %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0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«CP La Quemazón / CP La Pareja / CP Alto San José»; el cruce INEI-Bloques V5 identifica 2 centro(s) poblado(s) en el bloque: LA PAREJA, QUEMAZON</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(257 msnm)</t>
        </is>
      </c>
    </row>
    <row r="19" ht="48" customHeight="1">
      <c r="A19" s="36" t="inlineStr">
        <is>
          <t>D-10</t>
        </is>
      </c>
      <c r="B19" s="36" t="inlineStr">
        <is>
          <t>F-DT-01</t>
        </is>
      </c>
      <c r="C19" s="36" t="inlineStr">
        <is>
          <t>VERIFICACIÓN PARCIAL: observación a distancia desde la ribera opuesta del río Bigote; acceso interrumpido por crecida</t>
        </is>
      </c>
      <c r="D19" s="37" t="inlineStr">
        <is>
          <t>SUSTANTIVA</t>
        </is>
      </c>
      <c r="E19" s="36" t="inlineStr">
        <is>
          <t>Los registros «No» de escarpes, reptación, deslizamientos y remociones significan NO OBSERVADO, no ausencia verificada</t>
        </is>
      </c>
    </row>
    <row r="20" ht="48" customHeight="1">
      <c r="A20" s="34" t="inlineStr">
        <is>
          <t>D-11</t>
        </is>
      </c>
      <c r="B20" s="34" t="inlineStr">
        <is>
          <t>F-DT-02</t>
        </is>
      </c>
      <c r="C20" s="34" t="inlineStr">
        <is>
          <t>Inventario de cárcavas no realizado in situ</t>
        </is>
      </c>
      <c r="D20" s="37" t="inlineStr">
        <is>
          <t>SUSTANTIVA</t>
        </is>
      </c>
      <c r="E20" s="34" t="inlineStr">
        <is>
          <t>Verificación pendiente</t>
        </is>
      </c>
    </row>
    <row r="21" ht="48" customHeight="1">
      <c r="A21" s="36" t="inlineStr">
        <is>
          <t>D-12</t>
        </is>
      </c>
      <c r="B21" s="36" t="inlineStr">
        <is>
          <t>F-DT-03</t>
        </is>
      </c>
      <c r="C21" s="36" t="inlineStr">
        <is>
          <t>Sin inventario florístico: las 5 especies listadas son referenciales para enriquecimiento, NO observadas</t>
        </is>
      </c>
      <c r="D21" s="37" t="inlineStr">
        <is>
          <t>SUSTANTIVA</t>
        </is>
      </c>
      <c r="E21" s="36" t="inlineStr">
        <is>
          <t>Inventario pendiente en su totalidad</t>
        </is>
      </c>
    </row>
    <row r="22" ht="48" customHeight="1">
      <c r="A22" s="34" t="inlineStr">
        <is>
          <t>D-13</t>
        </is>
      </c>
      <c r="B22" s="34" t="inlineStr">
        <is>
          <t>F-DT-03 / F-DT-04</t>
        </is>
      </c>
      <c r="C22" s="34" t="inlineStr">
        <is>
          <t>RECLASIFICACIÓN PRELIMINAR del estado de conservación: de «degradación moderada-significativa» (gabinete) a «conservación aparentemente favorable» (campo)</t>
        </is>
      </c>
      <c r="D22" s="37" t="inlineStr">
        <is>
          <t>SUSTANTIVA</t>
        </is>
      </c>
      <c r="E22" s="34" t="inlineStr">
        <is>
          <t>Requiere confirmación in situ; podría cambiar el enfoque de restauración masiva a protección y enriquecimiento puntual</t>
        </is>
      </c>
    </row>
    <row r="23" ht="48" customHeight="1">
      <c r="A23" s="36" t="inlineStr">
        <is>
          <t>D-14</t>
        </is>
      </c>
      <c r="B23" s="36" t="inlineStr">
        <is>
          <t>F-DT-04</t>
        </is>
      </c>
      <c r="C23" s="36" t="inlineStr">
        <is>
          <t>Suelo desnudo 5% calificado «Alto», incompatible con el umbral de la propia ficha (&lt;10% = bueno)</t>
        </is>
      </c>
      <c r="D23" s="15" t="inlineStr">
        <is>
          <t>NO SUSTANTIVA</t>
        </is>
      </c>
      <c r="E23" s="36" t="inlineStr">
        <is>
          <t>Recalificar</t>
        </is>
      </c>
    </row>
    <row r="24" ht="48" customHeight="1">
      <c r="A24" s="34" t="inlineStr">
        <is>
          <t>D-15</t>
        </is>
      </c>
      <c r="B24" s="34" t="inlineStr">
        <is>
          <t>F-DT-04</t>
        </is>
      </c>
      <c r="C24" s="34" t="inlineStr">
        <is>
          <t>Especies invasoras y carga ganadera sin dato</t>
        </is>
      </c>
      <c r="D24" s="15" t="inlineStr">
        <is>
          <t>NO SUSTANTIVA</t>
        </is>
      </c>
      <c r="E24" s="34" t="inlineStr">
        <is>
          <t>Por verificar in situ</t>
        </is>
      </c>
    </row>
    <row r="25" ht="48" customHeight="1">
      <c r="A25" s="36" t="inlineStr">
        <is>
          <t>D-16</t>
        </is>
      </c>
      <c r="B25" s="36" t="inlineStr">
        <is>
          <t>F-DT-05</t>
        </is>
      </c>
      <c r="C25" s="36" t="inlineStr">
        <is>
          <t>Acceso terrestre condicionado al régimen hidrológico del río Bigote; solo viable entre agosto y noviembre</t>
        </is>
      </c>
      <c r="D25" s="37" t="inlineStr">
        <is>
          <t>SUSTANTIVA</t>
        </is>
      </c>
      <c r="E25" s="36" t="inlineStr">
        <is>
          <t>LA RESOLUCIÓN DEL ACCESO OPERATIVO ES INSUMO CRÍTICO PARA TODAS LAS FASES POSTERIORES</t>
        </is>
      </c>
    </row>
    <row r="26" ht="48" customHeight="1">
      <c r="A26" s="34" t="inlineStr">
        <is>
          <t>D-17</t>
        </is>
      </c>
      <c r="B26" s="34" t="inlineStr">
        <is>
          <t>F-DT-02 / F-DT-04</t>
        </is>
      </c>
      <c r="C26" s="34" t="inlineStr">
        <is>
          <t>Socavamiento de margen activo del río Bigote en el borde sur-oriental</t>
        </is>
      </c>
      <c r="D26" s="37" t="inlineStr">
        <is>
          <t>SUSTANTIVA</t>
        </is>
      </c>
      <c r="E26" s="34" t="inlineStr">
        <is>
          <t>Relevante para el diseño de obras de protección de márgenes (infraestructura gris complementaria)</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(338 polígonos, 106.027 ha)</t>
        </is>
      </c>
      <c r="D27" s="37"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(106.027 ha) frente a la de catálogo V5/V6 (106.030 ha): desviación de +0.00 %</t>
        </is>
      </c>
      <c r="D28" s="37"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(0.3956) cae en la clase «DN 3 · 0.3813 - 0.4976 (Vigor bajo)»; la clase de mayor superficie es «DN 3 · 0.3813 - 0.4976 (Vigor bajo)», con 44.44 % del bloque. Superficie bajo el umbral 0.4976: 94.229 ha (88.87 %)</t>
        </is>
      </c>
      <c r="D29" s="37"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6 · CORREGIDO: 2 · NO SUSTANTIVA: 3 · SUSTANTIVA: 9</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M11B3 — IN Piura</dc:title>
  <dc:subject>Diagnóstico Territorial por bloque de intervención</dc:subject>
  <dcterms:created xsi:type="dcterms:W3CDTF">2026-09-08T03:39:57Z</dcterms:created>
  <dcterms:modified xsi:type="dcterms:W3CDTF">2026-09-09T23:30:54Z</dcterms:modified>
</cp:coreProperties>
</file>