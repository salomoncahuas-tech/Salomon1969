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M11B3</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M11B3</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CP La Quemazón / CP La Pareja / CP Alto San José</t>
        </is>
      </c>
      <c r="C13" s="6" t="inlineStr">
        <is>
          <t>Comunidad campesina</t>
        </is>
      </c>
      <c r="D13" s="7" t="inlineStr">
        <is>
          <t>Por verificar in situ</t>
        </is>
      </c>
      <c r="E13" s="8" t="n"/>
      <c r="F13" s="8" t="n"/>
    </row>
    <row r="14">
      <c r="A14" s="6" t="inlineStr">
        <is>
          <t>Superficie de catálogo (V5/V6), ha</t>
        </is>
      </c>
      <c r="B14" s="7" t="n">
        <v>106.03</v>
      </c>
      <c r="C14" s="6" t="inlineStr">
        <is>
          <t>Fuente de superficie</t>
        </is>
      </c>
      <c r="D14" s="7" t="inlineStr">
        <is>
          <t>Catálogo maestro Bloques V5/V6</t>
        </is>
      </c>
      <c r="E14" s="8" t="n"/>
      <c r="F14" s="8" t="n"/>
    </row>
    <row r="15">
      <c r="A15" s="6" t="inlineStr">
        <is>
          <t>Centroide UTM ESTE (m)</t>
        </is>
      </c>
      <c r="B15" s="7" t="n">
        <v>642079</v>
      </c>
      <c r="C15" s="6" t="inlineStr">
        <is>
          <t>Centroide UTM NORTE (m)</t>
        </is>
      </c>
      <c r="D15" s="7" t="n">
        <v>9413823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278</v>
      </c>
      <c r="C19" s="6" t="inlineStr">
        <is>
          <t>Altitud máxima (msnm)</t>
        </is>
      </c>
      <c r="D19" s="7" t="n">
        <v>477</v>
      </c>
      <c r="E19" s="8" t="n"/>
      <c r="F19" s="8" t="n"/>
    </row>
    <row r="20">
      <c r="A20" s="6" t="inlineStr">
        <is>
          <t>Amplitud altitudinal (m)</t>
        </is>
      </c>
      <c r="B20" s="7" t="n">
        <v>199</v>
      </c>
      <c r="C20" s="6" t="inlineStr">
        <is>
          <t>Piso altitudinal dominante</t>
        </is>
      </c>
      <c r="D20" s="7" t="inlineStr">
        <is>
          <t>&lt;1000 m (Yunga)</t>
        </is>
      </c>
      <c r="E20" s="8" t="n"/>
      <c r="F20" s="8" t="n"/>
    </row>
    <row r="21">
      <c r="A21" s="6" t="inlineStr">
        <is>
          <t>Pendiente promedio (%)</t>
        </is>
      </c>
      <c r="B21" s="7" t="n">
        <v>18.11</v>
      </c>
      <c r="C21" s="6" t="inlineStr">
        <is>
          <t>Pendiente promedio (grados)</t>
        </is>
      </c>
      <c r="D21" s="7" t="n">
        <v>10.3</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No (no observado a distancia)</t>
        </is>
      </c>
      <c r="C25" s="6" t="inlineStr">
        <is>
          <t>Remociones en masa activas</t>
        </is>
      </c>
      <c r="D25" s="7" t="inlineStr">
        <is>
          <t>No (no observado a distancia)</t>
        </is>
      </c>
      <c r="E25" s="8" t="n"/>
      <c r="F25" s="8" t="n"/>
    </row>
    <row r="26"/>
    <row r="27" ht="18" customHeight="1">
      <c r="A27" s="5" t="inlineStr">
        <is>
          <t>3. ÍNDICES DE VEGETACIÓN (SENTINEL-2)</t>
        </is>
      </c>
    </row>
    <row r="28">
      <c r="A28" s="6" t="inlineStr">
        <is>
          <t>MSAVI 2024 — media del bloque</t>
        </is>
      </c>
      <c r="B28" s="7" t="n">
        <v>0.3956</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(49.93 %)</t>
        </is>
      </c>
      <c r="E29" s="8" t="n"/>
      <c r="F29" s="8" t="n"/>
    </row>
    <row r="30">
      <c r="A30" s="6" t="inlineStr">
        <is>
          <t>Superficie clasificada NDVI 2025 (ha)</t>
        </is>
      </c>
      <c r="B30" s="7" t="n">
        <v>106.059</v>
      </c>
      <c r="C30" s="6" t="inlineStr">
        <is>
          <t>Desviación frente al catálogo (%)</t>
        </is>
      </c>
      <c r="D30" s="7" t="n">
        <v>0.03</v>
      </c>
      <c r="E30" s="8" t="n"/>
      <c r="F30" s="8" t="n"/>
    </row>
    <row r="31">
      <c r="A31" s="6" t="inlineStr">
        <is>
          <t>Superficie clasificada MSAVI 2024 (ha)</t>
        </is>
      </c>
      <c r="B31" s="39" t="n">
        <v>106.027</v>
      </c>
      <c r="C31" s="6" t="inlineStr">
        <is>
          <t>Desviación MSAVI frente al catálogo (%)</t>
        </is>
      </c>
      <c r="D31" s="40" t="n">
        <v>0</v>
      </c>
      <c r="E31" s="8" t="n"/>
      <c r="F31" s="8" t="n"/>
    </row>
    <row r="32">
      <c r="A32" s="6" t="inlineStr">
        <is>
          <t>Superficie bajo umbral MSAVI 0.4976 (ha)</t>
        </is>
      </c>
      <c r="B32" s="39" t="n">
        <v>94.229</v>
      </c>
      <c r="C32" s="6" t="inlineStr">
        <is>
          <t>% del bloque bajo umbral (brecha espectral)</t>
        </is>
      </c>
      <c r="D32" s="40" t="n">
        <v>88.87</v>
      </c>
      <c r="E32" s="8" t="n"/>
      <c r="F32" s="8" t="n"/>
    </row>
    <row r="33">
      <c r="A33" s="6" t="inlineStr">
        <is>
          <t>Clase DN dominante (MSAVI 2024)</t>
        </is>
      </c>
      <c r="B33" s="7" t="inlineStr">
        <is>
          <t>DN 3 · 0.3813 - 0.4976 (Vigor bajo)</t>
        </is>
      </c>
      <c r="C33" s="6" t="inlineStr">
        <is>
          <t>N.° de polígonos MSAVI del bloque</t>
        </is>
      </c>
      <c r="D33" s="41" t="n">
        <v>338</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106.03 ha (100% del bloque)</t>
        </is>
      </c>
      <c r="E36" s="8" t="n"/>
      <c r="F36" s="8" t="n"/>
    </row>
    <row r="37">
      <c r="A37" s="6" t="inlineStr">
        <is>
          <t>Estado de conservación</t>
        </is>
      </c>
      <c r="B37" s="7" t="inlineStr">
        <is>
          <t>Levemente alterado</t>
        </is>
      </c>
      <c r="C37" s="6" t="inlineStr">
        <is>
          <t>Uso actual dominante del suelo</t>
        </is>
      </c>
      <c r="D37" s="7" t="inlineStr">
        <is>
          <t>Forestal de protección</t>
        </is>
      </c>
      <c r="E37" s="8" t="n"/>
      <c r="F37" s="8" t="n"/>
    </row>
    <row r="38">
      <c r="A38" s="6" t="inlineStr">
        <is>
          <t>Tipo de cobertura dominante</t>
        </is>
      </c>
      <c r="B38" s="7" t="inlineStr">
        <is>
          <t>Bosque ralo (30-70%)</t>
        </is>
      </c>
      <c r="C38" s="6" t="inlineStr">
        <is>
          <t>Cobertura vegetal total — campo (%)</t>
        </is>
      </c>
      <c r="D38" s="7" t="n">
        <v>75</v>
      </c>
      <c r="E38" s="8" t="n"/>
      <c r="F38" s="8" t="n"/>
    </row>
    <row r="39">
      <c r="A39" s="6" t="inlineStr">
        <is>
          <t>Suelo desnudo — campo (%)</t>
        </is>
      </c>
      <c r="B39" s="7" t="n">
        <v>5</v>
      </c>
      <c r="C39" s="6" t="inlineStr">
        <is>
          <t>Regeneración natural</t>
        </is>
      </c>
      <c r="D39" s="7" t="inlineStr">
        <is>
          <t>Sin registro en ficha</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7" t="n">
        <v>0</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Carlos Domínguez Varas</t>
        </is>
      </c>
      <c r="C44" s="6" t="inlineStr">
        <is>
          <t>Fecha de evaluación</t>
        </is>
      </c>
      <c r="D44" s="7" t="inlineStr">
        <is>
          <t>2026-05-07</t>
        </is>
      </c>
      <c r="E44" s="8" t="n"/>
      <c r="F44" s="8" t="n"/>
    </row>
    <row r="45">
      <c r="A45" s="6" t="inlineStr">
        <is>
          <t>Hora de registro</t>
        </is>
      </c>
      <c r="B45" s="7" t="inlineStr">
        <is>
          <t>12:00 h</t>
        </is>
      </c>
      <c r="C45" s="6" t="inlineStr">
        <is>
          <t>Correlativo de ficha</t>
        </is>
      </c>
      <c r="D45" s="7" t="inlineStr">
        <is>
          <t>M11B3-01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Observación a distancia (sin parcela)</t>
        </is>
      </c>
      <c r="E47" s="8" t="n"/>
      <c r="F47" s="8" t="n"/>
    </row>
    <row r="48">
      <c r="A48" s="6" t="inlineStr">
        <is>
          <t>Estaciones fotográficas georreferenciadas</t>
        </is>
      </c>
      <c r="B48" s="7" t="n">
        <v>0</v>
      </c>
      <c r="C48" s="6" t="inlineStr">
        <is>
          <t>Modalidad de acceso</t>
        </is>
      </c>
      <c r="D48" s="7" t="inlineStr">
        <is>
          <t>INACCESIBLE EN LLUVIAS</t>
        </is>
      </c>
      <c r="E48" s="8" t="n"/>
      <c r="F48" s="8" t="n"/>
    </row>
    <row r="49"/>
    <row r="50" ht="18" customHeight="1">
      <c r="A50" s="5" t="inlineStr">
        <is>
          <t>6. SÍNTESIS PARA LA GESTIÓN DEL RIESGO EN CONTEXTO DE CAMBIO CLIMÁTICO</t>
        </is>
      </c>
    </row>
    <row r="51">
      <c r="A51" s="6" t="inlineStr">
        <is>
          <t>Causa subyacente principal</t>
        </is>
      </c>
      <c r="B51" s="7" t="inlineStr">
        <is>
          <t>Sequía prolongada / cambio climático como motor subyacente regional. Presión antrópica histórica baja en el polígono</t>
        </is>
      </c>
      <c r="C51" s="6" t="inlineStr">
        <is>
          <t>Velocidad de degradación</t>
        </is>
      </c>
      <c r="D51" s="7" t="inlineStr">
        <is>
          <t>Estable</t>
        </is>
      </c>
      <c r="E51" s="8" t="n"/>
      <c r="F51" s="8" t="n"/>
    </row>
    <row r="52">
      <c r="A52" s="6" t="inlineStr">
        <is>
          <t>Reversibilidad técnica</t>
        </is>
      </c>
      <c r="B52" s="7" t="inlineStr">
        <is>
          <t>Totalmente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M11B3</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0.1667</v>
      </c>
      <c r="C10" s="19">
        <f>ROUND(B10/$B$15*100,2)</f>
        <v>0.16</v>
      </c>
      <c r="D10" s="11" t="inlineStr">
        <is>
          <t>Vigor alto</t>
        </is>
      </c>
      <c r="E10" s="11" t="inlineStr">
        <is>
          <t>Sobre umbral</t>
        </is>
      </c>
    </row>
    <row r="11">
      <c r="A11" s="12" t="inlineStr">
        <is>
          <t>0.4976 - 0.6139 · DN 4</t>
        </is>
      </c>
      <c r="B11" s="20" t="n">
        <v>11.6313</v>
      </c>
      <c r="C11" s="21">
        <f>ROUND(B11/$B$15*100,2)</f>
        <v>10.97</v>
      </c>
      <c r="D11" s="13" t="inlineStr">
        <is>
          <t>Vigor moderado</t>
        </is>
      </c>
      <c r="E11" s="13" t="inlineStr">
        <is>
          <t>Sobre umbral</t>
        </is>
      </c>
    </row>
    <row r="12">
      <c r="A12" s="14" t="inlineStr">
        <is>
          <t>0.3813 - 0.4976 · DN 3</t>
        </is>
      </c>
      <c r="B12" s="30" t="n">
        <v>47.1236</v>
      </c>
      <c r="C12" s="29">
        <f>ROUND(B12/$B$15*100,2)</f>
        <v>44.44</v>
      </c>
      <c r="D12" s="15" t="inlineStr">
        <is>
          <t>Vigor bajo</t>
        </is>
      </c>
      <c r="E12" s="15" t="inlineStr">
        <is>
          <t>BAJO umbral 0.4976</t>
        </is>
      </c>
    </row>
    <row r="13">
      <c r="A13" s="12" t="inlineStr">
        <is>
          <t>0.2650 - 0.3813 · DN 2</t>
        </is>
      </c>
      <c r="B13" s="20" t="n">
        <v>43.1431</v>
      </c>
      <c r="C13" s="21">
        <f>ROUND(B13/$B$15*100,2)</f>
        <v>40.69</v>
      </c>
      <c r="D13" s="13" t="inlineStr">
        <is>
          <t>Vigor muy bajo</t>
        </is>
      </c>
      <c r="E13" s="13" t="inlineStr">
        <is>
          <t>BAJO umbral 0.4976</t>
        </is>
      </c>
    </row>
    <row r="14">
      <c r="A14" s="7" t="inlineStr">
        <is>
          <t>&lt;= 0.2650 · DN 1</t>
        </is>
      </c>
      <c r="B14" s="18" t="n">
        <v>3.9623</v>
      </c>
      <c r="C14" s="19">
        <f>ROUND(B14/$B$15*100,2)</f>
        <v>3.74</v>
      </c>
      <c r="D14" s="11" t="inlineStr">
        <is>
          <t>Suelo desnudo / no vegetal</t>
        </is>
      </c>
      <c r="E14" s="11" t="inlineStr">
        <is>
          <t>BAJO umbral 0.4976</t>
        </is>
      </c>
    </row>
    <row r="15" ht="30" customHeight="1">
      <c r="A15" s="44" t="inlineStr">
        <is>
          <t>TOTAL CLASIFICADO MSAVI 2024</t>
        </is>
      </c>
      <c r="B15" s="45">
        <f>SUM(B10:B14)</f>
        <v>106.027</v>
      </c>
      <c r="C15" s="46">
        <f>SUM(C10:C14)</f>
        <v>100.0</v>
      </c>
      <c r="D15" s="44" t="inlineStr">
        <is>
          <t>Suma de la distribución areal · 338 polígonos</t>
        </is>
      </c>
      <c r="E15" s="44" t="inlineStr">
        <is>
          <t>—</t>
        </is>
      </c>
    </row>
    <row r="16" ht="30" customHeight="1">
      <c r="A16" s="47" t="inlineStr">
        <is>
          <t>Superficie SOBRE umbral 0.4976 (ha)</t>
        </is>
      </c>
      <c r="B16" s="48">
        <f>SUM(B10:B11)</f>
        <v>11.798</v>
      </c>
      <c r="C16" s="49">
        <f>ROUND(B16/B15*100,2)</f>
        <v>11.13</v>
      </c>
      <c r="D16" s="47" t="inlineStr">
        <is>
          <t>Vigor alto y moderado (DN 4 y DN 5)</t>
        </is>
      </c>
      <c r="E16" s="47" t="inlineStr">
        <is>
          <t>Sobre umbral 0.4976</t>
        </is>
      </c>
    </row>
    <row r="17" ht="30" customHeight="1">
      <c r="A17" s="47" t="inlineStr">
        <is>
          <t>Superficie BAJO umbral 0.4976 (ha) — brecha</t>
        </is>
      </c>
      <c r="B17" s="48">
        <f>SUM(B12:B14)</f>
        <v>94.229</v>
      </c>
      <c r="C17" s="49">
        <f>ROUND(B17/B15*100,2)</f>
        <v>88.87</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106.03</v>
      </c>
      <c r="C18" s="50" t="inlineStr">
        <is>
          <t>—</t>
        </is>
      </c>
      <c r="D18" s="47" t="inlineStr">
        <is>
          <t>Desviación planimétrica frente al catálogo</t>
        </is>
      </c>
      <c r="E18" s="47" t="inlineStr">
        <is>
          <t>+0.00 %</t>
        </is>
      </c>
    </row>
    <row r="19">
      <c r="A19" s="16" t="inlineStr">
        <is>
          <t>MSAVI 2024 — MEDIA DEL BLOQUE</t>
        </is>
      </c>
      <c r="B19" s="17" t="n">
        <v>0.395609</v>
      </c>
      <c r="C19" s="17" t="inlineStr">
        <is>
          <t>—</t>
        </is>
      </c>
      <c r="D19" s="17" t="inlineStr">
        <is>
          <t>Vigor bajo · clase 0.3813 - 0.4976</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338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(0.3956) se conserva del catálogo maestro y es dato oficial; la fila resaltada indica la clase en la que cae dicha media. Los totales y porcentajes se calculan con fórmulas sobre las filas del cuadro.</t>
        </is>
      </c>
      <c r="B21" s="42" t="n"/>
      <c r="C21" s="42" t="n"/>
      <c r="D21" s="42" t="n"/>
      <c r="E21" s="43"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22.4394</v>
      </c>
      <c r="C25" s="19" t="n">
        <v>21.16</v>
      </c>
      <c r="D25" s="11" t="inlineStr">
        <is>
          <t>Dosel continuo, matorral denso o mosaico agroforestal</t>
        </is>
      </c>
      <c r="E25" s="11" t="inlineStr"/>
    </row>
    <row r="26">
      <c r="A26" s="12" t="inlineStr">
        <is>
          <t>Vegetación mediana</t>
        </is>
      </c>
      <c r="B26" s="20" t="n">
        <v>52.9549</v>
      </c>
      <c r="C26" s="21" t="n">
        <v>49.93</v>
      </c>
      <c r="D26" s="13" t="inlineStr">
        <is>
          <t>Pastizal cultivado, matorral ralo, parcelas agrícolas</t>
        </is>
      </c>
      <c r="E26" s="13" t="inlineStr"/>
    </row>
    <row r="27">
      <c r="A27" s="7" t="inlineStr">
        <is>
          <t>Vegetación ligera</t>
        </is>
      </c>
      <c r="B27" s="18" t="n">
        <v>29.6374</v>
      </c>
      <c r="C27" s="19" t="n">
        <v>27.94</v>
      </c>
      <c r="D27" s="11" t="inlineStr">
        <is>
          <t>Cobertura discontinua, suelo parcialmente expuesto</t>
        </is>
      </c>
      <c r="E27" s="11" t="inlineStr"/>
    </row>
    <row r="28">
      <c r="A28" s="12" t="inlineStr">
        <is>
          <t>Tierra desnuda</t>
        </is>
      </c>
      <c r="B28" s="20" t="n">
        <v>1.027</v>
      </c>
      <c r="C28" s="21" t="n">
        <v>0.97</v>
      </c>
      <c r="D28" s="13" t="inlineStr">
        <is>
          <t>Suelo desnudo, afloramientos, plataformas y taludes</t>
        </is>
      </c>
      <c r="E28" s="13" t="inlineStr"/>
    </row>
    <row r="29">
      <c r="A29" s="16" t="inlineStr">
        <is>
          <t>TOTAL CLASIFICADO</t>
        </is>
      </c>
      <c r="B29" s="22">
        <f>SUM(B25:B28)</f>
        <v>106.0587</v>
      </c>
      <c r="C29" s="23">
        <f>SUM(C25:C28)</f>
        <v>100.0</v>
      </c>
      <c r="D29" s="17" t="inlineStr"/>
      <c r="E29" s="17" t="inlineStr"/>
    </row>
    <row r="30">
      <c r="A30" s="24" t="inlineStr">
        <is>
          <t>Superficie de catálogo (V5/V6)</t>
        </is>
      </c>
      <c r="B30" s="25" t="n">
        <v>106.03</v>
      </c>
      <c r="C30" s="25" t="inlineStr">
        <is>
          <t>—</t>
        </is>
      </c>
      <c r="D30" s="25" t="inlineStr">
        <is>
          <t>Desviación planimétrica frente al catálogo</t>
        </is>
      </c>
      <c r="E30" s="25" t="inlineStr">
        <is>
          <t>+0.03 %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75 % frente a un 21.16 % del polígono clasificado como «Vegetación alta» por el NDVI 2025; la observación de campo corresponde a una parcela o recorrido puntual y no es estadísticamente representativa de las 106.030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M11B3</t>
        </is>
      </c>
    </row>
    <row r="6" ht="24" customHeight="1">
      <c r="A6" s="4" t="inlineStr">
        <is>
          <t>Levantamiento del 2026-05-07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642079</v>
      </c>
      <c r="D10" s="26" t="n">
        <v>9413823</v>
      </c>
      <c r="E10" s="11" t="n">
        <v>0</v>
      </c>
      <c r="F10" s="11" t="inlineStr"/>
      <c r="G10" s="11" t="inlineStr">
        <is>
          <t>Coordenada consignada en F-DT-01</t>
        </is>
      </c>
    </row>
    <row r="11">
      <c r="A11" s="12" t="inlineStr">
        <is>
          <t>H-01</t>
        </is>
      </c>
      <c r="B11" s="13" t="inlineStr">
        <is>
          <t>Fuente de agua — Río</t>
        </is>
      </c>
      <c r="C11" s="27" t="n">
        <v>642300</v>
      </c>
      <c r="D11" s="27" t="n">
        <v>9413400</v>
      </c>
      <c r="E11" s="13" t="n">
        <v>477.3</v>
      </c>
      <c r="F11" s="13" t="inlineStr">
        <is>
          <t>Permanente</t>
        </is>
      </c>
      <c r="G11" s="13" t="inlineStr">
        <is>
          <t>Río Bigote, borde sur-oriental</t>
        </is>
      </c>
    </row>
    <row r="12">
      <c r="A12" s="7" t="inlineStr">
        <is>
          <t>H-02</t>
        </is>
      </c>
      <c r="B12" s="11" t="inlineStr">
        <is>
          <t>Fuente de agua — Quebrada estacional</t>
        </is>
      </c>
      <c r="C12" s="26" t="n">
        <v>641900</v>
      </c>
      <c r="D12" s="26" t="n">
        <v>9413900</v>
      </c>
      <c r="E12" s="11" t="n">
        <v>194.9</v>
      </c>
      <c r="F12" s="11" t="inlineStr">
        <is>
          <t>Estacional</t>
        </is>
      </c>
      <c r="G12" s="11" t="inlineStr">
        <is>
          <t>Microquebradas de bajo orden</t>
        </is>
      </c>
    </row>
    <row r="13">
      <c r="A13" s="16" t="inlineStr">
        <is>
          <t>TOTAL: 3 puntos</t>
        </is>
      </c>
      <c r="B13" s="17" t="inlineStr"/>
      <c r="C13" s="17" t="inlineStr"/>
      <c r="D13" s="17" t="inlineStr"/>
      <c r="E13" s="17" t="inlineStr"/>
      <c r="F13" s="17" t="inlineStr"/>
      <c r="G13" s="17" t="inlineStr"/>
    </row>
    <row r="14"/>
    <row r="15">
      <c r="A15" s="6" t="inlineStr">
        <is>
          <t>Centroide del bloque — UTM ESTE (m)</t>
        </is>
      </c>
      <c r="B15" s="7" t="n">
        <v>642079</v>
      </c>
      <c r="C15" s="6" t="inlineStr">
        <is>
          <t>Centroide del bloque — UTM NORTE (m)</t>
        </is>
      </c>
      <c r="D15" s="7" t="n">
        <v>9413823</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7"/>
    <row r="18" ht="156"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PARCIAL — OBSERVACIÓN A DISTANCIA DESDE LA RIBERA OPUESTA DEL RÍO BIGOTE (07/05/2026). ACCESO TERRESTRE DIRECTO INTERRUMPIDO POR CRECIDA DEL RÍO BIGOTE (caudal sobre nivel de vadeo seguro). HALLAZGOS VISUALES: COBERTURA FORESTAL DENSA Y CONTINUA, DOSEL ARBÓREO CERRADO, LÍNEA DE CUMBRE ÍNTEGRA, SIN PARCHES VISIBLES DE SUELO DESNUDO NI EVIDENCIAS MACROSCÓPICAS DE DEGRADACIÓN RECIENTE. Los indicios de remoción en masa registrados como «No» CORRESPONDEN A NO OBSERVACIÓN A DISTANCIA y requieren verificación in situ. Se recomienda reprogramar la verificación por modalidad alternativa (cabecera de microcuenca, cruce en época seca agosto-octubre 2026, o sobrevuelo RPA). MSAVI PROMEDIO ZONAL DEL BLOQUE: 0.396 (EL MÁS ALTO ENTRE LOS BLOQUES INSPECCIONADOS DEL CORREDOR).</t>
        </is>
      </c>
      <c r="B18" s="42" t="n"/>
      <c r="C18" s="42" t="n"/>
      <c r="D18" s="42" t="n"/>
      <c r="E18" s="42" t="n"/>
      <c r="F18" s="42" t="n"/>
      <c r="G18" s="43"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M11B3</t>
        </is>
      </c>
    </row>
    <row r="6" ht="24" customHeight="1">
      <c r="A6" s="4" t="inlineStr">
        <is>
          <t>Distrito de San Juan de Bigote · Provincia de Morropon · Comparación de los bloques preliminares de intervención de la misma microcuenca</t>
        </is>
      </c>
    </row>
    <row r="7"/>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4" t="inlineStr">
        <is>
          <t>► M11B3</t>
        </is>
      </c>
      <c r="B10" s="28" t="n">
        <v>106.03</v>
      </c>
      <c r="C10" s="29" t="n">
        <v>26.64</v>
      </c>
      <c r="D10" s="15" t="inlineStr">
        <is>
          <t>278 – 477</t>
        </is>
      </c>
      <c r="E10" s="15" t="n">
        <v>199</v>
      </c>
      <c r="F10" s="15" t="n">
        <v>18.11</v>
      </c>
      <c r="G10" s="30" t="n">
        <v>0.3956</v>
      </c>
      <c r="H10" s="29" t="n">
        <v>21.16</v>
      </c>
      <c r="I10" s="29" t="n">
        <v>88.87</v>
      </c>
    </row>
    <row r="11">
      <c r="A11" s="12" t="inlineStr">
        <is>
          <t>24</t>
        </is>
      </c>
      <c r="B11" s="31" t="n">
        <v>90.16</v>
      </c>
      <c r="C11" s="21" t="n">
        <v>22.65</v>
      </c>
      <c r="D11" s="13" t="inlineStr">
        <is>
          <t>1319 – 1887</t>
        </is>
      </c>
      <c r="E11" s="13" t="n">
        <v>568</v>
      </c>
      <c r="F11" s="13" t="n">
        <v>32.98</v>
      </c>
      <c r="G11" s="20" t="n">
        <v>0.6748</v>
      </c>
      <c r="H11" s="21" t="n">
        <v>98.51000000000001</v>
      </c>
      <c r="I11" s="21" t="n">
        <v>2.29</v>
      </c>
    </row>
    <row r="12">
      <c r="A12" s="7" t="inlineStr">
        <is>
          <t>87</t>
        </is>
      </c>
      <c r="B12" s="32" t="n">
        <v>62.219</v>
      </c>
      <c r="C12" s="19" t="n">
        <v>15.63</v>
      </c>
      <c r="D12" s="11" t="inlineStr">
        <is>
          <t>Por determinar</t>
        </is>
      </c>
      <c r="E12" s="11" t="inlineStr">
        <is>
          <t>Por determinar</t>
        </is>
      </c>
      <c r="F12" s="11" t="inlineStr">
        <is>
          <t>Por determinar</t>
        </is>
      </c>
      <c r="G12" s="18" t="n">
        <v>0.2487</v>
      </c>
      <c r="H12" s="19" t="n">
        <v>0.34</v>
      </c>
      <c r="I12" s="19" t="n">
        <v>99.72</v>
      </c>
    </row>
    <row r="13">
      <c r="A13" s="12" t="inlineStr">
        <is>
          <t>63</t>
        </is>
      </c>
      <c r="B13" s="31" t="n">
        <v>50.46</v>
      </c>
      <c r="C13" s="21" t="n">
        <v>12.68</v>
      </c>
      <c r="D13" s="13" t="inlineStr">
        <is>
          <t>1508 – 2080</t>
        </is>
      </c>
      <c r="E13" s="13" t="n">
        <v>572</v>
      </c>
      <c r="F13" s="13" t="n">
        <v>35.5</v>
      </c>
      <c r="G13" s="20" t="n">
        <v>0.6036</v>
      </c>
      <c r="H13" s="21" t="n">
        <v>99.2</v>
      </c>
      <c r="I13" s="21" t="n">
        <v>2.95</v>
      </c>
    </row>
    <row r="14">
      <c r="A14" s="7" t="inlineStr">
        <is>
          <t>86</t>
        </is>
      </c>
      <c r="B14" s="32" t="n">
        <v>30.001</v>
      </c>
      <c r="C14" s="19" t="n">
        <v>7.54</v>
      </c>
      <c r="D14" s="11" t="inlineStr">
        <is>
          <t>Por determinar</t>
        </is>
      </c>
      <c r="E14" s="11" t="inlineStr">
        <is>
          <t>Por determinar</t>
        </is>
      </c>
      <c r="F14" s="11" t="inlineStr">
        <is>
          <t>Por determinar</t>
        </is>
      </c>
      <c r="G14" s="18" t="n">
        <v>0.2735</v>
      </c>
      <c r="H14" s="19" t="n">
        <v>1.05</v>
      </c>
      <c r="I14" s="19" t="n">
        <v>99.62</v>
      </c>
    </row>
    <row r="15">
      <c r="A15" s="12" t="inlineStr">
        <is>
          <t>83</t>
        </is>
      </c>
      <c r="B15" s="31" t="n">
        <v>24.344</v>
      </c>
      <c r="C15" s="21" t="n">
        <v>6.12</v>
      </c>
      <c r="D15" s="13" t="inlineStr">
        <is>
          <t>Por determinar</t>
        </is>
      </c>
      <c r="E15" s="13" t="inlineStr">
        <is>
          <t>Por determinar</t>
        </is>
      </c>
      <c r="F15" s="13" t="inlineStr">
        <is>
          <t>Por determinar</t>
        </is>
      </c>
      <c r="G15" s="20" t="n">
        <v>0.3055</v>
      </c>
      <c r="H15" s="21" t="n">
        <v>2.88</v>
      </c>
      <c r="I15" s="21" t="n">
        <v>99.39</v>
      </c>
    </row>
    <row r="16">
      <c r="A16" s="7" t="inlineStr">
        <is>
          <t>77</t>
        </is>
      </c>
      <c r="B16" s="32" t="n">
        <v>17.82</v>
      </c>
      <c r="C16" s="19" t="n">
        <v>4.48</v>
      </c>
      <c r="D16" s="11" t="inlineStr">
        <is>
          <t>242 – 346</t>
        </is>
      </c>
      <c r="E16" s="11" t="n">
        <v>104</v>
      </c>
      <c r="F16" s="11" t="n">
        <v>13.71</v>
      </c>
      <c r="G16" s="18" t="n">
        <v>0.2725</v>
      </c>
      <c r="H16" s="19" t="n">
        <v>0.11</v>
      </c>
      <c r="I16" s="19" t="n">
        <v>99.78</v>
      </c>
    </row>
    <row r="17">
      <c r="A17" s="12" t="inlineStr">
        <is>
          <t>85</t>
        </is>
      </c>
      <c r="B17" s="31" t="n">
        <v>11.906</v>
      </c>
      <c r="C17" s="21" t="n">
        <v>2.99</v>
      </c>
      <c r="D17" s="13" t="inlineStr">
        <is>
          <t>Por determinar</t>
        </is>
      </c>
      <c r="E17" s="13" t="inlineStr">
        <is>
          <t>Por determinar</t>
        </is>
      </c>
      <c r="F17" s="13" t="inlineStr">
        <is>
          <t>Por determinar</t>
        </is>
      </c>
      <c r="G17" s="20" t="n">
        <v>0.2289</v>
      </c>
      <c r="H17" s="21" t="n">
        <v>0</v>
      </c>
      <c r="I17" s="21" t="n">
        <v>100</v>
      </c>
    </row>
    <row r="18">
      <c r="A18" s="7" t="inlineStr">
        <is>
          <t>84</t>
        </is>
      </c>
      <c r="B18" s="32" t="n">
        <v>5.097</v>
      </c>
      <c r="C18" s="19" t="n">
        <v>1.28</v>
      </c>
      <c r="D18" s="11" t="inlineStr">
        <is>
          <t>Por determinar</t>
        </is>
      </c>
      <c r="E18" s="11" t="inlineStr">
        <is>
          <t>Por determinar</t>
        </is>
      </c>
      <c r="F18" s="11" t="inlineStr">
        <is>
          <t>Por determinar</t>
        </is>
      </c>
      <c r="G18" s="18" t="n">
        <v>0.2516</v>
      </c>
      <c r="H18" s="19" t="n">
        <v>0</v>
      </c>
      <c r="I18" s="19" t="n">
        <v>100</v>
      </c>
    </row>
    <row r="19">
      <c r="A19" s="16" t="inlineStr">
        <is>
          <t>TOTAL / PROMEDIO</t>
        </is>
      </c>
      <c r="B19" s="33">
        <f>SUM(B10:B18)</f>
        <v>398.037</v>
      </c>
      <c r="C19" s="23">
        <f>SUM(C10:C18)</f>
        <v>100.01</v>
      </c>
      <c r="D19" s="17" t="inlineStr">
        <is>
          <t>242 – 2080</t>
        </is>
      </c>
      <c r="E19" s="17" t="inlineStr"/>
      <c r="F19" s="17">
        <f>ROUND(AVERAGE(F10:F18),2)</f>
        <v>25.07</v>
      </c>
      <c r="G19" s="22">
        <f>ROUND(AVERAGE(G10:G18),4)</f>
        <v>0.3616</v>
      </c>
      <c r="H19" s="23">
        <f>ROUND(AVERAGE(H10:H18),2)</f>
        <v>24.81</v>
      </c>
      <c r="I19" s="23">
        <f>ROUND(AVERAGE(I10:I18),2)</f>
        <v>76.96</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c r="B20" s="42" t="n"/>
      <c r="C20" s="42" t="n"/>
      <c r="D20" s="42" t="n"/>
      <c r="E20" s="42" t="n"/>
      <c r="F20" s="42" t="n"/>
      <c r="G20" s="42" t="n"/>
      <c r="H20" s="43" t="n"/>
    </row>
    <row r="21"/>
    <row r="22" ht="84" customHeight="1">
      <c r="A22" s="9" t="inlineStr">
        <is>
          <t>LECTURA INTRAMICROCUENCA. El bloque M11B3 ocupa el puesto 1 de 9 por superficie dentro de la microcuenca C1081-Q9583 (26.64 % de las 398.04 ha preliminares de la microcuenca). Su pendiente promedio (18.11 %, clase «15-25% (Fuert. inclinado)») es la 2.ª más baja de 4 y se sitúa por debajo del promedio de la microcuenca (25.08 %). Su MSAVI 2024 (0.3956) es el 3.º de 9 y queda por encima del promedio local (0.3616). Amplitud altitudinal del bloque: 199 m (278–477 msnm). El cuadro conserva todos los bloques catalogados en la microcuenca, incluidos los descartados en el tamizaje, para referencia del conjunto. Los bloques sin ficha DT figuran con sus parámetros de gabinete. BRECHA ESPECTRAL. El 88.87 % de la superficie del bloque (94.229 ha de 106.027 ha) se sitúa bajo el umbral MSAVI 0.4976, por encima del promedio local de la microcuenca (76.96 %) calculado sobre los bloques con dato MSAVI disponible.</t>
        </is>
      </c>
      <c r="B22" s="42" t="n"/>
      <c r="C22" s="42" t="n"/>
      <c r="D22" s="42" t="n"/>
      <c r="E22" s="42" t="n"/>
      <c r="F22" s="42" t="n"/>
      <c r="G22" s="42" t="n"/>
      <c r="H22" s="43"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2" t="n"/>
      <c r="C24" s="42" t="n"/>
      <c r="D24" s="42" t="n"/>
      <c r="E24" s="42" t="n"/>
      <c r="F24" s="42" t="n"/>
      <c r="G24" s="42" t="n"/>
      <c r="H24" s="43" t="n"/>
    </row>
  </sheetData>
  <mergeCells count="10">
    <mergeCell ref="A1:I1"/>
    <mergeCell ref="A4:I4"/>
    <mergeCell ref="A3:I3"/>
    <mergeCell ref="A20:I20"/>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M11B3</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«C1081-Q9583»</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(106.059 ha) coincide con la de catálogo (106.03 ha) dentro del ±2 % (+0.03 %)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75 % de cobertura vegetal en campo; el NDVI mediana 2025 clasifica 99.03 % del polígono en clases de vegetación</t>
        </is>
      </c>
      <c r="D13" s="15"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Elenco florístico</t>
        </is>
      </c>
      <c r="C14" s="34" t="inlineStr">
        <is>
          <t>La ficha registra 0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«CP La Quemazón / CP La Pareja / CP Alto San José»; el cruce INEI-Bloques V5 identifica 2 centro(s) poblado(s) en el bloque: LA PAREJA, QUEMAZON</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(257 msnm)</t>
        </is>
      </c>
    </row>
    <row r="19" ht="48" customHeight="1">
      <c r="A19" s="36" t="inlineStr">
        <is>
          <t>D-10</t>
        </is>
      </c>
      <c r="B19" s="36" t="inlineStr">
        <is>
          <t>F-DT-01</t>
        </is>
      </c>
      <c r="C19" s="36" t="inlineStr">
        <is>
          <t>VERIFICACIÓN PARCIAL: observación a distancia desde la ribera opuesta del río Bigote; acceso interrumpido por crecida</t>
        </is>
      </c>
      <c r="D19" s="37" t="inlineStr">
        <is>
          <t>SUSTANTIVA</t>
        </is>
      </c>
      <c r="E19" s="36" t="inlineStr">
        <is>
          <t>Los registros «No» de escarpes, reptación, deslizamientos y remociones significan NO OBSERVADO, no ausencia verificada</t>
        </is>
      </c>
    </row>
    <row r="20" ht="48" customHeight="1">
      <c r="A20" s="34" t="inlineStr">
        <is>
          <t>D-11</t>
        </is>
      </c>
      <c r="B20" s="34" t="inlineStr">
        <is>
          <t>F-DT-02</t>
        </is>
      </c>
      <c r="C20" s="34" t="inlineStr">
        <is>
          <t>Inventario de cárcavas no realizado in situ</t>
        </is>
      </c>
      <c r="D20" s="37" t="inlineStr">
        <is>
          <t>SUSTANTIVA</t>
        </is>
      </c>
      <c r="E20" s="34" t="inlineStr">
        <is>
          <t>Verificación pendiente</t>
        </is>
      </c>
    </row>
    <row r="21" ht="48" customHeight="1">
      <c r="A21" s="36" t="inlineStr">
        <is>
          <t>D-12</t>
        </is>
      </c>
      <c r="B21" s="36" t="inlineStr">
        <is>
          <t>F-DT-03</t>
        </is>
      </c>
      <c r="C21" s="36" t="inlineStr">
        <is>
          <t>Sin inventario florístico: las 5 especies listadas son referenciales para enriquecimiento, NO observadas</t>
        </is>
      </c>
      <c r="D21" s="37" t="inlineStr">
        <is>
          <t>SUSTANTIVA</t>
        </is>
      </c>
      <c r="E21" s="36" t="inlineStr">
        <is>
          <t>Inventario pendiente en su totalidad</t>
        </is>
      </c>
    </row>
    <row r="22" ht="48" customHeight="1">
      <c r="A22" s="34" t="inlineStr">
        <is>
          <t>D-13</t>
        </is>
      </c>
      <c r="B22" s="34" t="inlineStr">
        <is>
          <t>F-DT-03 / F-DT-04</t>
        </is>
      </c>
      <c r="C22" s="34" t="inlineStr">
        <is>
          <t>RECLASIFICACIÓN PRELIMINAR del estado de conservación: de «degradación moderada-significativa» (gabinete) a «conservación aparentemente favorable» (campo)</t>
        </is>
      </c>
      <c r="D22" s="37" t="inlineStr">
        <is>
          <t>SUSTANTIVA</t>
        </is>
      </c>
      <c r="E22" s="34" t="inlineStr">
        <is>
          <t>Requiere confirmación in situ; podría cambiar el enfoque de restauración masiva a protección y enriquecimiento puntual</t>
        </is>
      </c>
    </row>
    <row r="23" ht="48" customHeight="1">
      <c r="A23" s="36" t="inlineStr">
        <is>
          <t>D-14</t>
        </is>
      </c>
      <c r="B23" s="36" t="inlineStr">
        <is>
          <t>F-DT-04</t>
        </is>
      </c>
      <c r="C23" s="36" t="inlineStr">
        <is>
          <t>Suelo desnudo 5% calificado «Alto», incompatible con el umbral de la propia ficha (&lt;10% = bueno)</t>
        </is>
      </c>
      <c r="D23" s="15" t="inlineStr">
        <is>
          <t>NO SUSTANTIVA</t>
        </is>
      </c>
      <c r="E23" s="36" t="inlineStr">
        <is>
          <t>Recalificar</t>
        </is>
      </c>
    </row>
    <row r="24" ht="48" customHeight="1">
      <c r="A24" s="34" t="inlineStr">
        <is>
          <t>D-15</t>
        </is>
      </c>
      <c r="B24" s="34" t="inlineStr">
        <is>
          <t>F-DT-04</t>
        </is>
      </c>
      <c r="C24" s="34" t="inlineStr">
        <is>
          <t>Especies invasoras y carga ganadera sin dato</t>
        </is>
      </c>
      <c r="D24" s="15" t="inlineStr">
        <is>
          <t>NO SUSTANTIVA</t>
        </is>
      </c>
      <c r="E24" s="34" t="inlineStr">
        <is>
          <t>Por verificar in situ</t>
        </is>
      </c>
    </row>
    <row r="25" ht="48" customHeight="1">
      <c r="A25" s="36" t="inlineStr">
        <is>
          <t>D-16</t>
        </is>
      </c>
      <c r="B25" s="36" t="inlineStr">
        <is>
          <t>F-DT-05</t>
        </is>
      </c>
      <c r="C25" s="36" t="inlineStr">
        <is>
          <t>Acceso terrestre condicionado al régimen hidrológico del río Bigote; solo viable entre agosto y noviembre</t>
        </is>
      </c>
      <c r="D25" s="37" t="inlineStr">
        <is>
          <t>SUSTANTIVA</t>
        </is>
      </c>
      <c r="E25" s="36" t="inlineStr">
        <is>
          <t>LA RESOLUCIÓN DEL ACCESO OPERATIVO ES INSUMO CRÍTICO PARA TODAS LAS FASES POSTERIORES</t>
        </is>
      </c>
    </row>
    <row r="26" ht="48" customHeight="1">
      <c r="A26" s="34" t="inlineStr">
        <is>
          <t>D-17</t>
        </is>
      </c>
      <c r="B26" s="34" t="inlineStr">
        <is>
          <t>F-DT-02 / F-DT-04</t>
        </is>
      </c>
      <c r="C26" s="34" t="inlineStr">
        <is>
          <t>Socavamiento de margen activo del río Bigote en el borde sur-oriental</t>
        </is>
      </c>
      <c r="D26" s="37" t="inlineStr">
        <is>
          <t>SUSTANTIVA</t>
        </is>
      </c>
      <c r="E26" s="34" t="inlineStr">
        <is>
          <t>Relevante para el diseño de obras de protección de márgenes (infraestructura gris complementaria)</t>
        </is>
      </c>
    </row>
    <row r="27" ht="48" customHeight="1">
      <c r="A27" s="34" t="inlineStr">
        <is>
          <t>D-18</t>
        </is>
      </c>
      <c r="B27" s="34" t="inlineStr">
        <is>
          <t>Distribución areal MSAVI 2024</t>
        </is>
      </c>
      <c r="C27" s="34" t="inlineStr">
        <is>
          <t>La distribución por clase de MSAVI no figuraba en los insumos del entregable y se consignaba «Por determinar»; se incorpora la estadística zonal del ráster MSAVI clasificado (338 polígonos, 106.027 ha)</t>
        </is>
      </c>
      <c r="D27" s="37" t="inlineStr">
        <is>
          <t>CORREGIDO</t>
        </is>
      </c>
      <c r="E27"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8" ht="48" customHeight="1">
      <c r="A28" s="34" t="inlineStr">
        <is>
          <t>D-19</t>
        </is>
      </c>
      <c r="B28" s="34" t="inlineStr">
        <is>
          <t>Superficie MSAVI vs. catálogo</t>
        </is>
      </c>
      <c r="C28" s="34" t="inlineStr">
        <is>
          <t>La superficie total clasificada por el MSAVI 2024 (106.027 ha) frente a la de catálogo V5/V6 (106.030 ha): desviación de +0.00 %</t>
        </is>
      </c>
      <c r="D28" s="37" t="inlineStr">
        <is>
          <t>CONFORME</t>
        </is>
      </c>
      <c r="E28" s="34" t="inlineStr">
        <is>
          <t>Sin acción: la segmentación del ráster valida la geometría del bloque dentro del ±2 %.</t>
        </is>
      </c>
    </row>
    <row r="29" ht="48" customHeight="1">
      <c r="A29" s="34" t="inlineStr">
        <is>
          <t>D-20</t>
        </is>
      </c>
      <c r="B29" s="34" t="inlineStr">
        <is>
          <t>Media MSAVI vs. clase DN dominante</t>
        </is>
      </c>
      <c r="C29" s="34" t="inlineStr">
        <is>
          <t>La media del bloque (0.3956) cae en la clase «DN 3 · 0.3813 - 0.4976 (Vigor bajo)»; la clase de mayor superficie es «DN 3 · 0.3813 - 0.4976 (Vigor bajo)», con 44.44 % del bloque. Superficie bajo el umbral 0.4976: 94.229 ha (88.87 %)</t>
        </is>
      </c>
      <c r="D29" s="37" t="inlineStr">
        <is>
          <t>CONFORME</t>
        </is>
      </c>
      <c r="E29" s="34" t="inlineStr">
        <is>
          <t>Sin acción: la media del bloque y la clase de mayor superficie coinciden.</t>
        </is>
      </c>
    </row>
    <row r="30"/>
    <row r="31">
      <c r="A31" s="16" t="inlineStr">
        <is>
          <t>RESUMEN</t>
        </is>
      </c>
      <c r="B31" s="17" t="inlineStr">
        <is>
          <t>20 verificaciones</t>
        </is>
      </c>
      <c r="C31" s="17" t="inlineStr">
        <is>
          <t>CONFORME: 6 · CORREGIDO: 2 · NO SUSTANTIVA: 3 · SUSTANTIVA: 9</t>
        </is>
      </c>
      <c r="D31" s="17" t="inlineStr"/>
      <c r="E31" s="17" t="inlineStr"/>
    </row>
    <row r="32"/>
    <row r="33" ht="60" customHeight="1">
      <c r="A3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3" s="42" t="n"/>
      <c r="C33" s="42" t="n"/>
      <c r="D33" s="42" t="n"/>
      <c r="E33" s="43" t="n"/>
    </row>
  </sheetData>
  <mergeCells count="8">
    <mergeCell ref="A4:E4"/>
    <mergeCell ref="A2:E2"/>
    <mergeCell ref="A33:E33"/>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M11B3 — IN Piura</dc:title>
  <dc:subject>Diagnóstico Territorial por bloque de intervención</dc:subject>
  <dcterms:created xsi:type="dcterms:W3CDTF">2026-09-08T03:39:57Z</dcterms:created>
  <dcterms:modified xsi:type="dcterms:W3CDTF">2026-09-10T00:28:30Z</dcterms:modified>
</cp:coreProperties>
</file>