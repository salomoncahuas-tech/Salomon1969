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35</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Chamelico (≈546 m del centroide) · Quitahuajara (≈954 m)</t>
        </is>
      </c>
      <c r="C13" s="6" t="inlineStr">
        <is>
          <t>Comunidad campesina</t>
        </is>
      </c>
      <c r="D13" s="7" t="inlineStr">
        <is>
          <t>Por determinar</t>
        </is>
      </c>
      <c r="E13" s="8" t="n"/>
      <c r="F13" s="8" t="n"/>
    </row>
    <row r="14">
      <c r="A14" s="6" t="inlineStr">
        <is>
          <t>Superficie de catálogo (V5/V6), ha</t>
        </is>
      </c>
      <c r="B14" s="7" t="n">
        <v>30.8</v>
      </c>
      <c r="C14" s="6" t="inlineStr">
        <is>
          <t>Fuente de superficie</t>
        </is>
      </c>
      <c r="D14" s="7" t="inlineStr">
        <is>
          <t>Catálogo maestro Bloques V5/V6</t>
        </is>
      </c>
      <c r="E14" s="8" t="n"/>
      <c r="F14" s="8" t="n"/>
    </row>
    <row r="15">
      <c r="A15" s="6" t="inlineStr">
        <is>
          <t>Centroide UTM ESTE (m)</t>
        </is>
      </c>
      <c r="B15" s="7" t="n">
        <v>654607</v>
      </c>
      <c r="C15" s="6" t="inlineStr">
        <is>
          <t>Centroide UTM NORTE (m)</t>
        </is>
      </c>
      <c r="D15" s="7" t="n">
        <v>9395038</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1376</v>
      </c>
      <c r="C19" s="6" t="inlineStr">
        <is>
          <t>Altitud máxima (msnm)</t>
        </is>
      </c>
      <c r="D19" s="7" t="n">
        <v>1621</v>
      </c>
      <c r="E19" s="8" t="n"/>
      <c r="F19" s="8" t="n"/>
    </row>
    <row r="20">
      <c r="A20" s="6" t="inlineStr">
        <is>
          <t>Amplitud altitudinal (m)</t>
        </is>
      </c>
      <c r="B20" s="7" t="n">
        <v>245</v>
      </c>
      <c r="C20" s="6" t="inlineStr">
        <is>
          <t>Piso altitudinal dominante</t>
        </is>
      </c>
      <c r="D20" s="7" t="inlineStr">
        <is>
          <t>1000-1500 m (Quechua baja)</t>
        </is>
      </c>
      <c r="E20" s="8" t="n"/>
      <c r="F20" s="8" t="n"/>
    </row>
    <row r="21">
      <c r="A21" s="6" t="inlineStr">
        <is>
          <t>Pendiente promedio (%)</t>
        </is>
      </c>
      <c r="B21" s="7" t="n">
        <v>33.66</v>
      </c>
      <c r="C21" s="6" t="inlineStr">
        <is>
          <t>Pendiente promedio (grados)</t>
        </is>
      </c>
      <c r="D21" s="7" t="n">
        <v>18.6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0.6245000000000001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(98.17 %)</t>
        </is>
      </c>
      <c r="E29" s="8" t="n"/>
      <c r="F29" s="8" t="n"/>
    </row>
    <row r="30">
      <c r="A30" s="6" t="inlineStr">
        <is>
          <t>Superficie clasificada NDVI 2025 (ha)</t>
        </is>
      </c>
      <c r="B30" s="7" t="n">
        <v>30.811</v>
      </c>
      <c r="C30" s="6" t="inlineStr">
        <is>
          <t>Desviación frente al catálogo (%)</t>
        </is>
      </c>
      <c r="D30" s="7" t="n">
        <v>0.03</v>
      </c>
      <c r="E30" s="8" t="n"/>
      <c r="F30" s="8" t="n"/>
    </row>
    <row r="31">
      <c r="A31" s="6" t="inlineStr">
        <is>
          <t>Superficie clasificada MSAVI 2024 (ha)</t>
        </is>
      </c>
      <c r="B31" s="38" t="n">
        <v>30.804</v>
      </c>
      <c r="C31" s="6" t="inlineStr">
        <is>
          <t>Desviación MSAVI frente al catálogo (%)</t>
        </is>
      </c>
      <c r="D31" s="39" t="n">
        <v>0.01</v>
      </c>
      <c r="E31" s="8" t="n"/>
      <c r="F31" s="8" t="n"/>
    </row>
    <row r="32">
      <c r="A32" s="6" t="inlineStr">
        <is>
          <t>Superficie bajo umbral MSAVI 0.4976 (ha)</t>
        </is>
      </c>
      <c r="B32" s="38" t="n">
        <v>0.366</v>
      </c>
      <c r="C32" s="6" t="inlineStr">
        <is>
          <t>% del bloque bajo umbral (brecha espectral)</t>
        </is>
      </c>
      <c r="D32" s="39" t="n">
        <v>1.19</v>
      </c>
      <c r="E32" s="8" t="n"/>
      <c r="F32" s="8" t="n"/>
    </row>
    <row r="33">
      <c r="A33" s="6" t="inlineStr">
        <is>
          <t>Clase DN dominante (MSAVI 2024)</t>
        </is>
      </c>
      <c r="B33" s="7" t="inlineStr">
        <is>
          <t>DN 5 · &gt; 0.6139 (Vigor alto)</t>
        </is>
      </c>
      <c r="C33" s="6" t="inlineStr">
        <is>
          <t>N.° de polígonos MSAVI del bloque</t>
        </is>
      </c>
      <c r="D33" s="40" t="n">
        <v>113</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Por determinar</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75</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3</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2026-07-21</t>
        </is>
      </c>
      <c r="E44" s="8" t="n"/>
      <c r="F44" s="8" t="n"/>
    </row>
    <row r="45">
      <c r="A45" s="6" t="inlineStr">
        <is>
          <t>Hora de registro</t>
        </is>
      </c>
      <c r="B45" s="7" t="inlineStr">
        <is>
          <t>11:02 - 11:43 h</t>
        </is>
      </c>
      <c r="C45" s="6" t="inlineStr">
        <is>
          <t>Correlativo de ficha</t>
        </is>
      </c>
      <c r="D45" s="7" t="inlineStr">
        <is>
          <t>F-DT-B35-01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16</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ordenamiento del uso del suelo y de alternativas productivas sostenibles en laderas de aptitud forestal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17.8544</v>
      </c>
      <c r="C10" s="31">
        <f>ROUND(B10/$B$15*100,2)</f>
        <v>57.96</v>
      </c>
      <c r="D10" s="12" t="inlineStr">
        <is>
          <t>Vigor alto</t>
        </is>
      </c>
      <c r="E10" s="12" t="inlineStr">
        <is>
          <t>Sobre umbral</t>
        </is>
      </c>
    </row>
    <row r="11">
      <c r="A11" s="13" t="inlineStr">
        <is>
          <t>0.4976 - 0.6139 · DN 4</t>
        </is>
      </c>
      <c r="B11" s="20" t="n">
        <v>12.5836</v>
      </c>
      <c r="C11" s="21">
        <f>ROUND(B11/$B$15*100,2)</f>
        <v>40.85</v>
      </c>
      <c r="D11" s="14" t="inlineStr">
        <is>
          <t>Vigor moderado</t>
        </is>
      </c>
      <c r="E11" s="14" t="inlineStr">
        <is>
          <t>Sobre umbral</t>
        </is>
      </c>
    </row>
    <row r="12">
      <c r="A12" s="7" t="inlineStr">
        <is>
          <t>0.3813 - 0.4976 · DN 3</t>
        </is>
      </c>
      <c r="B12" s="18" t="n">
        <v>0.3589</v>
      </c>
      <c r="C12" s="19">
        <f>ROUND(B12/$B$15*100,2)</f>
        <v>1.17</v>
      </c>
      <c r="D12" s="15" t="inlineStr">
        <is>
          <t>Vigor bajo</t>
        </is>
      </c>
      <c r="E12" s="15" t="inlineStr">
        <is>
          <t>BAJO umbral 0.4976</t>
        </is>
      </c>
    </row>
    <row r="13">
      <c r="A13" s="13" t="inlineStr">
        <is>
          <t>0.2650 - 0.3813 · DN 2</t>
        </is>
      </c>
      <c r="B13" s="20" t="n">
        <v>0.0072</v>
      </c>
      <c r="C13" s="21">
        <f>ROUND(B13/$B$15*100,2)</f>
        <v>0.02</v>
      </c>
      <c r="D13" s="14" t="inlineStr">
        <is>
          <t>Vigor muy bajo</t>
        </is>
      </c>
      <c r="E13" s="14" t="inlineStr">
        <is>
          <t>BAJO umbral 0.4976</t>
        </is>
      </c>
    </row>
    <row r="14">
      <c r="A14" s="7" t="inlineStr">
        <is>
          <t>&lt;= 0.2650 · DN 1</t>
        </is>
      </c>
      <c r="B14" s="18" t="n">
        <v>0</v>
      </c>
      <c r="C14" s="19">
        <f>ROUND(B14/$B$15*100,2)</f>
        <v>0.0</v>
      </c>
      <c r="D14" s="15" t="inlineStr">
        <is>
          <t>Suelo desnudo / no vegetal</t>
        </is>
      </c>
      <c r="E14" s="15" t="inlineStr">
        <is>
          <t>BAJO umbral 0.4976</t>
        </is>
      </c>
    </row>
    <row r="15" ht="30" customHeight="1">
      <c r="A15" s="43" t="inlineStr">
        <is>
          <t>TOTAL CLASIFICADO MSAVI 2024</t>
        </is>
      </c>
      <c r="B15" s="44">
        <f>SUM(B10:B14)</f>
        <v>30.8041</v>
      </c>
      <c r="C15" s="45">
        <f>SUM(C10:C14)</f>
        <v>100.0</v>
      </c>
      <c r="D15" s="43" t="inlineStr">
        <is>
          <t>Suma de la distribución areal · 113 polígonos</t>
        </is>
      </c>
      <c r="E15" s="43" t="inlineStr">
        <is>
          <t>—</t>
        </is>
      </c>
    </row>
    <row r="16" ht="30" customHeight="1">
      <c r="A16" s="46" t="inlineStr">
        <is>
          <t>Superficie SOBRE umbral 0.4976 (ha)</t>
        </is>
      </c>
      <c r="B16" s="47">
        <f>SUM(B10:B11)</f>
        <v>30.438</v>
      </c>
      <c r="C16" s="48">
        <f>ROUND(B16/B15*100,2)</f>
        <v>98.81</v>
      </c>
      <c r="D16" s="46" t="inlineStr">
        <is>
          <t>Vigor alto y moderado (DN 4 y DN 5)</t>
        </is>
      </c>
      <c r="E16" s="46" t="inlineStr">
        <is>
          <t>Sobre umbral 0.4976</t>
        </is>
      </c>
    </row>
    <row r="17" ht="30" customHeight="1">
      <c r="A17" s="46" t="inlineStr">
        <is>
          <t>Superficie BAJO umbral 0.4976 (ha) — brecha</t>
        </is>
      </c>
      <c r="B17" s="47">
        <f>SUM(B12:B14)</f>
        <v>0.3661</v>
      </c>
      <c r="C17" s="48">
        <f>ROUND(B17/B15*100,2)</f>
        <v>1.19</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30.8</v>
      </c>
      <c r="C18" s="49" t="inlineStr">
        <is>
          <t>—</t>
        </is>
      </c>
      <c r="D18" s="46" t="inlineStr">
        <is>
          <t>Desviación planimétrica frente al catálogo</t>
        </is>
      </c>
      <c r="E18" s="46" t="inlineStr">
        <is>
          <t>+0.01 %</t>
        </is>
      </c>
    </row>
    <row r="19">
      <c r="A19" s="16" t="inlineStr">
        <is>
          <t>MSAVI 2024 — MEDIA DEL BLOQUE</t>
        </is>
      </c>
      <c r="B19" s="17" t="n">
        <v>0.6244769999999999</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(0.6245)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30.2454</v>
      </c>
      <c r="C25" s="19" t="n">
        <v>98.17</v>
      </c>
      <c r="D25" s="15" t="inlineStr">
        <is>
          <t>Dosel continuo, matorral denso o mosaico agroforestal</t>
        </is>
      </c>
      <c r="E25" s="15" t="inlineStr"/>
    </row>
    <row r="26">
      <c r="A26" s="13" t="inlineStr">
        <is>
          <t>Vegetación mediana</t>
        </is>
      </c>
      <c r="B26" s="20" t="n">
        <v>0.5651</v>
      </c>
      <c r="C26" s="21" t="n">
        <v>1.83</v>
      </c>
      <c r="D26" s="14" t="inlineStr">
        <is>
          <t>Pastizal cultivado, matorral ralo, parcelas agrícolas</t>
        </is>
      </c>
      <c r="E26" s="14" t="inlineStr"/>
    </row>
    <row r="27">
      <c r="A27" s="16" t="inlineStr">
        <is>
          <t>TOTAL CLASIFICADO</t>
        </is>
      </c>
      <c r="B27" s="22">
        <f>SUM(B25:B26)</f>
        <v>30.8105</v>
      </c>
      <c r="C27" s="23">
        <f>SUM(C25:C26)</f>
        <v>100.0</v>
      </c>
      <c r="D27" s="17" t="inlineStr"/>
      <c r="E27" s="17" t="inlineStr"/>
    </row>
    <row r="28">
      <c r="A28" s="24" t="inlineStr">
        <is>
          <t>Superficie de catálogo (V5/V6)</t>
        </is>
      </c>
      <c r="B28" s="25" t="n">
        <v>30.8</v>
      </c>
      <c r="C28" s="25" t="inlineStr">
        <is>
          <t>—</t>
        </is>
      </c>
      <c r="D28" s="25" t="inlineStr">
        <is>
          <t>Desviación planimétrica frente al catálogo</t>
        </is>
      </c>
      <c r="E28" s="25" t="inlineStr">
        <is>
          <t>+0.03 %</t>
        </is>
      </c>
    </row>
    <row r="29"/>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75 % frente a un 98.17 % del polígono clasificado como «Vegetación alta» por el NDVI 2025; la observación de campo corresponde a una parcela o recorrido puntual y no es estadísticamente representativa de las 30.800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3"/>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35</t>
        </is>
      </c>
    </row>
    <row r="6" ht="24" customHeight="1">
      <c r="A6" s="4" t="inlineStr">
        <is>
          <t>Levantamiento del 2026-07-21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654607</v>
      </c>
      <c r="D10" s="26" t="n">
        <v>9395038</v>
      </c>
      <c r="E10" s="15" t="n">
        <v>0</v>
      </c>
      <c r="F10" s="15" t="inlineStr"/>
      <c r="G10" s="15" t="inlineStr">
        <is>
          <t>Coordenada consignada en F-DT-01</t>
        </is>
      </c>
    </row>
    <row r="11">
      <c r="A11" s="13" t="inlineStr">
        <is>
          <t>E-01</t>
        </is>
      </c>
      <c r="B11" s="14" t="inlineStr">
        <is>
          <t>Rasgo erosivo — Surco (&lt;30 cm)</t>
        </is>
      </c>
      <c r="C11" s="27" t="n">
        <v>654549</v>
      </c>
      <c r="D11" s="27" t="n">
        <v>9395200</v>
      </c>
      <c r="E11" s="14" t="n">
        <v>172.1</v>
      </c>
      <c r="F11" s="14" t="inlineStr">
        <is>
          <t>Activa</t>
        </is>
      </c>
      <c r="G11" s="14" t="inlineStr">
        <is>
          <t>Caminos / huellas de ganado</t>
        </is>
      </c>
    </row>
    <row r="12">
      <c r="A12" s="7" t="inlineStr">
        <is>
          <t>E-02</t>
        </is>
      </c>
      <c r="B12" s="15" t="inlineStr">
        <is>
          <t>Rasgo erosivo — Surco (&lt;30 cm)</t>
        </is>
      </c>
      <c r="C12" s="26" t="n">
        <v>654687</v>
      </c>
      <c r="D12" s="26" t="n">
        <v>9395072</v>
      </c>
      <c r="E12" s="15" t="n">
        <v>86.90000000000001</v>
      </c>
      <c r="F12" s="15" t="inlineStr">
        <is>
          <t>Activa</t>
        </is>
      </c>
      <c r="G12" s="15" t="inlineStr">
        <is>
          <t>Caminos / huellas de ganado</t>
        </is>
      </c>
    </row>
    <row r="13">
      <c r="A13" s="13" t="inlineStr">
        <is>
          <t>E-03</t>
        </is>
      </c>
      <c r="B13" s="14" t="inlineStr">
        <is>
          <t>Rasgo erosivo — Surco (&lt;30 cm)</t>
        </is>
      </c>
      <c r="C13" s="27" t="n">
        <v>654665</v>
      </c>
      <c r="D13" s="27" t="n">
        <v>9395169</v>
      </c>
      <c r="E13" s="14" t="n">
        <v>143.3</v>
      </c>
      <c r="F13" s="14" t="inlineStr">
        <is>
          <t>Activa</t>
        </is>
      </c>
      <c r="G13" s="14" t="inlineStr">
        <is>
          <t>Concentración natural de escorrentía</t>
        </is>
      </c>
    </row>
    <row r="14">
      <c r="A14" s="7" t="inlineStr">
        <is>
          <t>H-01</t>
        </is>
      </c>
      <c r="B14" s="15" t="inlineStr">
        <is>
          <t>Fuente de agua — Manantial / Puquio</t>
        </is>
      </c>
      <c r="C14" s="26" t="n">
        <v>654746</v>
      </c>
      <c r="D14" s="26" t="n">
        <v>9395088</v>
      </c>
      <c r="E14" s="15" t="n">
        <v>147.7</v>
      </c>
      <c r="F14" s="15" t="inlineStr">
        <is>
          <t>Permanente</t>
        </is>
      </c>
      <c r="G14" s="15" t="inlineStr">
        <is>
          <t>Afloramiento en roca — captación poblacional</t>
        </is>
      </c>
    </row>
    <row r="15">
      <c r="A15" s="13" t="inlineStr">
        <is>
          <t>H-02</t>
        </is>
      </c>
      <c r="B15" s="14" t="inlineStr">
        <is>
          <t>Fuente de agua — Quebrada permanente</t>
        </is>
      </c>
      <c r="C15" s="27" t="n">
        <v>654758</v>
      </c>
      <c r="D15" s="27" t="n">
        <v>9395031</v>
      </c>
      <c r="E15" s="14" t="n">
        <v>151.2</v>
      </c>
      <c r="F15" s="14" t="inlineStr">
        <is>
          <t>Permanente</t>
        </is>
      </c>
      <c r="G15" s="14" t="inlineStr">
        <is>
          <t>Quebrada con salto de agua — captación poblacional</t>
        </is>
      </c>
    </row>
    <row r="16">
      <c r="A16" s="7" t="inlineStr">
        <is>
          <t>B-04</t>
        </is>
      </c>
      <c r="B16" s="15" t="inlineStr">
        <is>
          <t>Especie clave — Caña de Guayaquil (Guadua angustifolia)</t>
        </is>
      </c>
      <c r="C16" s="26" t="n">
        <v>654758</v>
      </c>
      <c r="D16" s="26" t="n">
        <v>9395031</v>
      </c>
      <c r="E16" s="15" t="n">
        <v>151.2</v>
      </c>
      <c r="F16" s="15" t="inlineStr">
        <is>
          <t>Indicadora de buen estado</t>
        </is>
      </c>
      <c r="G16" s="15" t="inlineStr">
        <is>
          <t>NE</t>
        </is>
      </c>
    </row>
    <row r="17">
      <c r="A17" s="13" t="inlineStr">
        <is>
          <t>B-05</t>
        </is>
      </c>
      <c r="B17" s="14" t="inlineStr">
        <is>
          <t>Especie clave — Helechos arborescentes</t>
        </is>
      </c>
      <c r="C17" s="27" t="n">
        <v>654758</v>
      </c>
      <c r="D17" s="27" t="n">
        <v>9395031</v>
      </c>
      <c r="E17" s="14" t="n">
        <v>151.2</v>
      </c>
      <c r="F17" s="14" t="inlineStr">
        <is>
          <t>Indicadora de buen estado</t>
        </is>
      </c>
      <c r="G17" s="14" t="inlineStr">
        <is>
          <t>NE</t>
        </is>
      </c>
    </row>
    <row r="18">
      <c r="A18" s="16" t="inlineStr">
        <is>
          <t>TOTAL: 8 puntos</t>
        </is>
      </c>
      <c r="B18" s="17" t="inlineStr"/>
      <c r="C18" s="17" t="inlineStr"/>
      <c r="D18" s="17" t="inlineStr"/>
      <c r="E18" s="17" t="inlineStr"/>
      <c r="F18" s="17" t="inlineStr"/>
      <c r="G18" s="17" t="inlineStr"/>
    </row>
    <row r="19"/>
    <row r="20">
      <c r="A20" s="6" t="inlineStr">
        <is>
          <t>Centroide del bloque — UTM ESTE (m)</t>
        </is>
      </c>
      <c r="B20" s="7" t="n">
        <v>654607</v>
      </c>
      <c r="C20" s="6" t="inlineStr">
        <is>
          <t>Centroide del bloque — UTM NORTE (m)</t>
        </is>
      </c>
      <c r="D20" s="7" t="n">
        <v>9395038</v>
      </c>
      <c r="E20" s="8" t="n"/>
      <c r="F20" s="8" t="n"/>
      <c r="G20" s="8" t="n"/>
      <c r="H20" s="8" t="n"/>
    </row>
    <row r="21">
      <c r="A21" s="6" t="inlineStr">
        <is>
          <t>N.° de estaciones fotográficas declaradas</t>
        </is>
      </c>
      <c r="B21" s="7" t="n">
        <v>16</v>
      </c>
      <c r="C21" s="6" t="inlineStr">
        <is>
          <t>Estaciones dentro del polígono</t>
        </is>
      </c>
      <c r="D21" s="7" t="inlineStr">
        <is>
          <t>Por determinar</t>
        </is>
      </c>
      <c r="E21" s="8" t="n"/>
      <c r="F21" s="8" t="n"/>
      <c r="G21" s="8" t="n"/>
      <c r="H21" s="8" t="n"/>
    </row>
    <row r="22"/>
    <row r="23" ht="120" customHeight="1">
      <c r="A23"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Punto de muestreo consignado = CENTROIDE OFICIAL del bloque. PENDIENTE: el perfil Google Earth (transecto de 544 m) arroja media 41.6% y máxima 59.0%; las anotaciones de campo registran 80% y 90% en las laderas medias. Se adopta 50-75% como rango dominante por tratarse de un transecto oblicuo que subestima la pendiente real; verificación instrumental PENDIENTE. ALTITUD: el bloque es transicional (1373-1605 msnm medidos; polígono entre las curvas de 1400 y 1700 msnm).</t>
        </is>
      </c>
      <c r="B23" s="41" t="n"/>
      <c r="C23" s="41" t="n"/>
      <c r="D23" s="41" t="n"/>
      <c r="E23" s="41" t="n"/>
      <c r="F23" s="41" t="n"/>
      <c r="G23" s="42" t="n"/>
    </row>
  </sheetData>
  <mergeCells count="8">
    <mergeCell ref="A1:G1"/>
    <mergeCell ref="A8:G8"/>
    <mergeCell ref="A3:G3"/>
    <mergeCell ref="A6:G6"/>
    <mergeCell ref="A4:G4"/>
    <mergeCell ref="A2:G2"/>
    <mergeCell ref="A5:G5"/>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35</t>
        </is>
      </c>
    </row>
    <row r="6" ht="24" customHeight="1">
      <c r="A6" s="4" t="inlineStr">
        <is>
          <t>Distrito de San Miguel de El Faique · Provincia de Huancabamba · Comparación de los bloques preliminares de intervención de la misma microcuenca</t>
        </is>
      </c>
    </row>
    <row r="7"/>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9</t>
        </is>
      </c>
      <c r="B10" s="28" t="n">
        <v>109.86</v>
      </c>
      <c r="C10" s="19" t="n">
        <v>40.1</v>
      </c>
      <c r="D10" s="15" t="inlineStr">
        <is>
          <t>1529 – 2264</t>
        </is>
      </c>
      <c r="E10" s="15" t="n">
        <v>735</v>
      </c>
      <c r="F10" s="15" t="n">
        <v>34.82</v>
      </c>
      <c r="G10" s="18" t="n">
        <v>0.5745</v>
      </c>
      <c r="H10" s="19" t="n">
        <v>90.23999999999999</v>
      </c>
      <c r="I10" s="19" t="n">
        <v>11.68</v>
      </c>
    </row>
    <row r="11">
      <c r="A11" s="13" t="inlineStr">
        <is>
          <t>M22B1</t>
        </is>
      </c>
      <c r="B11" s="29" t="n">
        <v>55.17</v>
      </c>
      <c r="C11" s="21" t="n">
        <v>20.14</v>
      </c>
      <c r="D11" s="14" t="inlineStr">
        <is>
          <t>3216 – 3436</t>
        </is>
      </c>
      <c r="E11" s="14" t="n">
        <v>220</v>
      </c>
      <c r="F11" s="14" t="n">
        <v>19.98</v>
      </c>
      <c r="G11" s="20" t="n">
        <v>0.594</v>
      </c>
      <c r="H11" s="21" t="n">
        <v>91.05</v>
      </c>
      <c r="I11" s="21" t="n">
        <v>4.1</v>
      </c>
    </row>
    <row r="12">
      <c r="A12" s="11" t="inlineStr">
        <is>
          <t>► 35</t>
        </is>
      </c>
      <c r="B12" s="30" t="n">
        <v>30.8</v>
      </c>
      <c r="C12" s="31" t="n">
        <v>11.24</v>
      </c>
      <c r="D12" s="12" t="inlineStr">
        <is>
          <t>1376 – 1621</t>
        </is>
      </c>
      <c r="E12" s="12" t="n">
        <v>245</v>
      </c>
      <c r="F12" s="12" t="n">
        <v>33.66</v>
      </c>
      <c r="G12" s="32" t="n">
        <v>0.6245000000000001</v>
      </c>
      <c r="H12" s="31" t="n">
        <v>98.17</v>
      </c>
      <c r="I12" s="31" t="n">
        <v>1.19</v>
      </c>
    </row>
    <row r="13">
      <c r="A13" s="13" t="inlineStr">
        <is>
          <t>44</t>
        </is>
      </c>
      <c r="B13" s="29" t="n">
        <v>28.23</v>
      </c>
      <c r="C13" s="21" t="n">
        <v>10.3</v>
      </c>
      <c r="D13" s="14" t="inlineStr">
        <is>
          <t>3091 – 3277</t>
        </is>
      </c>
      <c r="E13" s="14" t="n">
        <v>186</v>
      </c>
      <c r="F13" s="14" t="n">
        <v>22.21</v>
      </c>
      <c r="G13" s="20" t="n">
        <v>0.5113</v>
      </c>
      <c r="H13" s="21" t="n">
        <v>83.84999999999999</v>
      </c>
      <c r="I13" s="21" t="n">
        <v>52.06</v>
      </c>
    </row>
    <row r="14">
      <c r="A14" s="7" t="inlineStr">
        <is>
          <t>43</t>
        </is>
      </c>
      <c r="B14" s="28" t="n">
        <v>23.17</v>
      </c>
      <c r="C14" s="19" t="n">
        <v>8.460000000000001</v>
      </c>
      <c r="D14" s="15" t="inlineStr">
        <is>
          <t>251 – 811</t>
        </is>
      </c>
      <c r="E14" s="15" t="n">
        <v>560</v>
      </c>
      <c r="F14" s="15" t="n">
        <v>31.39</v>
      </c>
      <c r="G14" s="18" t="n">
        <v>0.5515</v>
      </c>
      <c r="H14" s="19" t="n">
        <v>78.91</v>
      </c>
      <c r="I14" s="19" t="n">
        <v>21.28</v>
      </c>
    </row>
    <row r="15">
      <c r="A15" s="13" t="inlineStr">
        <is>
          <t>47</t>
        </is>
      </c>
      <c r="B15" s="29" t="n">
        <v>13.55</v>
      </c>
      <c r="C15" s="21" t="n">
        <v>4.95</v>
      </c>
      <c r="D15" s="14" t="inlineStr">
        <is>
          <t>2105 – 2333</t>
        </is>
      </c>
      <c r="E15" s="14" t="n">
        <v>228</v>
      </c>
      <c r="F15" s="14" t="n">
        <v>32.43</v>
      </c>
      <c r="G15" s="20" t="n">
        <v>0.5936</v>
      </c>
      <c r="H15" s="21" t="n">
        <v>91.26000000000001</v>
      </c>
      <c r="I15" s="21" t="n">
        <v>9.84</v>
      </c>
    </row>
    <row r="16">
      <c r="A16" s="7" t="inlineStr">
        <is>
          <t>67</t>
        </is>
      </c>
      <c r="B16" s="28" t="n">
        <v>13.18</v>
      </c>
      <c r="C16" s="19" t="n">
        <v>4.81</v>
      </c>
      <c r="D16" s="15" t="inlineStr">
        <is>
          <t>1575 – 1770</t>
        </is>
      </c>
      <c r="E16" s="15" t="n">
        <v>195</v>
      </c>
      <c r="F16" s="15" t="n">
        <v>30.33</v>
      </c>
      <c r="G16" s="18" t="n">
        <v>0.6052999999999999</v>
      </c>
      <c r="H16" s="19" t="n">
        <v>97.5</v>
      </c>
      <c r="I16" s="19" t="n">
        <v>2.12</v>
      </c>
    </row>
    <row r="17">
      <c r="A17" s="16" t="inlineStr">
        <is>
          <t>TOTAL / PROMEDIO</t>
        </is>
      </c>
      <c r="B17" s="33">
        <f>SUM(B10:B16)</f>
        <v>273.96</v>
      </c>
      <c r="C17" s="23">
        <f>SUM(C10:C16)</f>
        <v>100.0</v>
      </c>
      <c r="D17" s="17" t="inlineStr">
        <is>
          <t>251 – 3436</t>
        </is>
      </c>
      <c r="E17" s="17" t="inlineStr"/>
      <c r="F17" s="17">
        <f>ROUND(AVERAGE(F10:F16),2)</f>
        <v>29.26</v>
      </c>
      <c r="G17" s="22">
        <f>ROUND(AVERAGE(G10:G16),4)</f>
        <v>0.5792</v>
      </c>
      <c r="H17" s="23">
        <f>ROUND(AVERAGE(H10:H16),2)</f>
        <v>90.14</v>
      </c>
      <c r="I17" s="23">
        <f>ROUND(AVERAGE(I10:I16),2)</f>
        <v>14.61</v>
      </c>
    </row>
    <row r="18"/>
    <row r="19" ht="84" customHeight="1">
      <c r="A19" s="9" t="inlineStr">
        <is>
          <t>LECTURA INTRAMICROCUENCA. El bloque 35 ocupa el puesto 3 de 7 por superficie dentro de la microcuenca C1076-Q9586 (11.24 % de las 273.96 ha preliminares de la microcuenca). Su pendiente promedio (33.66 %, clase «25-50% (Mod. escarpado)») es la 6.ª más baja de 7 y se sitúa por encima del promedio de la microcuenca (29.26 %). Su MSAVI 2024 (0.6245) es el 1.º de 7 y queda por encima del promedio local (0.5793). Amplitud altitudinal del bloque: 245 m (1376–1621 msnm). El cuadro conserva todos los bloques catalogados en la microcuenca, incluidos los descartados en el tamizaje, para referencia del conjunto. Los bloques sin ficha DT figuran con sus parámetros de gabinete. BRECHA ESPECTRAL. El 1.19 % de la superficie del bloque (0.366 ha de 30.804 ha) se sitúa bajo el umbral MSAVI 0.4976, por debajo del promedio local de la microcuenca (14.61 %) calculado sobre los bloques con dato MSAVI disponible.</t>
        </is>
      </c>
      <c r="B19" s="41" t="n"/>
      <c r="C19" s="41" t="n"/>
      <c r="D19" s="41" t="n"/>
      <c r="E19" s="41" t="n"/>
      <c r="F19" s="41" t="n"/>
      <c r="G19" s="41" t="n"/>
      <c r="H19" s="42" t="n"/>
    </row>
    <row r="20"/>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1" t="n"/>
      <c r="C21" s="41" t="n"/>
      <c r="D21" s="41" t="n"/>
      <c r="E21" s="41" t="n"/>
      <c r="F21" s="41" t="n"/>
      <c r="G21" s="41" t="n"/>
      <c r="H21" s="42" t="n"/>
    </row>
  </sheetData>
  <mergeCells count="9">
    <mergeCell ref="A1:I1"/>
    <mergeCell ref="A4:I4"/>
    <mergeCell ref="A3:I3"/>
    <mergeCell ref="A21:I21"/>
    <mergeCell ref="A2:I2"/>
    <mergeCell ref="A19:I19"/>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35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La ficha DT declara «C1076-Q9584»; el catálogo maestro V5/V6 asigna el bloque a «C1076-Q9586»</t>
        </is>
      </c>
      <c r="D10" s="35" t="inlineStr">
        <is>
          <t>SUSTANTIVA</t>
        </is>
      </c>
      <c r="E10" s="34" t="inlineStr">
        <is>
          <t>Se conserva el código del catálogo maestro para todo cálculo intramicrocuenca. La declaración de la ficha debe corregirse en la siguiente versión del formato V5.</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7" t="inlineStr">
        <is>
          <t>CONFORME</t>
        </is>
      </c>
      <c r="E11" s="36" t="inlineStr">
        <is>
          <t>Sin acción.</t>
        </is>
      </c>
    </row>
    <row r="12" ht="48" customHeight="1">
      <c r="A12" s="34" t="inlineStr">
        <is>
          <t>D-03</t>
        </is>
      </c>
      <c r="B12" s="34" t="inlineStr">
        <is>
          <t>Superficie del polígono</t>
        </is>
      </c>
      <c r="C12" s="34" t="inlineStr">
        <is>
          <t>La superficie clasificada por el NDVI 2025 (30.811 ha) coincide con la de catálogo (30.8 ha) dentro del ±2 % (+0.03 %)</t>
        </is>
      </c>
      <c r="D12" s="37"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«50-75% (Escarpado)»; la estadística zonal sobre el MDE arroja una pendiente promedio de 33.66 %, que corresponde a la clase «25-50% (Mod. escarpado)»</t>
        </is>
      </c>
      <c r="D13" s="12"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75 % de cobertura vegetal en campo; el NDVI mediana 2025 clasifica 100.00 % del polígono en clases de vegetación</t>
        </is>
      </c>
      <c r="D14" s="12"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Dimensiones del inventario de cárcavas</t>
        </is>
      </c>
      <c r="C15" s="36" t="inlineStr">
        <is>
          <t>Se registran 3 rasgos erosivos, pero longitud, profundidad y ancho no fueron medidos instrumentalmente</t>
        </is>
      </c>
      <c r="D15" s="12"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Centro poblado asociado</t>
        </is>
      </c>
      <c r="C16" s="34" t="inlineStr">
        <is>
          <t>La ficha DT declara «Chamelico (≈546 m del centroide) · Quitahuajara (≈954 m)»; el cruce INEI-Bloques V5 identifica 2 centro(s) poblado(s) en el bloque: CHAMELICO, QUITAHUAJARA</t>
        </is>
      </c>
      <c r="D16" s="37"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5" t="inlineStr">
        <is>
          <t>SUSTANTIVA</t>
        </is>
      </c>
      <c r="E17" s="36" t="inlineStr">
        <is>
          <t>Debe tomarse del modelamiento de mesolocalización (PMM + EPH + PGI ponderados por AHP) antes de fijar la prioridad definitiva de intervención del bloque.</t>
        </is>
      </c>
    </row>
    <row r="18" ht="48" customHeight="1">
      <c r="A18" s="36" t="inlineStr">
        <is>
          <t>D-09</t>
        </is>
      </c>
      <c r="B18" s="36" t="inlineStr">
        <is>
          <t>Distribución areal MSAVI 2024</t>
        </is>
      </c>
      <c r="C18" s="36" t="inlineStr">
        <is>
          <t>La distribución por clase de MSAVI no figuraba en los insumos del entregable y se consignaba «Por determinar»; se incorpora la estadística zonal del ráster MSAVI clasificado (113 polígonos, 30.804 ha)</t>
        </is>
      </c>
      <c r="D18" s="35" t="inlineStr">
        <is>
          <t>CORREGIDO</t>
        </is>
      </c>
      <c r="E1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9" ht="48" customHeight="1">
      <c r="A19" s="36" t="inlineStr">
        <is>
          <t>D-10</t>
        </is>
      </c>
      <c r="B19" s="36" t="inlineStr">
        <is>
          <t>Superficie MSAVI vs. catálogo</t>
        </is>
      </c>
      <c r="C19" s="36" t="inlineStr">
        <is>
          <t>La superficie total clasificada por el MSAVI 2024 (30.804 ha) frente a la de catálogo V5/V6 (30.800 ha): desviación de +0.01 %</t>
        </is>
      </c>
      <c r="D19" s="35" t="inlineStr">
        <is>
          <t>CONFORME</t>
        </is>
      </c>
      <c r="E19" s="36" t="inlineStr">
        <is>
          <t>Sin acción: la segmentación del ráster valida la geometría del bloque dentro del ±2 %.</t>
        </is>
      </c>
    </row>
    <row r="20" ht="48" customHeight="1">
      <c r="A20" s="36" t="inlineStr">
        <is>
          <t>D-11</t>
        </is>
      </c>
      <c r="B20" s="36" t="inlineStr">
        <is>
          <t>Media MSAVI vs. clase DN dominante</t>
        </is>
      </c>
      <c r="C20" s="36" t="inlineStr">
        <is>
          <t>La media del bloque (0.6245) cae en la clase «DN 5 · &gt; 0.6139 (Vigor alto)»; la clase de mayor superficie es «DN 5 · &gt; 0.6139 (Vigor alto)», con 57.96 % del bloque. Superficie bajo el umbral 0.4976: 0.366 ha (1.19 %)</t>
        </is>
      </c>
      <c r="D20" s="35" t="inlineStr">
        <is>
          <t>CONFORME</t>
        </is>
      </c>
      <c r="E20" s="36" t="inlineStr">
        <is>
          <t>Sin acción: la media del bloque y la clase de mayor superficie coinciden.</t>
        </is>
      </c>
    </row>
    <row r="21"/>
    <row r="22">
      <c r="A22" s="16" t="inlineStr">
        <is>
          <t>RESUMEN</t>
        </is>
      </c>
      <c r="B22" s="17" t="inlineStr">
        <is>
          <t>11 verificaciones</t>
        </is>
      </c>
      <c r="C22" s="17" t="inlineStr">
        <is>
          <t>CONFORME: 5 · CORREGIDO: 1 · NO SUSTANTIVA: 3 · SUSTANTIVA: 2</t>
        </is>
      </c>
      <c r="D22" s="17" t="inlineStr"/>
      <c r="E22" s="17" t="inlineStr"/>
    </row>
    <row r="23"/>
    <row r="24" ht="60" customHeight="1">
      <c r="A2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4" s="41" t="n"/>
      <c r="C24" s="41" t="n"/>
      <c r="D24" s="41" t="n"/>
      <c r="E24" s="42" t="n"/>
    </row>
  </sheetData>
  <mergeCells count="8">
    <mergeCell ref="A4:E4"/>
    <mergeCell ref="A24:E24"/>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35 — IN Piura</dc:title>
  <dc:subject>Diagnóstico Territorial por bloque de intervención</dc:subject>
  <dcterms:created xsi:type="dcterms:W3CDTF">2026-09-08T03:39:56Z</dcterms:created>
  <dcterms:modified xsi:type="dcterms:W3CDTF">2026-09-10T00:28:27Z</dcterms:modified>
</cp:coreProperties>
</file>