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9</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9</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San Miguel de El Faique (sector La Unión)</t>
        </is>
      </c>
      <c r="C13" s="6" t="inlineStr">
        <is>
          <t>Comunidad campesina</t>
        </is>
      </c>
      <c r="D13" s="7" t="inlineStr">
        <is>
          <t>Por verificar</t>
        </is>
      </c>
      <c r="E13" s="8" t="n"/>
      <c r="F13" s="8" t="n"/>
    </row>
    <row r="14">
      <c r="A14" s="6" t="inlineStr">
        <is>
          <t>Superficie de catálogo (V5/V6), ha</t>
        </is>
      </c>
      <c r="B14" s="7" t="n">
        <v>109.86</v>
      </c>
      <c r="C14" s="6" t="inlineStr">
        <is>
          <t>Fuente de superficie</t>
        </is>
      </c>
      <c r="D14" s="7" t="inlineStr">
        <is>
          <t>Catálogo maestro Bloques V5/V6</t>
        </is>
      </c>
      <c r="E14" s="8" t="n"/>
      <c r="F14" s="8" t="n"/>
    </row>
    <row r="15">
      <c r="A15" s="6" t="inlineStr">
        <is>
          <t>Centroide UTM ESTE (m)</t>
        </is>
      </c>
      <c r="B15" s="7" t="n">
        <v>656578</v>
      </c>
      <c r="C15" s="6" t="inlineStr">
        <is>
          <t>Centroide UTM NORTE (m)</t>
        </is>
      </c>
      <c r="D15" s="7" t="n">
        <v>9397762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1529</v>
      </c>
      <c r="C19" s="6" t="inlineStr">
        <is>
          <t>Altitud máxima (msnm)</t>
        </is>
      </c>
      <c r="D19" s="7" t="n">
        <v>2264</v>
      </c>
      <c r="E19" s="8" t="n"/>
      <c r="F19" s="8" t="n"/>
    </row>
    <row r="20">
      <c r="A20" s="6" t="inlineStr">
        <is>
          <t>Amplitud altitudinal (m)</t>
        </is>
      </c>
      <c r="B20" s="7" t="n">
        <v>735</v>
      </c>
      <c r="C20" s="6" t="inlineStr">
        <is>
          <t>Piso altitudinal dominante</t>
        </is>
      </c>
      <c r="D20" s="7" t="inlineStr">
        <is>
          <t>1500-2000 m (Quechua media)</t>
        </is>
      </c>
      <c r="E20" s="8" t="n"/>
      <c r="F20" s="8" t="n"/>
    </row>
    <row r="21">
      <c r="A21" s="6" t="inlineStr">
        <is>
          <t>Pendiente promedio (%)</t>
        </is>
      </c>
      <c r="B21" s="7" t="n">
        <v>34.82</v>
      </c>
      <c r="C21" s="6" t="inlineStr">
        <is>
          <t>Pendiente promedio (grados)</t>
        </is>
      </c>
      <c r="D21" s="7" t="n">
        <v>19.2</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Cima (sin dominancia)</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0.5745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(90.24 %)</t>
        </is>
      </c>
      <c r="E29" s="8" t="n"/>
      <c r="F29" s="8" t="n"/>
    </row>
    <row r="30">
      <c r="A30" s="6" t="inlineStr">
        <is>
          <t>Superficie clasificada NDVI 2025 (ha)</t>
        </is>
      </c>
      <c r="B30" s="7" t="n">
        <v>109.882</v>
      </c>
      <c r="C30" s="6" t="inlineStr">
        <is>
          <t>Desviación frente al catálogo (%)</t>
        </is>
      </c>
      <c r="D30" s="7" t="n">
        <v>0.02</v>
      </c>
      <c r="E30" s="8" t="n"/>
      <c r="F30" s="8" t="n"/>
    </row>
    <row r="31">
      <c r="A31" s="6" t="inlineStr">
        <is>
          <t>Superficie clasificada MSAVI 2024 (ha)</t>
        </is>
      </c>
      <c r="B31" s="36" t="n">
        <v>109.861</v>
      </c>
      <c r="C31" s="6" t="inlineStr">
        <is>
          <t>Desviación MSAVI frente al catálogo (%)</t>
        </is>
      </c>
      <c r="D31" s="37" t="n">
        <v>0</v>
      </c>
      <c r="E31" s="8" t="n"/>
      <c r="F31" s="8" t="n"/>
    </row>
    <row r="32">
      <c r="A32" s="6" t="inlineStr">
        <is>
          <t>Superficie bajo umbral MSAVI 0.4976 (ha)</t>
        </is>
      </c>
      <c r="B32" s="36" t="n">
        <v>12.836</v>
      </c>
      <c r="C32" s="6" t="inlineStr">
        <is>
          <t>% del bloque bajo umbral (brecha espectral)</t>
        </is>
      </c>
      <c r="D32" s="37" t="n">
        <v>11.68</v>
      </c>
      <c r="E32" s="8" t="n"/>
      <c r="F32" s="8" t="n"/>
    </row>
    <row r="33">
      <c r="A33" s="6" t="inlineStr">
        <is>
          <t>Clase DN dominante (MSAVI 2024)</t>
        </is>
      </c>
      <c r="B33" s="7" t="inlineStr">
        <is>
          <t>DN 4 · 0.4976 - 0.6139 (Vigor moderado)</t>
        </is>
      </c>
      <c r="C33" s="6" t="inlineStr">
        <is>
          <t>N.° de polígonos MSAVI del bloque</t>
        </is>
      </c>
      <c r="D33" s="38" t="n">
        <v>357</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109.861 ha</t>
        </is>
      </c>
      <c r="E36" s="8" t="n"/>
      <c r="F36" s="8" t="n"/>
    </row>
    <row r="37">
      <c r="A37" s="6" t="inlineStr">
        <is>
          <t>Estado de conservación</t>
        </is>
      </c>
      <c r="B37" s="7" t="inlineStr">
        <is>
          <t>Medianamente alterado</t>
        </is>
      </c>
      <c r="C37" s="6" t="inlineStr">
        <is>
          <t>Uso actual dominante del suelo</t>
        </is>
      </c>
      <c r="D37" s="7" t="inlineStr">
        <is>
          <t>Agricultura secano</t>
        </is>
      </c>
      <c r="E37" s="8" t="n"/>
      <c r="F37" s="8" t="n"/>
    </row>
    <row r="38">
      <c r="A38" s="6" t="inlineStr">
        <is>
          <t>Tipo de cobertura dominante</t>
        </is>
      </c>
      <c r="B38" s="7" t="inlineStr">
        <is>
          <t>Matorral ralo</t>
        </is>
      </c>
      <c r="C38" s="6" t="inlineStr">
        <is>
          <t>Cobertura vegetal total — campo (%)</t>
        </is>
      </c>
      <c r="D38" s="7" t="n">
        <v>40</v>
      </c>
      <c r="E38" s="8" t="n"/>
      <c r="F38" s="8" t="n"/>
    </row>
    <row r="39">
      <c r="A39" s="6" t="inlineStr">
        <is>
          <t>Suelo desnudo — campo (%)</t>
        </is>
      </c>
      <c r="B39" s="7" t="n">
        <v>25</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Pedro Talledo Hernández</t>
        </is>
      </c>
      <c r="C44" s="6" t="inlineStr">
        <is>
          <t>Fecha de evaluación</t>
        </is>
      </c>
      <c r="D44" s="7" t="inlineStr">
        <is>
          <t>2026-08-11</t>
        </is>
      </c>
      <c r="E44" s="8" t="n"/>
      <c r="F44" s="8" t="n"/>
    </row>
    <row r="45">
      <c r="A45" s="6" t="inlineStr">
        <is>
          <t>Hora de registro</t>
        </is>
      </c>
      <c r="B45" s="7" t="inlineStr">
        <is>
          <t>Por registrar</t>
        </is>
      </c>
      <c r="C45" s="6" t="inlineStr">
        <is>
          <t>Correlativo de ficha</t>
        </is>
      </c>
      <c r="D45" s="7" t="inlineStr">
        <is>
          <t>F-DT-09-01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P-01</t>
        </is>
      </c>
      <c r="E47" s="8" t="n"/>
      <c r="F47" s="8" t="n"/>
    </row>
    <row r="48">
      <c r="A48" s="6" t="inlineStr">
        <is>
          <t>Estaciones fotográficas georreferenciadas</t>
        </is>
      </c>
      <c r="B48" s="7" t="inlineStr">
        <is>
          <t>Sin registro en la ficha DT</t>
        </is>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demográfica y necesidad de tierras para cultivo y pastoreo de subsistencia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39" t="n"/>
      <c r="C57" s="39" t="n"/>
      <c r="D57" s="39" t="n"/>
      <c r="E57" s="39" t="n"/>
      <c r="F57" s="40"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9</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29.8373</v>
      </c>
      <c r="C10" s="19">
        <f>ROUND(B10/$B$15*100,2)</f>
        <v>27.16</v>
      </c>
      <c r="D10" s="11" t="inlineStr">
        <is>
          <t>Vigor alto</t>
        </is>
      </c>
      <c r="E10" s="11" t="inlineStr">
        <is>
          <t>Sobre umbral</t>
        </is>
      </c>
    </row>
    <row r="11">
      <c r="A11" s="12" t="inlineStr">
        <is>
          <t>0.4976 - 0.6139 · DN 4</t>
        </is>
      </c>
      <c r="B11" s="28" t="n">
        <v>67.18810000000001</v>
      </c>
      <c r="C11" s="27">
        <f>ROUND(B11/$B$15*100,2)</f>
        <v>61.16</v>
      </c>
      <c r="D11" s="13" t="inlineStr">
        <is>
          <t>Vigor moderado</t>
        </is>
      </c>
      <c r="E11" s="13" t="inlineStr">
        <is>
          <t>Sobre umbral</t>
        </is>
      </c>
    </row>
    <row r="12">
      <c r="A12" s="7" t="inlineStr">
        <is>
          <t>0.3813 - 0.4976 · DN 3</t>
        </is>
      </c>
      <c r="B12" s="18" t="n">
        <v>12.4212</v>
      </c>
      <c r="C12" s="19">
        <f>ROUND(B12/$B$15*100,2)</f>
        <v>11.31</v>
      </c>
      <c r="D12" s="11" t="inlineStr">
        <is>
          <t>Vigor bajo</t>
        </is>
      </c>
      <c r="E12" s="11" t="inlineStr">
        <is>
          <t>BAJO umbral 0.4976</t>
        </is>
      </c>
    </row>
    <row r="13">
      <c r="A13" s="14" t="inlineStr">
        <is>
          <t>0.2650 - 0.3813 · DN 2</t>
        </is>
      </c>
      <c r="B13" s="20" t="n">
        <v>0.4146</v>
      </c>
      <c r="C13" s="21">
        <f>ROUND(B13/$B$15*100,2)</f>
        <v>0.38</v>
      </c>
      <c r="D13" s="15" t="inlineStr">
        <is>
          <t>Vigor muy bajo</t>
        </is>
      </c>
      <c r="E13" s="15" t="inlineStr">
        <is>
          <t>BAJO umbral 0.4976</t>
        </is>
      </c>
    </row>
    <row r="14">
      <c r="A14" s="7" t="inlineStr">
        <is>
          <t>&lt;= 0.2650 · DN 1</t>
        </is>
      </c>
      <c r="B14" s="18" t="n">
        <v>0</v>
      </c>
      <c r="C14" s="19">
        <f>ROUND(B14/$B$15*100,2)</f>
        <v>0.0</v>
      </c>
      <c r="D14" s="11" t="inlineStr">
        <is>
          <t>Suelo desnudo / no vegetal</t>
        </is>
      </c>
      <c r="E14" s="11" t="inlineStr">
        <is>
          <t>BAJO umbral 0.4976</t>
        </is>
      </c>
    </row>
    <row r="15" ht="30" customHeight="1">
      <c r="A15" s="41" t="inlineStr">
        <is>
          <t>TOTAL CLASIFICADO MSAVI 2024</t>
        </is>
      </c>
      <c r="B15" s="42">
        <f>SUM(B10:B14)</f>
        <v>109.8612</v>
      </c>
      <c r="C15" s="43">
        <f>SUM(C10:C14)</f>
        <v>100.01</v>
      </c>
      <c r="D15" s="41" t="inlineStr">
        <is>
          <t>Suma de la distribución areal · 357 polígonos</t>
        </is>
      </c>
      <c r="E15" s="41" t="inlineStr">
        <is>
          <t>—</t>
        </is>
      </c>
    </row>
    <row r="16" ht="30" customHeight="1">
      <c r="A16" s="44" t="inlineStr">
        <is>
          <t>Superficie SOBRE umbral 0.4976 (ha)</t>
        </is>
      </c>
      <c r="B16" s="45">
        <f>SUM(B10:B11)</f>
        <v>97.0254</v>
      </c>
      <c r="C16" s="46">
        <f>ROUND(B16/B15*100,2)</f>
        <v>88.32</v>
      </c>
      <c r="D16" s="44" t="inlineStr">
        <is>
          <t>Vigor alto y moderado (DN 4 y DN 5)</t>
        </is>
      </c>
      <c r="E16" s="44" t="inlineStr">
        <is>
          <t>Sobre umbral 0.4976</t>
        </is>
      </c>
    </row>
    <row r="17" ht="30" customHeight="1">
      <c r="A17" s="44" t="inlineStr">
        <is>
          <t>Superficie BAJO umbral 0.4976 (ha) — brecha</t>
        </is>
      </c>
      <c r="B17" s="45">
        <f>SUM(B12:B14)</f>
        <v>12.8358</v>
      </c>
      <c r="C17" s="46">
        <f>ROUND(B17/B15*100,2)</f>
        <v>11.68</v>
      </c>
      <c r="D17" s="44" t="inlineStr">
        <is>
          <t>Vigor bajo, muy bajo y suelo desnudo (DN 1 a DN 3)</t>
        </is>
      </c>
      <c r="E17" s="44" t="inlineStr">
        <is>
          <t>Base para el indicador de brecha (R.M. N.° 00213-2024-MINAM)</t>
        </is>
      </c>
    </row>
    <row r="18" ht="30" customHeight="1">
      <c r="A18" s="44" t="inlineStr">
        <is>
          <t>Superficie de catálogo (V5/V6) — contraste MSAVI</t>
        </is>
      </c>
      <c r="B18" s="45" t="n">
        <v>109.86</v>
      </c>
      <c r="C18" s="47" t="inlineStr">
        <is>
          <t>—</t>
        </is>
      </c>
      <c r="D18" s="44" t="inlineStr">
        <is>
          <t>Desviación planimétrica frente al catálogo</t>
        </is>
      </c>
      <c r="E18" s="44" t="inlineStr">
        <is>
          <t>+0.00 %</t>
        </is>
      </c>
    </row>
    <row r="19">
      <c r="A19" s="16" t="inlineStr">
        <is>
          <t>MSAVI 2024 — MEDIA DEL BLOQUE</t>
        </is>
      </c>
      <c r="B19" s="17" t="n">
        <v>0.574527</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357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(0.5745) se conserva del catálogo maestro y es dato oficial; la fila resaltada indica la clase en la que cae dicha media. Los totales y porcentajes se calculan con fórmulas sobre las filas del cuadro.</t>
        </is>
      </c>
      <c r="B21" s="39" t="n"/>
      <c r="C21" s="39" t="n"/>
      <c r="D21" s="39" t="n"/>
      <c r="E21" s="40"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99.1632</v>
      </c>
      <c r="C25" s="19" t="n">
        <v>90.23999999999999</v>
      </c>
      <c r="D25" s="11" t="inlineStr">
        <is>
          <t>Dosel continuo, matorral denso o mosaico agroforestal</t>
        </is>
      </c>
      <c r="E25" s="11" t="inlineStr"/>
    </row>
    <row r="26">
      <c r="A26" s="14" t="inlineStr">
        <is>
          <t>Vegetación mediana</t>
        </is>
      </c>
      <c r="B26" s="20" t="n">
        <v>10.5789</v>
      </c>
      <c r="C26" s="21" t="n">
        <v>9.630000000000001</v>
      </c>
      <c r="D26" s="15" t="inlineStr">
        <is>
          <t>Pastizal cultivado, matorral ralo, parcelas agrícolas</t>
        </is>
      </c>
      <c r="E26" s="15" t="inlineStr"/>
    </row>
    <row r="27">
      <c r="A27" s="7" t="inlineStr">
        <is>
          <t>Vegetación ligera</t>
        </is>
      </c>
      <c r="B27" s="18" t="n">
        <v>0.1404</v>
      </c>
      <c r="C27" s="19" t="n">
        <v>0.13</v>
      </c>
      <c r="D27" s="11" t="inlineStr">
        <is>
          <t>Cobertura discontinua, suelo parcialmente expuesto</t>
        </is>
      </c>
      <c r="E27" s="11" t="inlineStr"/>
    </row>
    <row r="28">
      <c r="A28" s="16" t="inlineStr">
        <is>
          <t>TOTAL CLASIFICADO</t>
        </is>
      </c>
      <c r="B28" s="22">
        <f>SUM(B25:B27)</f>
        <v>109.8825</v>
      </c>
      <c r="C28" s="23">
        <f>SUM(C25:C27)</f>
        <v>100.0</v>
      </c>
      <c r="D28" s="17" t="inlineStr"/>
      <c r="E28" s="17" t="inlineStr"/>
    </row>
    <row r="29">
      <c r="A29" s="24" t="inlineStr">
        <is>
          <t>Superficie de catálogo (V5/V6)</t>
        </is>
      </c>
      <c r="B29" s="25" t="n">
        <v>109.86</v>
      </c>
      <c r="C29" s="25" t="inlineStr">
        <is>
          <t>—</t>
        </is>
      </c>
      <c r="D29" s="25" t="inlineStr">
        <is>
          <t>Desviación planimétrica frente al catálogo</t>
        </is>
      </c>
      <c r="E29" s="25" t="inlineStr">
        <is>
          <t>+0.02 %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40 % frente a un 90.24 % del polígono clasificado como «Vegetación alta» por el NDVI 2025; la observación de campo corresponde a una parcela o recorrido puntual y no es estadísticamente representativa de las 109.860 ha del bloque.</t>
        </is>
      </c>
      <c r="B31" s="39" t="n"/>
      <c r="C31" s="39" t="n"/>
      <c r="D31" s="39" t="n"/>
      <c r="E31" s="40"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9</t>
        </is>
      </c>
    </row>
    <row r="6" ht="24" customHeight="1">
      <c r="A6" s="4" t="inlineStr">
        <is>
          <t>Levantamiento del 2026-08-11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t>
        </is>
      </c>
      <c r="B10" s="11" t="inlineStr">
        <is>
          <t>Sin puntos georreferenciados en la ficha DT</t>
        </is>
      </c>
      <c r="C10" s="11" t="inlineStr"/>
      <c r="D10" s="11" t="inlineStr"/>
      <c r="E10" s="11" t="inlineStr"/>
      <c r="F10" s="11" t="inlineStr"/>
      <c r="G10" s="11" t="inlineStr">
        <is>
          <t>No corresponde para este bloque</t>
        </is>
      </c>
    </row>
    <row r="11"/>
    <row r="12">
      <c r="A12" s="6" t="inlineStr">
        <is>
          <t>Centroide del bloque — UTM ESTE (m)</t>
        </is>
      </c>
      <c r="B12" s="7" t="n">
        <v>656578</v>
      </c>
      <c r="C12" s="6" t="inlineStr">
        <is>
          <t>Centroide del bloque — UTM NORTE (m)</t>
        </is>
      </c>
      <c r="D12" s="7" t="n">
        <v>9397762</v>
      </c>
      <c r="E12" s="8" t="n"/>
      <c r="F12" s="8" t="n"/>
      <c r="G12" s="8" t="n"/>
      <c r="H12" s="8" t="n"/>
    </row>
    <row r="13">
      <c r="A13" s="6" t="inlineStr">
        <is>
          <t>N.° de estaciones fotográficas declaradas</t>
        </is>
      </c>
      <c r="B13" s="7" t="inlineStr">
        <is>
          <t>Sin registro en la ficha DT</t>
        </is>
      </c>
      <c r="C13" s="6" t="inlineStr">
        <is>
          <t>Estaciones dentro del polígono</t>
        </is>
      </c>
      <c r="D13" s="7" t="inlineStr">
        <is>
          <t>Por determinar</t>
        </is>
      </c>
      <c r="E13" s="8" t="n"/>
      <c r="F13" s="8" t="n"/>
      <c r="G13" s="8" t="n"/>
      <c r="H13" s="8" t="n"/>
    </row>
    <row r="14"/>
    <row r="15" ht="84" customHeight="1">
      <c r="A15"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con predominio de pendientes muy fuertes (&gt;27° en el 93% del área), altamente susceptible a procesos erosivos si se pierde la cobertura vegetal.</t>
        </is>
      </c>
      <c r="B15" s="39" t="n"/>
      <c r="C15" s="39" t="n"/>
      <c r="D15" s="39" t="n"/>
      <c r="E15" s="39" t="n"/>
      <c r="F15" s="39" t="n"/>
      <c r="G15" s="40" t="n"/>
    </row>
  </sheetData>
  <mergeCells count="8">
    <mergeCell ref="A1:G1"/>
    <mergeCell ref="A8:G8"/>
    <mergeCell ref="A3:G3"/>
    <mergeCell ref="A6:G6"/>
    <mergeCell ref="A4:G4"/>
    <mergeCell ref="A2:G2"/>
    <mergeCell ref="A15:G15"/>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9</t>
        </is>
      </c>
    </row>
    <row r="6" ht="24" customHeight="1">
      <c r="A6" s="4" t="inlineStr">
        <is>
          <t>Distrito de San Miguel de El Faique · Provincia de Huancabamba · Comparación de los bloques preliminares de intervención de la misma microcuenca</t>
        </is>
      </c>
    </row>
    <row r="7"/>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2" t="inlineStr">
        <is>
          <t>► 9</t>
        </is>
      </c>
      <c r="B10" s="26" t="n">
        <v>109.86</v>
      </c>
      <c r="C10" s="27" t="n">
        <v>40.1</v>
      </c>
      <c r="D10" s="13" t="inlineStr">
        <is>
          <t>1529 – 2264</t>
        </is>
      </c>
      <c r="E10" s="13" t="n">
        <v>735</v>
      </c>
      <c r="F10" s="13" t="n">
        <v>34.82</v>
      </c>
      <c r="G10" s="28" t="n">
        <v>0.5745</v>
      </c>
      <c r="H10" s="27" t="n">
        <v>90.23999999999999</v>
      </c>
      <c r="I10" s="27" t="n">
        <v>11.68</v>
      </c>
    </row>
    <row r="11">
      <c r="A11" s="14" t="inlineStr">
        <is>
          <t>M22B1</t>
        </is>
      </c>
      <c r="B11" s="29" t="n">
        <v>55.17</v>
      </c>
      <c r="C11" s="21" t="n">
        <v>20.14</v>
      </c>
      <c r="D11" s="15" t="inlineStr">
        <is>
          <t>3216 – 3436</t>
        </is>
      </c>
      <c r="E11" s="15" t="n">
        <v>220</v>
      </c>
      <c r="F11" s="15" t="n">
        <v>19.98</v>
      </c>
      <c r="G11" s="20" t="n">
        <v>0.594</v>
      </c>
      <c r="H11" s="21" t="n">
        <v>91.05</v>
      </c>
      <c r="I11" s="21" t="n">
        <v>4.1</v>
      </c>
    </row>
    <row r="12">
      <c r="A12" s="7" t="inlineStr">
        <is>
          <t>35</t>
        </is>
      </c>
      <c r="B12" s="30" t="n">
        <v>30.8</v>
      </c>
      <c r="C12" s="19" t="n">
        <v>11.24</v>
      </c>
      <c r="D12" s="11" t="inlineStr">
        <is>
          <t>1376 – 1621</t>
        </is>
      </c>
      <c r="E12" s="11" t="n">
        <v>245</v>
      </c>
      <c r="F12" s="11" t="n">
        <v>33.66</v>
      </c>
      <c r="G12" s="18" t="n">
        <v>0.6245000000000001</v>
      </c>
      <c r="H12" s="19" t="n">
        <v>98.17</v>
      </c>
      <c r="I12" s="19" t="n">
        <v>1.19</v>
      </c>
    </row>
    <row r="13">
      <c r="A13" s="14" t="inlineStr">
        <is>
          <t>44</t>
        </is>
      </c>
      <c r="B13" s="29" t="n">
        <v>28.23</v>
      </c>
      <c r="C13" s="21" t="n">
        <v>10.3</v>
      </c>
      <c r="D13" s="15" t="inlineStr">
        <is>
          <t>3091 – 3277</t>
        </is>
      </c>
      <c r="E13" s="15" t="n">
        <v>186</v>
      </c>
      <c r="F13" s="15" t="n">
        <v>22.21</v>
      </c>
      <c r="G13" s="20" t="n">
        <v>0.5113</v>
      </c>
      <c r="H13" s="21" t="n">
        <v>83.84999999999999</v>
      </c>
      <c r="I13" s="21" t="n">
        <v>52.06</v>
      </c>
    </row>
    <row r="14">
      <c r="A14" s="7" t="inlineStr">
        <is>
          <t>43</t>
        </is>
      </c>
      <c r="B14" s="30" t="n">
        <v>23.17</v>
      </c>
      <c r="C14" s="19" t="n">
        <v>8.460000000000001</v>
      </c>
      <c r="D14" s="11" t="inlineStr">
        <is>
          <t>251 – 811</t>
        </is>
      </c>
      <c r="E14" s="11" t="n">
        <v>560</v>
      </c>
      <c r="F14" s="11" t="n">
        <v>31.39</v>
      </c>
      <c r="G14" s="18" t="n">
        <v>0.5515</v>
      </c>
      <c r="H14" s="19" t="n">
        <v>78.91</v>
      </c>
      <c r="I14" s="19" t="n">
        <v>21.28</v>
      </c>
    </row>
    <row r="15">
      <c r="A15" s="14" t="inlineStr">
        <is>
          <t>47</t>
        </is>
      </c>
      <c r="B15" s="29" t="n">
        <v>13.55</v>
      </c>
      <c r="C15" s="21" t="n">
        <v>4.95</v>
      </c>
      <c r="D15" s="15" t="inlineStr">
        <is>
          <t>2105 – 2333</t>
        </is>
      </c>
      <c r="E15" s="15" t="n">
        <v>228</v>
      </c>
      <c r="F15" s="15" t="n">
        <v>32.43</v>
      </c>
      <c r="G15" s="20" t="n">
        <v>0.5936</v>
      </c>
      <c r="H15" s="21" t="n">
        <v>91.26000000000001</v>
      </c>
      <c r="I15" s="21" t="n">
        <v>9.84</v>
      </c>
    </row>
    <row r="16">
      <c r="A16" s="7" t="inlineStr">
        <is>
          <t>67</t>
        </is>
      </c>
      <c r="B16" s="30" t="n">
        <v>13.18</v>
      </c>
      <c r="C16" s="19" t="n">
        <v>4.81</v>
      </c>
      <c r="D16" s="11" t="inlineStr">
        <is>
          <t>1575 – 1770</t>
        </is>
      </c>
      <c r="E16" s="11" t="n">
        <v>195</v>
      </c>
      <c r="F16" s="11" t="n">
        <v>30.33</v>
      </c>
      <c r="G16" s="18" t="n">
        <v>0.6052999999999999</v>
      </c>
      <c r="H16" s="19" t="n">
        <v>97.5</v>
      </c>
      <c r="I16" s="19" t="n">
        <v>2.12</v>
      </c>
    </row>
    <row r="17">
      <c r="A17" s="16" t="inlineStr">
        <is>
          <t>TOTAL / PROMEDIO</t>
        </is>
      </c>
      <c r="B17" s="31">
        <f>SUM(B10:B16)</f>
        <v>273.96</v>
      </c>
      <c r="C17" s="23">
        <f>SUM(C10:C16)</f>
        <v>100.0</v>
      </c>
      <c r="D17" s="17" t="inlineStr">
        <is>
          <t>251 – 3436</t>
        </is>
      </c>
      <c r="E17" s="17" t="inlineStr"/>
      <c r="F17" s="17">
        <f>ROUND(AVERAGE(F10:F16),2)</f>
        <v>29.26</v>
      </c>
      <c r="G17" s="22">
        <f>ROUND(AVERAGE(G10:G16),4)</f>
        <v>0.5792</v>
      </c>
      <c r="H17" s="23">
        <f>ROUND(AVERAGE(H10:H16),2)</f>
        <v>90.14</v>
      </c>
      <c r="I17" s="23">
        <f>ROUND(AVERAGE(I10:I16),2)</f>
        <v>14.61</v>
      </c>
    </row>
    <row r="18"/>
    <row r="19" ht="84" customHeight="1">
      <c r="A19" s="9" t="inlineStr">
        <is>
          <t>LECTURA INTRAMICROCUENCA. El bloque 9 ocupa el puesto 1 de 7 por superficie dentro de la microcuenca C1076-Q9586 (40.10 % de las 273.96 ha preliminares de la microcuenca). Su pendiente promedio (34.82 %, clase «25-50% (Mod. escarpado)») es la 7.ª más baja de 7 y se sitúa por encima del promedio de la microcuenca (29.26 %). Su MSAVI 2024 (0.5745) es el 5.º de 7 y queda por debajo del promedio local (0.5793). Amplitud altitudinal del bloque: 735 m (1529–2264 msnm). El cuadro conserva todos los bloques catalogados en la microcuenca, incluidos los descartados en el tamizaje, para referencia del conjunto. Los bloques sin ficha DT figuran con sus parámetros de gabinete. BRECHA ESPECTRAL. El 11.68 % de la superficie del bloque (12.836 ha de 109.861 ha) se sitúa bajo el umbral MSAVI 0.4976, por debajo del promedio local de la microcuenca (14.61 %) calculado sobre los bloques con dato MSAVI disponible.</t>
        </is>
      </c>
      <c r="B19" s="39" t="n"/>
      <c r="C19" s="39" t="n"/>
      <c r="D19" s="39" t="n"/>
      <c r="E19" s="39" t="n"/>
      <c r="F19" s="39" t="n"/>
      <c r="G19" s="39" t="n"/>
      <c r="H19" s="40" t="n"/>
    </row>
    <row r="20"/>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39" t="n"/>
      <c r="C21" s="39" t="n"/>
      <c r="D21" s="39" t="n"/>
      <c r="E21" s="39" t="n"/>
      <c r="F21" s="39" t="n"/>
      <c r="G21" s="39" t="n"/>
      <c r="H21" s="40" t="n"/>
    </row>
  </sheetData>
  <mergeCells count="9">
    <mergeCell ref="A1:I1"/>
    <mergeCell ref="A4:I4"/>
    <mergeCell ref="A3:I3"/>
    <mergeCell ref="A21:I21"/>
    <mergeCell ref="A2:I2"/>
    <mergeCell ref="A19:I19"/>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9</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La ficha DT declara «C1076-Q9584»; el catálogo maestro V5/V6 asigna el bloque a «C1076-Q9586»</t>
        </is>
      </c>
      <c r="D10" s="33" t="inlineStr">
        <is>
          <t>SUSTANTIVA</t>
        </is>
      </c>
      <c r="E10" s="32" t="inlineStr">
        <is>
          <t>Se conserva el código del catálogo maestro para todo cálculo intramicrocuenca. La declaración de la ficha debe corregirse en la siguiente versión del formato V5.</t>
        </is>
      </c>
    </row>
    <row r="11" ht="48" customHeight="1">
      <c r="A11" s="34" t="inlineStr">
        <is>
          <t>D-02</t>
        </is>
      </c>
      <c r="B11" s="34" t="inlineStr">
        <is>
          <t>UTM del punto de muestreo</t>
        </is>
      </c>
      <c r="C11" s="34" t="inlineStr">
        <is>
          <t>Las celdas de UTM ESTE / NORTE del punto de muestreo están vacías o incompletas en la ficha DT</t>
        </is>
      </c>
      <c r="D11" s="33" t="inlineStr">
        <is>
          <t>SUSTANTIVA</t>
        </is>
      </c>
      <c r="E11" s="34" t="inlineStr">
        <is>
          <t>No se sustituye por el centroide del catálogo. Se consigna «Por registrar en campo».</t>
        </is>
      </c>
    </row>
    <row r="12" ht="48" customHeight="1">
      <c r="A12" s="32" t="inlineStr">
        <is>
          <t>D-03</t>
        </is>
      </c>
      <c r="B12" s="32" t="inlineStr">
        <is>
          <t>Superficie del polígono</t>
        </is>
      </c>
      <c r="C12" s="32" t="inlineStr">
        <is>
          <t>La superficie clasificada por el NDVI 2025 (109.882 ha) coincide con la de catálogo (109.86 ha) dentro del ±2 % (+0.02 %)</t>
        </is>
      </c>
      <c r="D12" s="35" t="inlineStr">
        <is>
          <t>CONFORME</t>
        </is>
      </c>
      <c r="E12" s="32" t="inlineStr">
        <is>
          <t>Sin acción: la segmentación valida la geometría del bloque.</t>
        </is>
      </c>
    </row>
    <row r="13" ht="48" customHeight="1">
      <c r="A13" s="34" t="inlineStr">
        <is>
          <t>D-04</t>
        </is>
      </c>
      <c r="B13" s="34" t="inlineStr">
        <is>
          <t>Rango de pendiente dominante</t>
        </is>
      </c>
      <c r="C13" s="34" t="inlineStr">
        <is>
          <t>La ficha DT declara «50-75% (Escarpado)»; la estadística zonal sobre el MDE arroja una pendiente promedio de 34.82 %, que corresponde a la clase «25-50% (Mod. escarpado)»</t>
        </is>
      </c>
      <c r="D13" s="13" t="inlineStr">
        <is>
          <t>NO SUSTANTIVA</t>
        </is>
      </c>
      <c r="E13" s="34"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2" t="inlineStr">
        <is>
          <t>D-05</t>
        </is>
      </c>
      <c r="B14" s="32" t="inlineStr">
        <is>
          <t>Cobertura vegetal total</t>
        </is>
      </c>
      <c r="C14" s="32" t="inlineStr">
        <is>
          <t>La ficha DT estima 40 % de cobertura vegetal en campo; el NDVI mediana 2025 clasifica 100.00 % del polígono en clases de vegetación</t>
        </is>
      </c>
      <c r="D14" s="13" t="inlineStr">
        <is>
          <t>NO SUSTANTIVA</t>
        </is>
      </c>
      <c r="E14" s="32"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4" t="inlineStr">
        <is>
          <t>D-06</t>
        </is>
      </c>
      <c r="B15" s="34" t="inlineStr">
        <is>
          <t>Elenco florístico</t>
        </is>
      </c>
      <c r="C15" s="34" t="inlineStr">
        <is>
          <t>La ficha registra 11 taxones, por debajo del mínimo de 15 que exige el formato V5</t>
        </is>
      </c>
      <c r="D15" s="33" t="inlineStr">
        <is>
          <t>SUSTANTIVA</t>
        </is>
      </c>
      <c r="E15" s="34" t="inlineStr">
        <is>
          <t>Registro florístico preliminar, sin colecta ni determinación botánica formal. Debe cerrarse con colecta botánica en la siguiente campaña.</t>
        </is>
      </c>
    </row>
    <row r="16" ht="48" customHeight="1">
      <c r="A16" s="32" t="inlineStr">
        <is>
          <t>D-07</t>
        </is>
      </c>
      <c r="B16" s="32" t="inlineStr">
        <is>
          <t>Centro poblado asociado</t>
        </is>
      </c>
      <c r="C16" s="32" t="inlineStr">
        <is>
          <t>La ficha DT declara «San Miguel de El Faique (sector La Unión)»; el cruce INEI-Bloques V5 identifica 2 centro(s) poblado(s) en el bloque: EL HIGUERON, LA CAPILLA</t>
        </is>
      </c>
      <c r="D16" s="35" t="inlineStr">
        <is>
          <t>CONFORME</t>
        </is>
      </c>
      <c r="E16" s="32" t="inlineStr">
        <is>
          <t>Se conserva el registro de campo como referencia y se adopta el listado INEI para el diagnóstico social y el cálculo de población beneficiaria.</t>
        </is>
      </c>
    </row>
    <row r="17" ht="48" customHeight="1">
      <c r="A17" s="34" t="inlineStr">
        <is>
          <t>D-08</t>
        </is>
      </c>
      <c r="B17" s="34" t="inlineStr">
        <is>
          <t>Peligro integrado (MCA-AHP)</t>
        </is>
      </c>
      <c r="C17" s="34" t="inlineStr">
        <is>
          <t>El nivel de peligro integrado no está disponible en los insumos de este entregable</t>
        </is>
      </c>
      <c r="D17" s="33" t="inlineStr">
        <is>
          <t>SUSTANTIVA</t>
        </is>
      </c>
      <c r="E17" s="34" t="inlineStr">
        <is>
          <t>Debe tomarse del modelamiento de mesolocalización (PMM + EPH + PGI ponderados por AHP) antes de fijar la prioridad definitiva de intervención del bloque.</t>
        </is>
      </c>
    </row>
    <row r="18" ht="48" customHeight="1">
      <c r="A18" s="34" t="inlineStr">
        <is>
          <t>D-09</t>
        </is>
      </c>
      <c r="B18" s="34" t="inlineStr">
        <is>
          <t>Distribución areal MSAVI 2024</t>
        </is>
      </c>
      <c r="C18" s="34" t="inlineStr">
        <is>
          <t>La distribución por clase de MSAVI no figuraba en los insumos del entregable y se consignaba «Por determinar»; se incorpora la estadística zonal del ráster MSAVI clasificado (357 polígonos, 109.861 ha)</t>
        </is>
      </c>
      <c r="D18" s="33" t="inlineStr">
        <is>
          <t>CORREGIDO</t>
        </is>
      </c>
      <c r="E18"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9" ht="48" customHeight="1">
      <c r="A19" s="34" t="inlineStr">
        <is>
          <t>D-10</t>
        </is>
      </c>
      <c r="B19" s="34" t="inlineStr">
        <is>
          <t>Superficie MSAVI vs. catálogo</t>
        </is>
      </c>
      <c r="C19" s="34" t="inlineStr">
        <is>
          <t>La superficie total clasificada por el MSAVI 2024 (109.861 ha) frente a la de catálogo V5/V6 (109.860 ha): desviación de +0.00 %</t>
        </is>
      </c>
      <c r="D19" s="33" t="inlineStr">
        <is>
          <t>CONFORME</t>
        </is>
      </c>
      <c r="E19" s="34" t="inlineStr">
        <is>
          <t>Sin acción: la segmentación del ráster valida la geometría del bloque dentro del ±2 %.</t>
        </is>
      </c>
    </row>
    <row r="20" ht="48" customHeight="1">
      <c r="A20" s="34" t="inlineStr">
        <is>
          <t>D-11</t>
        </is>
      </c>
      <c r="B20" s="34" t="inlineStr">
        <is>
          <t>Media MSAVI vs. clase DN dominante</t>
        </is>
      </c>
      <c r="C20" s="34" t="inlineStr">
        <is>
          <t>La media del bloque (0.5745) cae en la clase «DN 4 · 0.4976 - 0.6139 (Vigor moderado)»; la clase de mayor superficie es «DN 4 · 0.4976 - 0.6139 (Vigor moderado)», con 61.16 % del bloque. Superficie bajo el umbral 0.4976: 12.836 ha (11.68 %)</t>
        </is>
      </c>
      <c r="D20" s="33" t="inlineStr">
        <is>
          <t>CONFORME</t>
        </is>
      </c>
      <c r="E20" s="34" t="inlineStr">
        <is>
          <t>Sin acción: la media del bloque y la clase de mayor superficie coinciden.</t>
        </is>
      </c>
    </row>
    <row r="21"/>
    <row r="22">
      <c r="A22" s="16" t="inlineStr">
        <is>
          <t>RESUMEN</t>
        </is>
      </c>
      <c r="B22" s="17" t="inlineStr">
        <is>
          <t>11 verificaciones</t>
        </is>
      </c>
      <c r="C22" s="17" t="inlineStr">
        <is>
          <t>CONFORME: 4 · CORREGIDO: 1 · NO SUSTANTIVA: 2 · SUSTANTIVA: 4</t>
        </is>
      </c>
      <c r="D22" s="17" t="inlineStr"/>
      <c r="E22" s="17" t="inlineStr"/>
    </row>
    <row r="23"/>
    <row r="24" ht="60" customHeight="1">
      <c r="A2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4" s="39" t="n"/>
      <c r="C24" s="39" t="n"/>
      <c r="D24" s="39" t="n"/>
      <c r="E24" s="40" t="n"/>
    </row>
  </sheetData>
  <mergeCells count="8">
    <mergeCell ref="A4:E4"/>
    <mergeCell ref="A24:E24"/>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9 — IN Piura</dc:title>
  <dc:subject>Diagnóstico Territorial por bloque de intervención</dc:subject>
  <dcterms:created xsi:type="dcterms:W3CDTF">2026-09-08T03:39:55Z</dcterms:created>
  <dcterms:modified xsi:type="dcterms:W3CDTF">2026-09-10T00:28:30Z</dcterms:modified>
</cp:coreProperties>
</file>