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M4B4</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M4B4</t>
        </is>
      </c>
      <c r="C9" s="6" t="inlineStr">
        <is>
          <t>Microcuenca (catálogo)</t>
        </is>
      </c>
      <c r="D9" s="7" t="inlineStr">
        <is>
          <t>C1076-Q9589</t>
        </is>
      </c>
      <c r="E9" s="8" t="n"/>
      <c r="F9" s="8" t="n"/>
    </row>
    <row r="10">
      <c r="A10" s="6" t="inlineStr">
        <is>
          <t>Zona de planificación</t>
        </is>
      </c>
      <c r="B10" s="7" t="inlineStr">
        <is>
          <t>Z14</t>
        </is>
      </c>
      <c r="C10" s="6" t="inlineStr">
        <is>
          <t>Microcuenca declarada en ficha DT</t>
        </is>
      </c>
      <c r="D10" s="7" t="inlineStr">
        <is>
          <t>C1076-Q9584 (según ficha — valor por defecto de plantilla; catálogo: C1076-Q9589)</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Hualcas I y II (Hualcas Alto)</t>
        </is>
      </c>
      <c r="C13" s="6" t="inlineStr">
        <is>
          <t>Comunidad campesina</t>
        </is>
      </c>
      <c r="D13" s="7" t="inlineStr">
        <is>
          <t>No consignada</t>
        </is>
      </c>
      <c r="E13" s="8" t="n"/>
      <c r="F13" s="8" t="n"/>
    </row>
    <row r="14">
      <c r="A14" s="6" t="inlineStr">
        <is>
          <t>Superficie de catálogo (V5/V6), ha</t>
        </is>
      </c>
      <c r="B14" s="7" t="n">
        <v>289.91</v>
      </c>
      <c r="C14" s="6" t="inlineStr">
        <is>
          <t>Fuente de superficie</t>
        </is>
      </c>
      <c r="D14" s="7" t="inlineStr">
        <is>
          <t>Catálogo maestro Bloques V5/V6</t>
        </is>
      </c>
      <c r="E14" s="8" t="n"/>
      <c r="F14" s="8" t="n"/>
    </row>
    <row r="15">
      <c r="A15" s="6" t="inlineStr">
        <is>
          <t>Centroide UTM ESTE (m)</t>
        </is>
      </c>
      <c r="B15" s="7" t="n">
        <v>642775</v>
      </c>
      <c r="C15" s="6" t="inlineStr">
        <is>
          <t>Centroide UTM NORTE (m)</t>
        </is>
      </c>
      <c r="D15" s="7" t="n">
        <v>9388574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314</v>
      </c>
      <c r="C19" s="6" t="inlineStr">
        <is>
          <t>Altitud máxima (msnm)</t>
        </is>
      </c>
      <c r="D19" s="7" t="n">
        <v>686</v>
      </c>
      <c r="E19" s="8" t="n"/>
      <c r="F19" s="8" t="n"/>
    </row>
    <row r="20">
      <c r="A20" s="6" t="inlineStr">
        <is>
          <t>Amplitud altitudinal (m)</t>
        </is>
      </c>
      <c r="B20" s="7" t="n">
        <v>372</v>
      </c>
      <c r="C20" s="6" t="inlineStr">
        <is>
          <t>Piso altitudinal dominante</t>
        </is>
      </c>
      <c r="D20" s="7" t="inlineStr">
        <is>
          <t>&lt;1000 m (Yunga)</t>
        </is>
      </c>
      <c r="E20" s="8" t="n"/>
      <c r="F20" s="8" t="n"/>
    </row>
    <row r="21">
      <c r="A21" s="6" t="inlineStr">
        <is>
          <t>Pendiente promedio (%)</t>
        </is>
      </c>
      <c r="B21" s="7" t="n">
        <v>16.23</v>
      </c>
      <c r="C21" s="6" t="inlineStr">
        <is>
          <t>Pendiente promedio (grados)</t>
        </is>
      </c>
      <c r="D21" s="7" t="n">
        <v>9.199999999999999</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Norte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0.3198</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(58.75 %)</t>
        </is>
      </c>
      <c r="E29" s="8" t="n"/>
      <c r="F29" s="8" t="n"/>
    </row>
    <row r="30">
      <c r="A30" s="6" t="inlineStr">
        <is>
          <t>Superficie clasificada NDVI 2025 (ha)</t>
        </is>
      </c>
      <c r="B30" s="7" t="n">
        <v>290</v>
      </c>
      <c r="C30" s="6" t="inlineStr">
        <is>
          <t>Desviación frente al catálogo (%)</t>
        </is>
      </c>
      <c r="D30" s="7" t="n">
        <v>0.03</v>
      </c>
      <c r="E30" s="8" t="n"/>
      <c r="F30" s="8" t="n"/>
    </row>
    <row r="31">
      <c r="A31" s="6" t="inlineStr">
        <is>
          <t>Superficie clasificada MSAVI 2024 (ha)</t>
        </is>
      </c>
      <c r="B31" s="36" t="n">
        <v>289.914</v>
      </c>
      <c r="C31" s="6" t="inlineStr">
        <is>
          <t>Desviación MSAVI frente al catálogo (%)</t>
        </is>
      </c>
      <c r="D31" s="37" t="n">
        <v>0</v>
      </c>
      <c r="E31" s="8" t="n"/>
      <c r="F31" s="8" t="n"/>
    </row>
    <row r="32">
      <c r="A32" s="6" t="inlineStr">
        <is>
          <t>Superficie bajo umbral MSAVI 0.4976 (ha)</t>
        </is>
      </c>
      <c r="B32" s="36" t="n">
        <v>287.696</v>
      </c>
      <c r="C32" s="6" t="inlineStr">
        <is>
          <t>% del bloque bajo umbral (brecha espectral)</t>
        </is>
      </c>
      <c r="D32" s="37" t="n">
        <v>99.23</v>
      </c>
      <c r="E32" s="8" t="n"/>
      <c r="F32" s="8" t="n"/>
    </row>
    <row r="33">
      <c r="A33" s="6" t="inlineStr">
        <is>
          <t>Clase DN dominante (MSAVI 2024)</t>
        </is>
      </c>
      <c r="B33" s="7" t="inlineStr">
        <is>
          <t>DN 2 · 0.2650 - 0.3813 (Vigor muy bajo)</t>
        </is>
      </c>
      <c r="C33" s="6" t="inlineStr">
        <is>
          <t>N.° de polígonos MSAVI del bloque</t>
        </is>
      </c>
      <c r="D33" s="38" t="n">
        <v>696</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150 ha (de 289.91 ha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65</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7</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t>
        </is>
      </c>
      <c r="C44" s="6" t="inlineStr">
        <is>
          <t>Fecha de evaluación</t>
        </is>
      </c>
      <c r="D44" s="7" t="inlineStr">
        <is>
          <t>2026-08-10</t>
        </is>
      </c>
      <c r="E44" s="8" t="n"/>
      <c r="F44" s="8" t="n"/>
    </row>
    <row r="45">
      <c r="A45" s="6" t="inlineStr">
        <is>
          <t>Hora de registro</t>
        </is>
      </c>
      <c r="B45" s="7" t="inlineStr">
        <is>
          <t>11:46 h</t>
        </is>
      </c>
      <c r="C45" s="6" t="inlineStr">
        <is>
          <t>Correlativo de ficha</t>
        </is>
      </c>
      <c r="D45" s="7" t="inlineStr">
        <is>
          <t>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No consignada en la ficha</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39" t="n"/>
      <c r="C57" s="39" t="n"/>
      <c r="D57" s="39" t="n"/>
      <c r="E57" s="39" t="n"/>
      <c r="F57" s="40"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M4B4</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0.009900000000000001</v>
      </c>
      <c r="C10" s="19">
        <f>ROUND(B10/$B$15*100,2)</f>
        <v/>
      </c>
      <c r="D10" s="11" t="inlineStr">
        <is>
          <t>Vigor alto</t>
        </is>
      </c>
      <c r="E10" s="11" t="inlineStr">
        <is>
          <t>Sobre umbral</t>
        </is>
      </c>
    </row>
    <row r="11">
      <c r="A11" s="12" t="inlineStr">
        <is>
          <t>0.4976 - 0.6139 · DN 4</t>
        </is>
      </c>
      <c r="B11" s="20" t="n">
        <v>2.2083</v>
      </c>
      <c r="C11" s="21">
        <f>ROUND(B11/$B$15*100,2)</f>
        <v/>
      </c>
      <c r="D11" s="13" t="inlineStr">
        <is>
          <t>Vigor moderado</t>
        </is>
      </c>
      <c r="E11" s="13" t="inlineStr">
        <is>
          <t>Sobre umbral</t>
        </is>
      </c>
    </row>
    <row r="12">
      <c r="A12" s="7" t="inlineStr">
        <is>
          <t>0.3813 - 0.4976 · DN 3</t>
        </is>
      </c>
      <c r="B12" s="18" t="n">
        <v>44.6767</v>
      </c>
      <c r="C12" s="19">
        <f>ROUND(B12/$B$15*100,2)</f>
        <v/>
      </c>
      <c r="D12" s="11" t="inlineStr">
        <is>
          <t>Vigor bajo</t>
        </is>
      </c>
      <c r="E12" s="11" t="inlineStr">
        <is>
          <t>BAJO umbral 0.4976</t>
        </is>
      </c>
    </row>
    <row r="13">
      <c r="A13" s="14" t="inlineStr">
        <is>
          <t>0.2650 - 0.3813 · DN 2</t>
        </is>
      </c>
      <c r="B13" s="29" t="n">
        <v>182.6038</v>
      </c>
      <c r="C13" s="28">
        <f>ROUND(B13/$B$15*100,2)</f>
        <v/>
      </c>
      <c r="D13" s="15" t="inlineStr">
        <is>
          <t>Vigor muy bajo</t>
        </is>
      </c>
      <c r="E13" s="15" t="inlineStr">
        <is>
          <t>BAJO umbral 0.4976</t>
        </is>
      </c>
    </row>
    <row r="14">
      <c r="A14" s="7" t="inlineStr">
        <is>
          <t>&lt;= 0.2650 · DN 1</t>
        </is>
      </c>
      <c r="B14" s="18" t="n">
        <v>60.4158</v>
      </c>
      <c r="C14" s="19">
        <f>ROUND(B14/$B$15*100,2)</f>
        <v/>
      </c>
      <c r="D14" s="11" t="inlineStr">
        <is>
          <t>Suelo desnudo / no vegetal</t>
        </is>
      </c>
      <c r="E14" s="11" t="inlineStr">
        <is>
          <t>BAJO umbral 0.4976</t>
        </is>
      </c>
    </row>
    <row r="15" ht="30" customHeight="1">
      <c r="A15" s="41" t="inlineStr">
        <is>
          <t>TOTAL CLASIFICADO MSAVI 2024</t>
        </is>
      </c>
      <c r="B15" s="42">
        <f>SUM(B10:B14)</f>
        <v/>
      </c>
      <c r="C15" s="43">
        <f>SUM(C10:C14)</f>
        <v/>
      </c>
      <c r="D15" s="41" t="inlineStr">
        <is>
          <t>Suma de la distribución areal · 696 polígonos</t>
        </is>
      </c>
      <c r="E15" s="41" t="inlineStr">
        <is>
          <t>—</t>
        </is>
      </c>
    </row>
    <row r="16" ht="30" customHeight="1">
      <c r="A16" s="44" t="inlineStr">
        <is>
          <t>Superficie SOBRE umbral 0.4976 (ha)</t>
        </is>
      </c>
      <c r="B16" s="45">
        <f>SUM(B10:B11)</f>
        <v/>
      </c>
      <c r="C16" s="46">
        <f>ROUND(B16/B15*100,2)</f>
        <v/>
      </c>
      <c r="D16" s="44" t="inlineStr">
        <is>
          <t>Vigor alto y moderado (DN 4 y DN 5)</t>
        </is>
      </c>
      <c r="E16" s="44" t="inlineStr">
        <is>
          <t>Sobre umbral 0.4976</t>
        </is>
      </c>
    </row>
    <row r="17" ht="30" customHeight="1">
      <c r="A17" s="44" t="inlineStr">
        <is>
          <t>Superficie BAJO umbral 0.4976 (ha) — brecha</t>
        </is>
      </c>
      <c r="B17" s="45">
        <f>SUM(B12:B14)</f>
        <v/>
      </c>
      <c r="C17" s="46">
        <f>ROUND(B17/B15*100,2)</f>
        <v/>
      </c>
      <c r="D17" s="44" t="inlineStr">
        <is>
          <t>Vigor bajo, muy bajo y suelo desnudo (DN 1 a DN 3)</t>
        </is>
      </c>
      <c r="E17" s="44" t="inlineStr">
        <is>
          <t>Base para el indicador de brecha (R.M. N.° 00213-2024-MINAM)</t>
        </is>
      </c>
    </row>
    <row r="18" ht="30" customHeight="1">
      <c r="A18" s="44" t="inlineStr">
        <is>
          <t>Superficie de catálogo (V5/V6) — contraste MSAVI</t>
        </is>
      </c>
      <c r="B18" s="45" t="n">
        <v>289.91</v>
      </c>
      <c r="C18" s="47" t="inlineStr">
        <is>
          <t>—</t>
        </is>
      </c>
      <c r="D18" s="44" t="inlineStr">
        <is>
          <t>Desviación planimétrica frente al catálogo</t>
        </is>
      </c>
      <c r="E18" s="44" t="inlineStr">
        <is>
          <t>+0.00 %</t>
        </is>
      </c>
    </row>
    <row r="19">
      <c r="A19" s="16" t="inlineStr">
        <is>
          <t>MSAVI 2024 — MEDIA DEL BLOQUE</t>
        </is>
      </c>
      <c r="B19" s="17" t="n">
        <v>0.319788</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696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(0.3198) se conserva del catálogo maestro y es dato oficial; la fila resaltada indica la clase en la que cae dicha media. Los totales y porcentajes se calculan con fórmulas sobre las filas del cuadro.</t>
        </is>
      </c>
      <c r="B21" s="39" t="n"/>
      <c r="C21" s="39" t="n"/>
      <c r="D21" s="39" t="n"/>
      <c r="E21" s="40"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2.9907</v>
      </c>
      <c r="C25" s="19" t="n">
        <v>1.03</v>
      </c>
      <c r="D25" s="11" t="inlineStr">
        <is>
          <t>Dosel continuo, matorral denso o mosaico agroforestal</t>
        </is>
      </c>
      <c r="E25" s="11" t="inlineStr"/>
    </row>
    <row r="26">
      <c r="A26" s="12" t="inlineStr">
        <is>
          <t>Vegetación mediana</t>
        </is>
      </c>
      <c r="B26" s="20" t="n">
        <v>114.0808</v>
      </c>
      <c r="C26" s="21" t="n">
        <v>39.34</v>
      </c>
      <c r="D26" s="13" t="inlineStr">
        <is>
          <t>Pastizal cultivado, matorral ralo, parcelas agrícolas</t>
        </is>
      </c>
      <c r="E26" s="13" t="inlineStr"/>
    </row>
    <row r="27">
      <c r="A27" s="7" t="inlineStr">
        <is>
          <t>Vegetación ligera</t>
        </is>
      </c>
      <c r="B27" s="18" t="n">
        <v>170.379</v>
      </c>
      <c r="C27" s="19" t="n">
        <v>58.75</v>
      </c>
      <c r="D27" s="11" t="inlineStr">
        <is>
          <t>Cobertura discontinua, suelo parcialmente expuesto</t>
        </is>
      </c>
      <c r="E27" s="11" t="inlineStr"/>
    </row>
    <row r="28">
      <c r="A28" s="12" t="inlineStr">
        <is>
          <t>Tierra desnuda</t>
        </is>
      </c>
      <c r="B28" s="20" t="n">
        <v>2.5494</v>
      </c>
      <c r="C28" s="21" t="n">
        <v>0.88</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289.91</v>
      </c>
      <c r="C30" s="25" t="inlineStr">
        <is>
          <t>—</t>
        </is>
      </c>
      <c r="D30" s="25" t="inlineStr">
        <is>
          <t>Desviación planimétrica frente al catálogo</t>
        </is>
      </c>
      <c r="E30" s="25" t="inlineStr">
        <is>
          <t>+0.03 %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65 % frente a un 1.03 % del polígono clasificado como «Vegetación alta» por el NDVI 2025; la observación de campo corresponde a una parcela o recorrido puntual y no es estadísticamente representativa de las 289.910 ha del bloque.</t>
        </is>
      </c>
      <c r="B32" s="39" t="n"/>
      <c r="C32" s="39" t="n"/>
      <c r="D32" s="39" t="n"/>
      <c r="E32" s="40"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M4B4</t>
        </is>
      </c>
    </row>
    <row r="6" ht="24" customHeight="1">
      <c r="A6" s="4" t="inlineStr">
        <is>
          <t>Levantamiento del 2026-08-10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643261</v>
      </c>
      <c r="D10" s="26" t="n">
        <v>9389812</v>
      </c>
      <c r="E10" s="11" t="n">
        <v>1330</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642775</v>
      </c>
      <c r="C13" s="6" t="inlineStr">
        <is>
          <t>Centroide del bloque — UTM NORTE (m)</t>
        </is>
      </c>
      <c r="D13" s="7" t="n">
        <v>9388574</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56"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ubica en una ladera de colina alta, con pendiente menor a 60%; el terreno se inclina más conforme se asciende. Altitud ≈300 msnm. Presenta AFLORAMIENTO ROCOSO, abundantes rocas semienterradas y piedras medianas a grandes dispersas (pese a que el campo de lista consigna «No»). Zonas con cobertura vegetal remanente. LA LADERA ES EMPLEADA PARA PASTOREO EXTENSIVO DE GANADO CAPRINO del centro poblado próximo. LEÑA APILADA en viviendas próximas. El suelo presenta erosión eólica; estrías y surcos por tránsito de ganado; caminos de herradura dentro del bloque y áreas de suelo desprovistas de vegetación. NOTA (D-01): el punto de muestreo (643 261 E · 9 389 812 N) se sitúa a ≈1.3 km al norte del centroide catastral, SOBRE EL BORDE SEPTENTRIONAL DEL POLÍGONO, Y ES COMPARTIDO CON LA FICHA DE M4B3.</t>
        </is>
      </c>
      <c r="B16" s="39" t="n"/>
      <c r="C16" s="39" t="n"/>
      <c r="D16" s="39" t="n"/>
      <c r="E16" s="39" t="n"/>
      <c r="F16" s="39" t="n"/>
      <c r="G16" s="40"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C1076-Q9589 — BLOQUE M4B4</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C1076-Q9589</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M4B4</t>
        </is>
      </c>
      <c r="B10" s="27" t="n">
        <v>289.91</v>
      </c>
      <c r="C10" s="28" t="n">
        <v>55.33</v>
      </c>
      <c r="D10" s="15" t="inlineStr">
        <is>
          <t>314 – 686</t>
        </is>
      </c>
      <c r="E10" s="15" t="n">
        <v>372</v>
      </c>
      <c r="F10" s="15" t="n">
        <v>16.23</v>
      </c>
      <c r="G10" s="29" t="n">
        <v>0.3198</v>
      </c>
      <c r="H10" s="28" t="n">
        <v>1.03</v>
      </c>
      <c r="I10" s="28" t="n">
        <v>99.23</v>
      </c>
    </row>
    <row r="11">
      <c r="A11" s="12" t="inlineStr">
        <is>
          <t>M4B3</t>
        </is>
      </c>
      <c r="B11" s="30" t="n">
        <v>234.07</v>
      </c>
      <c r="C11" s="21" t="n">
        <v>44.67</v>
      </c>
      <c r="D11" s="13" t="inlineStr">
        <is>
          <t>367 – 682</t>
        </is>
      </c>
      <c r="E11" s="13" t="n">
        <v>315</v>
      </c>
      <c r="F11" s="13" t="n">
        <v>17.22</v>
      </c>
      <c r="G11" s="20" t="n">
        <v>0.3222</v>
      </c>
      <c r="H11" s="21" t="n">
        <v>1.97</v>
      </c>
      <c r="I11" s="21" t="n">
        <v>98.59</v>
      </c>
    </row>
    <row r="12">
      <c r="A12" s="16" t="inlineStr">
        <is>
          <t>TOTAL / PROMEDIO</t>
        </is>
      </c>
      <c r="B12" s="31">
        <f>SUM(B10:B11)</f>
        <v/>
      </c>
      <c r="C12" s="23">
        <f>SUM(C10:C11)</f>
        <v/>
      </c>
      <c r="D12" s="17" t="inlineStr">
        <is>
          <t>314 – 686</t>
        </is>
      </c>
      <c r="E12" s="17" t="inlineStr"/>
      <c r="F12" s="17">
        <f>ROUND(AVERAGE(F10:F11),2)</f>
        <v/>
      </c>
      <c r="G12" s="22">
        <f>ROUND(AVERAGE(G10:G11),4)</f>
        <v/>
      </c>
      <c r="H12" s="23">
        <f>ROUND(AVERAGE(H10:H11),2)</f>
        <v/>
      </c>
      <c r="I12" s="23">
        <f>ROUND(AVERAGE(I10:I11),2)</f>
        <v/>
      </c>
    </row>
    <row r="13"/>
    <row r="14" ht="84" customHeight="1">
      <c r="A14" s="9" t="inlineStr">
        <is>
          <t>LECTURA INTRAMICROCUENCA. El bloque M4B4 ocupa el puesto 1 de 2 por superficie dentro de la microcuenca C1076-Q9589 (55.33 % de las 523.98 ha preliminares de la microcuenca). Su pendiente promedio (16.23 %, clase «15-25% (Fuert. inclinado)») es la 1.ª más baja de 2 y se sitúa por debajo del promedio de la microcuenca (16.73 %). Su MSAVI 2024 (0.3198) es el 2.º de 2 y queda por debajo del promedio local (0.3210). Amplitud altitudinal del bloque: 372 m (314–686 msnm). El cuadro conserva todos los bloques catalogados en la microcuenca, incluidos los descartados en el tamizaje, para referencia del conjunto. Los bloques sin ficha DT figuran con sus parámetros de gabinete. BRECHA ESPECTRAL. El 99.23 % de la superficie del bloque (287.696 ha de 289.914 ha) se sitúa bajo el umbral MSAVI 0.4976, por encima del promedio local de la microcuenca (98.91 %) calculado sobre los bloques con dato MSAVI disponible.</t>
        </is>
      </c>
      <c r="B14" s="39" t="n"/>
      <c r="C14" s="39" t="n"/>
      <c r="D14" s="39" t="n"/>
      <c r="E14" s="39" t="n"/>
      <c r="F14" s="39" t="n"/>
      <c r="G14" s="39" t="n"/>
      <c r="H14" s="40" t="n"/>
    </row>
    <row r="15"/>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39" t="n"/>
      <c r="C16" s="39" t="n"/>
      <c r="D16" s="39" t="n"/>
      <c r="E16" s="39" t="n"/>
      <c r="F16" s="39" t="n"/>
      <c r="G16" s="39" t="n"/>
      <c r="H16" s="40" t="n"/>
    </row>
  </sheetData>
  <mergeCells count="9">
    <mergeCell ref="A1:I1"/>
    <mergeCell ref="A4:I4"/>
    <mergeCell ref="A3:I3"/>
    <mergeCell ref="A2:I2"/>
    <mergeCell ref="A16:I16"/>
    <mergeCell ref="A14:I14"/>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M4B4</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2" t="inlineStr">
        <is>
          <t>D-01</t>
        </is>
      </c>
      <c r="B10" s="32" t="inlineStr">
        <is>
          <t>Código de microcuenca</t>
        </is>
      </c>
      <c r="C10" s="32" t="inlineStr">
        <is>
          <t>La ficha DT declara «C1076-Q9584 (según ficha — valor por defecto de plantilla; catálogo: C1076-Q9589)»; el catálogo maestro V5/V6 asigna el bloque a «C1076-Q9589»</t>
        </is>
      </c>
      <c r="D10" s="33" t="inlineStr">
        <is>
          <t>SUSTANTIVA</t>
        </is>
      </c>
      <c r="E10" s="32" t="inlineStr">
        <is>
          <t>Se conserva el código del catálogo maestro para todo cálculo intramicrocuenca. La declaración de la ficha debe corregirse en la siguiente versión del formato V5.</t>
        </is>
      </c>
    </row>
    <row r="11" ht="48" customHeight="1">
      <c r="A11" s="34" t="inlineStr">
        <is>
          <t>D-02</t>
        </is>
      </c>
      <c r="B11" s="34" t="inlineStr">
        <is>
          <t>UTM del punto de muestreo</t>
        </is>
      </c>
      <c r="C11" s="34" t="inlineStr">
        <is>
          <t>El punto de muestreo declarado (643261 E / 9389812 N) dista 1,330 m del centroide de catálogo (642775 E / 9388574 N), distancia incompatible con la superficie del bloque (289.91 ha)</t>
        </is>
      </c>
      <c r="D11" s="33" t="inlineStr">
        <is>
          <t>SUSTANTIVA</t>
        </is>
      </c>
      <c r="E11" s="34" t="inlineStr">
        <is>
          <t>Se declara la coordenada como POR VERIFICAR: puede corresponder a otro bloque o a un error de digitación. No se corrige de oficio.</t>
        </is>
      </c>
    </row>
    <row r="12" ht="48" customHeight="1">
      <c r="A12" s="32" t="inlineStr">
        <is>
          <t>D-03</t>
        </is>
      </c>
      <c r="B12" s="32" t="inlineStr">
        <is>
          <t>Superficie del polígono</t>
        </is>
      </c>
      <c r="C12" s="32" t="inlineStr">
        <is>
          <t>La superficie clasificada por el NDVI 2025 (290.000 ha) coincide con la de catálogo (289.91 ha) dentro del ±2 % (+0.03 %)</t>
        </is>
      </c>
      <c r="D12" s="35" t="inlineStr">
        <is>
          <t>CONFORME</t>
        </is>
      </c>
      <c r="E12" s="32" t="inlineStr">
        <is>
          <t>Sin acción: la segmentación valida la geometría del bloque.</t>
        </is>
      </c>
    </row>
    <row r="13" ht="48" customHeight="1">
      <c r="A13" s="34" t="inlineStr">
        <is>
          <t>D-04</t>
        </is>
      </c>
      <c r="B13" s="34" t="inlineStr">
        <is>
          <t>Rango de pendiente dominante</t>
        </is>
      </c>
      <c r="C13" s="34" t="inlineStr">
        <is>
          <t>La ficha DT declara «25-50% (Mod. escarpado)»; la estadística zonal sobre el MDE arroja una pendiente promedio de 16.23 %, que corresponde a la clase «15-25% (Fuert. inclinado)»</t>
        </is>
      </c>
      <c r="D13" s="15" t="inlineStr">
        <is>
          <t>NO SUSTANTIVA</t>
        </is>
      </c>
      <c r="E13" s="34"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2" t="inlineStr">
        <is>
          <t>D-05</t>
        </is>
      </c>
      <c r="B14" s="32" t="inlineStr">
        <is>
          <t>Cobertura vegetal total</t>
        </is>
      </c>
      <c r="C14" s="32" t="inlineStr">
        <is>
          <t>La ficha DT estima 65 % de cobertura vegetal en campo; el NDVI mediana 2025 clasifica 99.12 % del polígono en clases de vegetación</t>
        </is>
      </c>
      <c r="D14" s="15" t="inlineStr">
        <is>
          <t>NO SUSTANTIVA</t>
        </is>
      </c>
      <c r="E14" s="32"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4" t="inlineStr">
        <is>
          <t>D-06</t>
        </is>
      </c>
      <c r="B15" s="34" t="inlineStr">
        <is>
          <t>Elenco florístico</t>
        </is>
      </c>
      <c r="C15" s="34" t="inlineStr">
        <is>
          <t>La ficha registra 7 taxones, por debajo del mínimo de 15 que exige el formato V5</t>
        </is>
      </c>
      <c r="D15" s="33" t="inlineStr">
        <is>
          <t>SUSTANTIVA</t>
        </is>
      </c>
      <c r="E15" s="34" t="inlineStr">
        <is>
          <t>Registro florístico preliminar, sin colecta ni determinación botánica formal. Debe cerrarse con colecta botánica en la siguiente campaña.</t>
        </is>
      </c>
    </row>
    <row r="16" ht="48" customHeight="1">
      <c r="A16" s="32" t="inlineStr">
        <is>
          <t>D-07</t>
        </is>
      </c>
      <c r="B16" s="32" t="inlineStr">
        <is>
          <t>Representatividad del levantamiento</t>
        </is>
      </c>
      <c r="C16" s="32" t="inlineStr">
        <is>
          <t>Ninguna de las estaciones fotográficas georreferenciadas se localiza dentro del polígono del bloque</t>
        </is>
      </c>
      <c r="D16" s="33" t="inlineStr">
        <is>
          <t>SUSTANTIVA</t>
        </is>
      </c>
      <c r="E16" s="32" t="inlineStr">
        <is>
          <t>La verificación documenta el perímetro y la vista panorámica del bloque, no su interior. Los parámetros que exigen recorrido interno se consignan «Por determinar».</t>
        </is>
      </c>
    </row>
    <row r="17" ht="48" customHeight="1">
      <c r="A17" s="34" t="inlineStr">
        <is>
          <t>D-08</t>
        </is>
      </c>
      <c r="B17" s="34" t="inlineStr">
        <is>
          <t>Centro poblado asociado</t>
        </is>
      </c>
      <c r="C17" s="34" t="inlineStr">
        <is>
          <t>La ficha DT declara «Hualcas I y II (Hualcas Alto)»; el cruce INEI-Bloques V5 identifica 2 centro(s) poblado(s) en el bloque: HUALCAS I, HUALCAS II</t>
        </is>
      </c>
      <c r="D17" s="35" t="inlineStr">
        <is>
          <t>CONFORME</t>
        </is>
      </c>
      <c r="E17" s="34" t="inlineStr">
        <is>
          <t>Se conserva el registro de campo como referencia y se adopta el listado INEI para el diagnóstico social y el cálculo de población beneficiaria.</t>
        </is>
      </c>
    </row>
    <row r="18" ht="48" customHeight="1">
      <c r="A18" s="32" t="inlineStr">
        <is>
          <t>D-09</t>
        </is>
      </c>
      <c r="B18" s="32" t="inlineStr">
        <is>
          <t>Peligro integrado (MCA-AHP)</t>
        </is>
      </c>
      <c r="C18" s="32" t="inlineStr">
        <is>
          <t>El nivel de peligro integrado no está disponible en los insumos de este entregable</t>
        </is>
      </c>
      <c r="D18" s="33" t="inlineStr">
        <is>
          <t>SUSTANTIVA</t>
        </is>
      </c>
      <c r="E18" s="32" t="inlineStr">
        <is>
          <t>Debe tomarse del modelamiento de mesolocalización (PMM + EPH + PGI ponderados por AHP) antes de fijar la prioridad definitiva de intervención del bloque.</t>
        </is>
      </c>
    </row>
    <row r="19" ht="48" customHeight="1">
      <c r="A19" s="34" t="inlineStr">
        <is>
          <t>D-10</t>
        </is>
      </c>
      <c r="B19" s="34" t="inlineStr">
        <is>
          <t>Ficha DT</t>
        </is>
      </c>
      <c r="C19" s="34" t="inlineStr">
        <is>
          <t>La ficha consigna microcuenca C1076-Q9584; el catálogo maestro asigna a M4B4 la microcuenca C1076-Q9589</t>
        </is>
      </c>
      <c r="D19" s="33" t="inlineStr">
        <is>
          <t>SUSTANTIVA</t>
        </is>
      </c>
      <c r="E19" s="34" t="inlineStr">
        <is>
          <t>Valor por defecto de la plantilla; se conserva el del catálogo</t>
        </is>
      </c>
    </row>
    <row r="20" ht="48" customHeight="1">
      <c r="A20" s="32" t="inlineStr">
        <is>
          <t>D-11</t>
        </is>
      </c>
      <c r="B20" s="32" t="inlineStr">
        <is>
          <t>F-DT-01</t>
        </is>
      </c>
      <c r="C20" s="32" t="inlineStr">
        <is>
          <t>D-01: el punto de muestreo está a ≈1.3 km al norte del centroide, sobre el borde septentrional, y es COMPARTIDO con la ficha de M4B3</t>
        </is>
      </c>
      <c r="D20" s="33" t="inlineStr">
        <is>
          <t>SUSTANTIVA</t>
        </is>
      </c>
      <c r="E20" s="32" t="inlineStr">
        <is>
          <t>Una sola estación sirvió a tres bloques distintos</t>
        </is>
      </c>
    </row>
    <row r="21" ht="48" customHeight="1">
      <c r="A21" s="34" t="inlineStr">
        <is>
          <t>D-12</t>
        </is>
      </c>
      <c r="B21" s="34" t="inlineStr">
        <is>
          <t>F-DT-01</t>
        </is>
      </c>
      <c r="C21" s="34" t="inlineStr">
        <is>
          <t>Afloramientos rocosos consignados «No» pese a que la narrativa describe afloramiento rocoso y rocas semienterradas</t>
        </is>
      </c>
      <c r="D21" s="15" t="inlineStr">
        <is>
          <t>NO SUSTANTIVA</t>
        </is>
      </c>
      <c r="E21" s="34" t="inlineStr">
        <is>
          <t>Inconsistencia interna a corregir</t>
        </is>
      </c>
    </row>
    <row r="22" ht="48" customHeight="1">
      <c r="A22" s="32" t="inlineStr">
        <is>
          <t>D-13</t>
        </is>
      </c>
      <c r="B22" s="32" t="inlineStr">
        <is>
          <t>F-DT-02</t>
        </is>
      </c>
      <c r="C22" s="32" t="inlineStr">
        <is>
          <t>Sin ficha F-DT-02 firmada en el ANEXO 01; inventario de cárcavas pendiente</t>
        </is>
      </c>
      <c r="D22" s="33" t="inlineStr">
        <is>
          <t>SUSTANTIVA</t>
        </is>
      </c>
      <c r="E22" s="32" t="inlineStr">
        <is>
          <t>Levantamiento pendiente</t>
        </is>
      </c>
    </row>
    <row r="23" ht="48" customHeight="1">
      <c r="A23" s="34" t="inlineStr">
        <is>
          <t>D-14</t>
        </is>
      </c>
      <c r="B23" s="34" t="inlineStr">
        <is>
          <t>F-DT-03</t>
        </is>
      </c>
      <c r="C23" s="34" t="inlineStr">
        <is>
          <t>D-02: valores estructurales idénticos a M4B3 y muy próximos a M12B1, a la misma hora — estimación visual global no diferenciada</t>
        </is>
      </c>
      <c r="D23" s="33" t="inlineStr">
        <is>
          <t>SUSTANTIVA</t>
        </is>
      </c>
      <c r="E23" s="34" t="inlineStr">
        <is>
          <t>Los datos NO son específicos de este bloque</t>
        </is>
      </c>
    </row>
    <row r="24" ht="48" customHeight="1">
      <c r="A24" s="32" t="inlineStr">
        <is>
          <t>D-15</t>
        </is>
      </c>
      <c r="B24" s="32" t="inlineStr">
        <is>
          <t>F-DT-03</t>
        </is>
      </c>
      <c r="C24" s="32" t="inlineStr">
        <is>
          <t>Solo 7 taxones registrados frente al mínimo de 15 exigido</t>
        </is>
      </c>
      <c r="D24" s="33" t="inlineStr">
        <is>
          <t>SUSTANTIVA</t>
        </is>
      </c>
      <c r="E24" s="32" t="inlineStr">
        <is>
          <t>Inventario florístico incompleto</t>
        </is>
      </c>
    </row>
    <row r="25" ht="48" customHeight="1">
      <c r="A25" s="34" t="inlineStr">
        <is>
          <t>D-16</t>
        </is>
      </c>
      <c r="B25" s="34" t="inlineStr">
        <is>
          <t>F-DT-04</t>
        </is>
      </c>
      <c r="C25" s="34" t="inlineStr">
        <is>
          <t>Densidad de cárcavas 1 N.°/ha frente a inventario de 0 cárcavas; % pendiente &gt;50% = 35% calificado «Bajo»</t>
        </is>
      </c>
      <c r="D25" s="33" t="inlineStr">
        <is>
          <t>SUSTANTIVA</t>
        </is>
      </c>
      <c r="E25" s="34" t="inlineStr">
        <is>
          <t>Inconsistencias internas a resolver</t>
        </is>
      </c>
    </row>
    <row r="26" ht="48" customHeight="1">
      <c r="A26" s="32" t="inlineStr">
        <is>
          <t>D-17</t>
        </is>
      </c>
      <c r="B26" s="32" t="inlineStr">
        <is>
          <t>F-DT-05</t>
        </is>
      </c>
      <c r="C26" s="32" t="inlineStr">
        <is>
          <t>Sin ficha F-DT-05 en el ANEXO 01</t>
        </is>
      </c>
      <c r="D26" s="33" t="inlineStr">
        <is>
          <t>SUSTANTIVA</t>
        </is>
      </c>
      <c r="E26" s="32" t="inlineStr">
        <is>
          <t>Inventario hídrico y accesibilidad por completar</t>
        </is>
      </c>
    </row>
    <row r="27" ht="48" customHeight="1">
      <c r="A27" s="32" t="inlineStr">
        <is>
          <t>D-18</t>
        </is>
      </c>
      <c r="B27" s="32" t="inlineStr">
        <is>
          <t>Distribución areal MSAVI 2024</t>
        </is>
      </c>
      <c r="C27" s="32" t="inlineStr">
        <is>
          <t>La distribución por clase de MSAVI no figuraba en los insumos del entregable y se consignaba «Por determinar»; se incorpora la estadística zonal del ráster MSAVI clasificado (696 polígonos, 289.914 ha)</t>
        </is>
      </c>
      <c r="D27" s="33" t="inlineStr">
        <is>
          <t>CORREGIDO</t>
        </is>
      </c>
      <c r="E27" s="32"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8" ht="48" customHeight="1">
      <c r="A28" s="32" t="inlineStr">
        <is>
          <t>D-19</t>
        </is>
      </c>
      <c r="B28" s="32" t="inlineStr">
        <is>
          <t>Superficie MSAVI vs. catálogo</t>
        </is>
      </c>
      <c r="C28" s="32" t="inlineStr">
        <is>
          <t>La superficie total clasificada por el MSAVI 2024 (289.914 ha) frente a la de catálogo V5/V6 (289.910 ha): desviación de +0.00 %</t>
        </is>
      </c>
      <c r="D28" s="33" t="inlineStr">
        <is>
          <t>CONFORME</t>
        </is>
      </c>
      <c r="E28" s="32" t="inlineStr">
        <is>
          <t>Sin acción: la segmentación del ráster valida la geometría del bloque dentro del ±2 %.</t>
        </is>
      </c>
    </row>
    <row r="29" ht="48" customHeight="1">
      <c r="A29" s="32" t="inlineStr">
        <is>
          <t>D-20</t>
        </is>
      </c>
      <c r="B29" s="32" t="inlineStr">
        <is>
          <t>Media MSAVI vs. clase DN dominante</t>
        </is>
      </c>
      <c r="C29" s="32" t="inlineStr">
        <is>
          <t>La media del bloque (0.3198) cae en la clase «DN 2 · 0.2650 - 0.3813 (Vigor muy bajo)»; la clase de mayor superficie es «DN 2 · 0.2650 - 0.3813 (Vigor muy bajo)», con 62.99 % del bloque. Superficie bajo el umbral 0.4976: 287.696 ha (99.23 %)</t>
        </is>
      </c>
      <c r="D29" s="33" t="inlineStr">
        <is>
          <t>CONFORME</t>
        </is>
      </c>
      <c r="E29" s="32" t="inlineStr">
        <is>
          <t>Sin acción: la media del bloque y la clase de mayor superficie coinciden.</t>
        </is>
      </c>
    </row>
    <row r="30"/>
    <row r="31">
      <c r="A31" s="16" t="inlineStr">
        <is>
          <t>RESUMEN</t>
        </is>
      </c>
      <c r="B31" s="17" t="inlineStr">
        <is>
          <t>20 verificaciones</t>
        </is>
      </c>
      <c r="C31" s="17" t="inlineStr">
        <is>
          <t>CONFORME: 4 · CORREGIDO: 1 · NO SUSTANTIVA: 3 · SUSTANTIVA: 12</t>
        </is>
      </c>
      <c r="D31" s="17" t="inlineStr"/>
      <c r="E31" s="17" t="inlineStr"/>
    </row>
    <row r="32"/>
    <row r="33" ht="60" customHeight="1">
      <c r="A3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3" s="39" t="n"/>
      <c r="C33" s="39" t="n"/>
      <c r="D33" s="39" t="n"/>
      <c r="E33" s="40" t="n"/>
    </row>
  </sheetData>
  <mergeCells count="8">
    <mergeCell ref="A4:E4"/>
    <mergeCell ref="A2:E2"/>
    <mergeCell ref="A33:E33"/>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M4B4 — IN Piura</dc:title>
  <dc:subject>Diagnóstico Territorial por bloque de intervención</dc:subject>
  <dcterms:created xsi:type="dcterms:W3CDTF">2026-09-08T03:39:59Z</dcterms:created>
  <dcterms:modified xsi:type="dcterms:W3CDTF">2026-09-09T23:30:56Z</dcterms:modified>
</cp:coreProperties>
</file>