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M4B4</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Hualcas I y II (Hualcas Alto)</t>
        </is>
      </c>
      <c r="C13" s="6" t="inlineStr">
        <is>
          <t>Comunidad campesina</t>
        </is>
      </c>
      <c r="D13" s="7" t="inlineStr">
        <is>
          <t>No consignada</t>
        </is>
      </c>
      <c r="E13" s="8" t="n"/>
      <c r="F13" s="8" t="n"/>
    </row>
    <row r="14">
      <c r="A14" s="6" t="inlineStr">
        <is>
          <t>Superficie de catálogo (V5/V6), ha</t>
        </is>
      </c>
      <c r="B14" s="7" t="n">
        <v>289.91</v>
      </c>
      <c r="C14" s="6" t="inlineStr">
        <is>
          <t>Fuente de superficie</t>
        </is>
      </c>
      <c r="D14" s="7" t="inlineStr">
        <is>
          <t>Catálogo maestro Bloques V5/V6</t>
        </is>
      </c>
      <c r="E14" s="8" t="n"/>
      <c r="F14" s="8" t="n"/>
    </row>
    <row r="15">
      <c r="A15" s="6" t="inlineStr">
        <is>
          <t>Centroide UTM ESTE (m)</t>
        </is>
      </c>
      <c r="B15" s="7" t="n">
        <v>642775</v>
      </c>
      <c r="C15" s="6" t="inlineStr">
        <is>
          <t>Centroide UTM NORTE (m)</t>
        </is>
      </c>
      <c r="D15" s="7" t="n">
        <v>9388574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314</v>
      </c>
      <c r="C19" s="6" t="inlineStr">
        <is>
          <t>Altitud máxima (msnm)</t>
        </is>
      </c>
      <c r="D19" s="7" t="n">
        <v>686</v>
      </c>
      <c r="E19" s="8" t="n"/>
      <c r="F19" s="8" t="n"/>
    </row>
    <row r="20">
      <c r="A20" s="6" t="inlineStr">
        <is>
          <t>Amplitud altitudinal (m)</t>
        </is>
      </c>
      <c r="B20" s="7" t="n">
        <v>372</v>
      </c>
      <c r="C20" s="6" t="inlineStr">
        <is>
          <t>Piso altitudinal dominante</t>
        </is>
      </c>
      <c r="D20" s="7" t="inlineStr">
        <is>
          <t>&lt;1000 m (Yunga)</t>
        </is>
      </c>
      <c r="E20" s="8" t="n"/>
      <c r="F20" s="8" t="n"/>
    </row>
    <row r="21">
      <c r="A21" s="6" t="inlineStr">
        <is>
          <t>Pendiente promedio (%)</t>
        </is>
      </c>
      <c r="B21" s="7" t="n">
        <v>16.23</v>
      </c>
      <c r="C21" s="6" t="inlineStr">
        <is>
          <t>Pendiente promedio (grados)</t>
        </is>
      </c>
      <c r="D21" s="7" t="n">
        <v>9.199999999999999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(58.75 %)</t>
        </is>
      </c>
      <c r="E29" s="8" t="n"/>
      <c r="F29" s="8" t="n"/>
    </row>
    <row r="30">
      <c r="A30" s="6" t="inlineStr">
        <is>
          <t>Superficie clasificada NDVI 2025 (ha)</t>
        </is>
      </c>
      <c r="B30" s="7" t="n">
        <v>290</v>
      </c>
      <c r="C30" s="6" t="inlineStr">
        <is>
          <t>Desviación frente al catálogo (%)</t>
        </is>
      </c>
      <c r="D30" s="7" t="n">
        <v>0.03</v>
      </c>
      <c r="E30" s="8" t="n"/>
      <c r="F30" s="8" t="n"/>
    </row>
    <row r="31">
      <c r="A31" s="6" t="inlineStr">
        <is>
          <t>Superficie clasificada MSAVI 2024 (ha)</t>
        </is>
      </c>
      <c r="B31" s="36" t="n">
        <v>289.914</v>
      </c>
      <c r="C31" s="6" t="inlineStr">
        <is>
          <t>Desviación MSAVI frente al catálogo (%)</t>
        </is>
      </c>
      <c r="D31" s="37" t="n">
        <v>0</v>
      </c>
      <c r="E31" s="8" t="n"/>
      <c r="F31" s="8" t="n"/>
    </row>
    <row r="32">
      <c r="A32" s="6" t="inlineStr">
        <is>
          <t>Superficie bajo umbral MSAVI 0.4976 (ha)</t>
        </is>
      </c>
      <c r="B32" s="36" t="n">
        <v>287.696</v>
      </c>
      <c r="C32" s="6" t="inlineStr">
        <is>
          <t>% del bloque bajo umbral (brecha espectral)</t>
        </is>
      </c>
      <c r="D32" s="37" t="n">
        <v>99.23</v>
      </c>
      <c r="E32" s="8" t="n"/>
      <c r="F32" s="8" t="n"/>
    </row>
    <row r="33">
      <c r="A33" s="6" t="inlineStr">
        <is>
          <t>Clase DN dominante (MSAVI 2024)</t>
        </is>
      </c>
      <c r="B33" s="7" t="inlineStr">
        <is>
          <t>DN 2 · 0.2650 - 0.3813 (Vigor muy bajo)</t>
        </is>
      </c>
      <c r="C33" s="6" t="inlineStr">
        <is>
          <t>N.° de polígonos MSAVI del bloque</t>
        </is>
      </c>
      <c r="D33" s="38" t="n">
        <v>696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150 ha (de 289.91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0.009900000000000001</v>
      </c>
      <c r="C10" s="19">
        <f>ROUND(B10/$B$15*100,2)</f>
        <v>0.0</v>
      </c>
      <c r="D10" s="11" t="inlineStr">
        <is>
          <t>Vigor alto</t>
        </is>
      </c>
      <c r="E10" s="11" t="inlineStr">
        <is>
          <t>Sobre umbral</t>
        </is>
      </c>
    </row>
    <row r="11">
      <c r="A11" s="12" t="inlineStr">
        <is>
          <t>0.4976 - 0.6139 · DN 4</t>
        </is>
      </c>
      <c r="B11" s="20" t="n">
        <v>2.2083</v>
      </c>
      <c r="C11" s="21">
        <f>ROUND(B11/$B$15*100,2)</f>
        <v>0.76</v>
      </c>
      <c r="D11" s="13" t="inlineStr">
        <is>
          <t>Vigor moderado</t>
        </is>
      </c>
      <c r="E11" s="13" t="inlineStr">
        <is>
          <t>Sobre umbral</t>
        </is>
      </c>
    </row>
    <row r="12">
      <c r="A12" s="7" t="inlineStr">
        <is>
          <t>0.3813 - 0.4976 · DN 3</t>
        </is>
      </c>
      <c r="B12" s="18" t="n">
        <v>44.6767</v>
      </c>
      <c r="C12" s="19">
        <f>ROUND(B12/$B$15*100,2)</f>
        <v>15.41</v>
      </c>
      <c r="D12" s="11" t="inlineStr">
        <is>
          <t>Vigor bajo</t>
        </is>
      </c>
      <c r="E12" s="11" t="inlineStr">
        <is>
          <t>BAJO umbral 0.4976</t>
        </is>
      </c>
    </row>
    <row r="13">
      <c r="A13" s="14" t="inlineStr">
        <is>
          <t>0.2650 - 0.3813 · DN 2</t>
        </is>
      </c>
      <c r="B13" s="29" t="n">
        <v>182.6038</v>
      </c>
      <c r="C13" s="28">
        <f>ROUND(B13/$B$15*100,2)</f>
        <v>62.99</v>
      </c>
      <c r="D13" s="15" t="inlineStr">
        <is>
          <t>Vigor muy bajo</t>
        </is>
      </c>
      <c r="E13" s="15" t="inlineStr">
        <is>
          <t>BAJO umbral 0.4976</t>
        </is>
      </c>
    </row>
    <row r="14">
      <c r="A14" s="7" t="inlineStr">
        <is>
          <t>&lt;= 0.2650 · DN 1</t>
        </is>
      </c>
      <c r="B14" s="18" t="n">
        <v>60.4158</v>
      </c>
      <c r="C14" s="19">
        <f>ROUND(B14/$B$15*100,2)</f>
        <v>20.84</v>
      </c>
      <c r="D14" s="11" t="inlineStr">
        <is>
          <t>Suelo desnudo / no vegetal</t>
        </is>
      </c>
      <c r="E14" s="11" t="inlineStr">
        <is>
          <t>BAJO umbral 0.4976</t>
        </is>
      </c>
    </row>
    <row r="15" ht="30" customHeight="1">
      <c r="A15" s="41" t="inlineStr">
        <is>
          <t>TOTAL CLASIFICADO MSAVI 2024</t>
        </is>
      </c>
      <c r="B15" s="42">
        <f>SUM(B10:B14)</f>
        <v>289.9145</v>
      </c>
      <c r="C15" s="43">
        <f>SUM(C10:C14)</f>
        <v>100.0</v>
      </c>
      <c r="D15" s="41" t="inlineStr">
        <is>
          <t>Suma de la distribución areal · 696 polígonos</t>
        </is>
      </c>
      <c r="E15" s="41" t="inlineStr">
        <is>
          <t>—</t>
        </is>
      </c>
    </row>
    <row r="16" ht="30" customHeight="1">
      <c r="A16" s="44" t="inlineStr">
        <is>
          <t>Superficie SOBRE umbral 0.4976 (ha)</t>
        </is>
      </c>
      <c r="B16" s="45">
        <f>SUM(B10:B11)</f>
        <v>2.2182</v>
      </c>
      <c r="C16" s="46">
        <f>ROUND(B16/B15*100,2)</f>
        <v>0.77</v>
      </c>
      <c r="D16" s="44" t="inlineStr">
        <is>
          <t>Vigor alto y moderado (DN 4 y DN 5)</t>
        </is>
      </c>
      <c r="E16" s="44" t="inlineStr">
        <is>
          <t>Sobre umbral 0.4976</t>
        </is>
      </c>
    </row>
    <row r="17" ht="30" customHeight="1">
      <c r="A17" s="44" t="inlineStr">
        <is>
          <t>Superficie BAJO umbral 0.4976 (ha) — brecha</t>
        </is>
      </c>
      <c r="B17" s="45">
        <f>SUM(B12:B14)</f>
        <v>287.6963</v>
      </c>
      <c r="C17" s="46">
        <f>ROUND(B17/B15*100,2)</f>
        <v>99.23</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289.91</v>
      </c>
      <c r="C18" s="47" t="inlineStr">
        <is>
          <t>—</t>
        </is>
      </c>
      <c r="D18" s="44" t="inlineStr">
        <is>
          <t>Desviación planimétrica frente al catálogo</t>
        </is>
      </c>
      <c r="E18" s="44" t="inlineStr">
        <is>
          <t>+0.00 %</t>
        </is>
      </c>
    </row>
    <row r="19">
      <c r="A19" s="16" t="inlineStr">
        <is>
          <t>MSAVI 2024 — MEDIA DEL BLOQUE</t>
        </is>
      </c>
      <c r="B19" s="17" t="n">
        <v>0.319788</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696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(0.3198)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2.9907</v>
      </c>
      <c r="C25" s="19" t="n">
        <v>1.03</v>
      </c>
      <c r="D25" s="11" t="inlineStr">
        <is>
          <t>Dosel continuo, matorral denso o mosaico agroforestal</t>
        </is>
      </c>
      <c r="E25" s="11" t="inlineStr"/>
    </row>
    <row r="26">
      <c r="A26" s="12" t="inlineStr">
        <is>
          <t>Vegetación mediana</t>
        </is>
      </c>
      <c r="B26" s="20" t="n">
        <v>114.0808</v>
      </c>
      <c r="C26" s="21" t="n">
        <v>39.34</v>
      </c>
      <c r="D26" s="13" t="inlineStr">
        <is>
          <t>Pastizal cultivado, matorral ralo, parcelas agrícolas</t>
        </is>
      </c>
      <c r="E26" s="13" t="inlineStr"/>
    </row>
    <row r="27">
      <c r="A27" s="7" t="inlineStr">
        <is>
          <t>Vegetación ligera</t>
        </is>
      </c>
      <c r="B27" s="18" t="n">
        <v>170.379</v>
      </c>
      <c r="C27" s="19" t="n">
        <v>58.75</v>
      </c>
      <c r="D27" s="11" t="inlineStr">
        <is>
          <t>Cobertura discontinua, suelo parcialmente expuesto</t>
        </is>
      </c>
      <c r="E27" s="11" t="inlineStr"/>
    </row>
    <row r="28">
      <c r="A28" s="12" t="inlineStr">
        <is>
          <t>Tierra desnuda</t>
        </is>
      </c>
      <c r="B28" s="20" t="n">
        <v>2.5494</v>
      </c>
      <c r="C28" s="21" t="n">
        <v>0.88</v>
      </c>
      <c r="D28" s="13" t="inlineStr">
        <is>
          <t>Suelo desnudo, afloramientos, plataformas y taludes</t>
        </is>
      </c>
      <c r="E28" s="13" t="inlineStr"/>
    </row>
    <row r="29">
      <c r="A29" s="16" t="inlineStr">
        <is>
          <t>TOTAL CLASIFICADO</t>
        </is>
      </c>
      <c r="B29" s="22">
        <f>SUM(B25:B28)</f>
        <v>289.9999</v>
      </c>
      <c r="C29" s="23">
        <f>SUM(C25:C28)</f>
        <v>100.0</v>
      </c>
      <c r="D29" s="17" t="inlineStr"/>
      <c r="E29" s="17" t="inlineStr"/>
    </row>
    <row r="30">
      <c r="A30" s="24" t="inlineStr">
        <is>
          <t>Superficie de catálogo (V5/V6)</t>
        </is>
      </c>
      <c r="B30" s="25" t="n">
        <v>289.91</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1.03 % del polígono clasificado como «Vegetación alta» por el NDVI 2025; la observación de campo corresponde a una parcela o recorrido puntual y no es estadísticamente representativa de las 289.910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M4B4</t>
        </is>
      </c>
    </row>
    <row r="6" ht="24" customHeight="1">
      <c r="A6" s="4" t="inlineStr">
        <is>
          <t>Levantamiento del 2026-08-10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1330</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642775</v>
      </c>
      <c r="C13" s="6" t="inlineStr">
        <is>
          <t>Centroide del bloque — UTM NORTE (m)</t>
        </is>
      </c>
      <c r="D13" s="7" t="n">
        <v>9388574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NOTA (D-01): el punto de muestreo (643 261 E · 9 389 812 N) se sitúa a ≈1.3 km al norte del centroide catastral, SOBRE EL BORDE SEPTENTRIONAL DEL POLÍGONO, Y ES COMPARTIDO CON LA FICHA DE M4B3.</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M4B4</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M4B4</t>
        </is>
      </c>
      <c r="B10" s="27" t="n">
        <v>289.91</v>
      </c>
      <c r="C10" s="28" t="n">
        <v>55.33</v>
      </c>
      <c r="D10" s="15" t="inlineStr">
        <is>
          <t>314 – 686</t>
        </is>
      </c>
      <c r="E10" s="15" t="n">
        <v>372</v>
      </c>
      <c r="F10" s="15" t="n">
        <v>16.23</v>
      </c>
      <c r="G10" s="29" t="n">
        <v>0.3198</v>
      </c>
      <c r="H10" s="28" t="n">
        <v>1.03</v>
      </c>
      <c r="I10" s="28" t="n">
        <v>99.23</v>
      </c>
    </row>
    <row r="11">
      <c r="A11" s="12" t="inlineStr">
        <is>
          <t>M4B3</t>
        </is>
      </c>
      <c r="B11" s="30" t="n">
        <v>234.07</v>
      </c>
      <c r="C11" s="21" t="n">
        <v>44.67</v>
      </c>
      <c r="D11" s="13" t="inlineStr">
        <is>
          <t>367 – 682</t>
        </is>
      </c>
      <c r="E11" s="13" t="n">
        <v>315</v>
      </c>
      <c r="F11" s="13" t="n">
        <v>17.22</v>
      </c>
      <c r="G11" s="20" t="n">
        <v>0.3222</v>
      </c>
      <c r="H11" s="21" t="n">
        <v>1.97</v>
      </c>
      <c r="I11" s="21" t="n">
        <v>98.59</v>
      </c>
    </row>
    <row r="12">
      <c r="A12" s="16" t="inlineStr">
        <is>
          <t>TOTAL / PROMEDIO</t>
        </is>
      </c>
      <c r="B12" s="31">
        <f>SUM(B10:B11)</f>
        <v>523.98</v>
      </c>
      <c r="C12" s="23">
        <f>SUM(C10:C11)</f>
        <v>100.0</v>
      </c>
      <c r="D12" s="17" t="inlineStr">
        <is>
          <t>314 – 686</t>
        </is>
      </c>
      <c r="E12" s="17" t="inlineStr"/>
      <c r="F12" s="17">
        <f>ROUND(AVERAGE(F10:F11),2)</f>
        <v>16.73</v>
      </c>
      <c r="G12" s="22">
        <f>ROUND(AVERAGE(G10:G11),4)</f>
        <v>0.321</v>
      </c>
      <c r="H12" s="23">
        <f>ROUND(AVERAGE(H10:H11),2)</f>
        <v>1.5</v>
      </c>
      <c r="I12" s="23">
        <f>ROUND(AVERAGE(I10:I11),2)</f>
        <v>98.91</v>
      </c>
    </row>
    <row r="13"/>
    <row r="14" ht="84" customHeight="1">
      <c r="A14" s="9" t="inlineStr">
        <is>
          <t>LECTURA INTRAMICROCUENCA. El bloque M4B4 ocupa el puesto 1 de 2 por superficie dentro de la microcuenca C1076-Q9589 (55.33 % de las 523.98 ha preliminares de la microcuenca). Su pendiente promedio (16.23 %, clase «15-25% (Fuert. inclinado)») es la 1.ª más baja de 2 y se sitúa por debajo del promedio de la microcuenca (16.73 %). Su MSAVI 2024 (0.3198) es el 2.º de 2 y queda por debajo del promedio local (0.3210). Amplitud altitudinal del bloque: 372 m (314–686 msnm). El cuadro conserva todos los bloques catalogados en la microcuenca, incluidos los descartados en el tamizaje, para referencia del conjunto. Los bloques sin ficha DT figuran con sus parámetros de gabinete. BRECHA ESPECTRAL. El 99.23 % de la superficie del bloque (287.696 ha de 289.914 ha) se sitúa bajo el umbral MSAVI 0.4976, por encima del promedio local de la microcuenca (98.91 %) calculado sobre los bloques con dato MSAVI disponible.</t>
        </is>
      </c>
      <c r="B14" s="39" t="n"/>
      <c r="C14" s="39" t="n"/>
      <c r="D14" s="39" t="n"/>
      <c r="E14" s="39" t="n"/>
      <c r="F14" s="39" t="n"/>
      <c r="G14" s="39" t="n"/>
      <c r="H14" s="40"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40"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1,330 m del centroide de catálogo (642775 E / 9388574 N), distancia incompatible con la superficie del bloque (289.91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(290.000 ha) coincide con la de catálogo (289.91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16.23 %,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99.12 %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«Hualcas I y II (Hualcas Alto)»; el cruce INEI-Bloques V5 identifica 2 centro(s) poblado(s) en el bloque: HUALCAS I, HUALCAS II</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M4B4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está a ≈1.3 km al norte del centroide, sobre el borde septentrional, y es COMPARTIDO con la ficha de M4B3</t>
        </is>
      </c>
      <c r="D20" s="33" t="inlineStr">
        <is>
          <t>SUSTANTIVA</t>
        </is>
      </c>
      <c r="E20" s="32" t="inlineStr">
        <is>
          <t>Una sola estación sirvió a tres bloques distintos</t>
        </is>
      </c>
    </row>
    <row r="21" ht="48" customHeight="1">
      <c r="A21" s="34" t="inlineStr">
        <is>
          <t>D-12</t>
        </is>
      </c>
      <c r="B21" s="34" t="inlineStr">
        <is>
          <t>F-DT-01</t>
        </is>
      </c>
      <c r="C21" s="34" t="inlineStr">
        <is>
          <t>Afloramientos rocosos consignados «No» pese a que la narrativa describe afloramiento rocoso y rocas semienterradas</t>
        </is>
      </c>
      <c r="D21" s="15" t="inlineStr">
        <is>
          <t>NO SUSTANTIVA</t>
        </is>
      </c>
      <c r="E21" s="34" t="inlineStr">
        <is>
          <t>Inconsistencia interna a corregir</t>
        </is>
      </c>
    </row>
    <row r="22" ht="48" customHeight="1">
      <c r="A22" s="32" t="inlineStr">
        <is>
          <t>D-13</t>
        </is>
      </c>
      <c r="B22" s="32" t="inlineStr">
        <is>
          <t>F-DT-02</t>
        </is>
      </c>
      <c r="C22" s="32" t="inlineStr">
        <is>
          <t>Sin ficha F-DT-02 firmada en el ANEXO 01; inventario de cárcavas pendiente</t>
        </is>
      </c>
      <c r="D22" s="33" t="inlineStr">
        <is>
          <t>SUSTANTIVA</t>
        </is>
      </c>
      <c r="E22" s="32" t="inlineStr">
        <is>
          <t>Levantamiento pendiente</t>
        </is>
      </c>
    </row>
    <row r="23" ht="48" customHeight="1">
      <c r="A23" s="34" t="inlineStr">
        <is>
          <t>D-14</t>
        </is>
      </c>
      <c r="B23" s="34" t="inlineStr">
        <is>
          <t>F-DT-03</t>
        </is>
      </c>
      <c r="C23" s="34" t="inlineStr">
        <is>
          <t>D-02: valores estructurales idénticos a M4B3 y muy próximos a M12B1, a la misma hora — estimación visual global no diferenciada</t>
        </is>
      </c>
      <c r="D23" s="33" t="inlineStr">
        <is>
          <t>SUSTANTIVA</t>
        </is>
      </c>
      <c r="E23" s="34" t="inlineStr">
        <is>
          <t>Los datos NO son específicos de este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Densidad de cárcavas 1 N.°/ha frente a inventario de 0 cárcavas; % pendiente &gt;50% = 35% calificado «Bajo»</t>
        </is>
      </c>
      <c r="D25" s="33" t="inlineStr">
        <is>
          <t>SUSTANTIVA</t>
        </is>
      </c>
      <c r="E25" s="34" t="inlineStr">
        <is>
          <t>Inconsistencias internas a resolver</t>
        </is>
      </c>
    </row>
    <row r="26" ht="48" customHeight="1">
      <c r="A26" s="32" t="inlineStr">
        <is>
          <t>D-17</t>
        </is>
      </c>
      <c r="B26" s="32" t="inlineStr">
        <is>
          <t>F-DT-05</t>
        </is>
      </c>
      <c r="C26" s="32" t="inlineStr">
        <is>
          <t>Sin ficha F-DT-05 en el ANEXO 01</t>
        </is>
      </c>
      <c r="D26" s="33" t="inlineStr">
        <is>
          <t>SUSTANTIVA</t>
        </is>
      </c>
      <c r="E26" s="32" t="inlineStr">
        <is>
          <t>Inventario hídrico y accesibilidad por completar</t>
        </is>
      </c>
    </row>
    <row r="27" ht="48" customHeight="1">
      <c r="A27" s="32" t="inlineStr">
        <is>
          <t>D-18</t>
        </is>
      </c>
      <c r="B27" s="32" t="inlineStr">
        <is>
          <t>Distribución areal MSAVI 2024</t>
        </is>
      </c>
      <c r="C27" s="32" t="inlineStr">
        <is>
          <t>La distribución por clase de MSAVI no figuraba en los insumos del entregable y se consignaba «Por determinar»; se incorpora la estadística zonal del ráster MSAVI clasificado (696 polígonos, 289.914 ha)</t>
        </is>
      </c>
      <c r="D27" s="33" t="inlineStr">
        <is>
          <t>CORREGIDO</t>
        </is>
      </c>
      <c r="E27" s="32"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2" t="inlineStr">
        <is>
          <t>D-19</t>
        </is>
      </c>
      <c r="B28" s="32" t="inlineStr">
        <is>
          <t>Superficie MSAVI vs. catálogo</t>
        </is>
      </c>
      <c r="C28" s="32" t="inlineStr">
        <is>
          <t>La superficie total clasificada por el MSAVI 2024 (289.914 ha) frente a la de catálogo V5/V6 (289.910 ha): desviación de +0.00 %</t>
        </is>
      </c>
      <c r="D28" s="33" t="inlineStr">
        <is>
          <t>CONFORME</t>
        </is>
      </c>
      <c r="E28" s="32" t="inlineStr">
        <is>
          <t>Sin acción: la segmentación del ráster valida la geometría del bloque dentro del ±2 %.</t>
        </is>
      </c>
    </row>
    <row r="29" ht="48" customHeight="1">
      <c r="A29" s="32" t="inlineStr">
        <is>
          <t>D-20</t>
        </is>
      </c>
      <c r="B29" s="32" t="inlineStr">
        <is>
          <t>Media MSAVI vs. clase DN dominante</t>
        </is>
      </c>
      <c r="C29" s="32" t="inlineStr">
        <is>
          <t>La media del bloque (0.3198) cae en la clase «DN 2 · 0.2650 - 0.3813 (Vigor muy bajo)»; la clase de mayor superficie es «DN 2 · 0.2650 - 0.3813 (Vigor muy bajo)», con 62.99 % del bloque. Superficie bajo el umbral 0.4976: 287.696 ha (99.23 %)</t>
        </is>
      </c>
      <c r="D29" s="33" t="inlineStr">
        <is>
          <t>CONFORME</t>
        </is>
      </c>
      <c r="E29" s="32" t="inlineStr">
        <is>
          <t>Sin acción: la media del bloque y la clase de mayor superficie coinciden.</t>
        </is>
      </c>
    </row>
    <row r="30"/>
    <row r="31">
      <c r="A31" s="16" t="inlineStr">
        <is>
          <t>RESUMEN</t>
        </is>
      </c>
      <c r="B31" s="17" t="inlineStr">
        <is>
          <t>20 verificaciones</t>
        </is>
      </c>
      <c r="C31" s="17" t="inlineStr">
        <is>
          <t>CONFORME: 4 · CORREGIDO: 1 · NO SUSTANTIVA: 3 · SUSTANTIVA: 12</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39" t="n"/>
      <c r="C33" s="39" t="n"/>
      <c r="D33" s="39" t="n"/>
      <c r="E33" s="40"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M4B4 — IN Piura</dc:title>
  <dc:subject>Diagnóstico Territorial por bloque de intervención</dc:subject>
  <dcterms:created xsi:type="dcterms:W3CDTF">2026-09-08T03:39:59Z</dcterms:created>
  <dcterms:modified xsi:type="dcterms:W3CDTF">2026-09-10T00:28:33Z</dcterms:modified>
</cp:coreProperties>
</file>