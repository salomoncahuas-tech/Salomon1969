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REPORTES Y PLANTILLAS IN PIURA\PLANTILLAS DE DIAGNOSTICO\DT\"/>
    </mc:Choice>
  </mc:AlternateContent>
  <xr:revisionPtr revIDLastSave="0" documentId="8_{F7AA5C37-615C-4049-8A58-4D520A8A7AEF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Bloques V4" sheetId="2" r:id="rId1"/>
    <sheet name="F-DT-01" sheetId="4" r:id="rId2"/>
    <sheet name="F-DT-02 (2)" sheetId="10" r:id="rId3"/>
    <sheet name="F-DT-03 (2)" sheetId="11" r:id="rId4"/>
    <sheet name="F-DT-04 (2)" sheetId="12" r:id="rId5"/>
    <sheet name="F-DT-05" sheetId="8" r:id="rId6"/>
  </sheets>
  <definedNames>
    <definedName name="_xlnm.Print_Area" localSheetId="1">'F-DT-01'!$A$1:$F$39</definedName>
    <definedName name="_xlnm.Print_Area" localSheetId="2">'F-DT-02 (2)'!$A$1:$M$36</definedName>
    <definedName name="_xlnm.Print_Area" localSheetId="3">'F-DT-03 (2)'!$A$1:$I$61</definedName>
    <definedName name="_xlnm.Print_Area" localSheetId="4">'F-DT-04 (2)'!$A$1:$G$46</definedName>
    <definedName name="_xlnm.Print_Area" localSheetId="5">'F-DT-05'!$A$1:$H$41</definedName>
    <definedName name="_xlnm.Print_Titles" localSheetId="0">'Bloques V4'!$1:$1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11" l="1"/>
  <c r="B9" i="8"/>
  <c r="B10" i="4"/>
</calcChain>
</file>

<file path=xl/sharedStrings.xml><?xml version="1.0" encoding="utf-8"?>
<sst xmlns="http://schemas.openxmlformats.org/spreadsheetml/2006/main" count="1137" uniqueCount="551">
  <si>
    <t>AUTORIDAD NACIONAL DE INFRAESTRUCTURA — ANIN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</si>
  <si>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</si>
  <si>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</si>
  <si>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</si>
  <si>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</si>
  <si>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</si>
  <si>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</si>
  <si>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</si>
  <si>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</si>
  <si>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</si>
  <si>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</si>
  <si>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</si>
  <si>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</si>
  <si>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</si>
  <si>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</si>
  <si>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</si>
  <si>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</si>
  <si>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</si>
  <si>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</si>
  <si>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</si>
  <si>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</si>
  <si>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</si>
  <si>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</si>
  <si>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</si>
  <si>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</si>
  <si>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</si>
  <si>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</si>
  <si>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</si>
  <si>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</si>
  <si>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</si>
  <si>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</si>
  <si>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</si>
  <si>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</si>
  <si>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</si>
  <si>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</si>
  <si>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</si>
  <si>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</si>
  <si>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</si>
  <si>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</si>
  <si>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</si>
  <si>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</si>
  <si>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</si>
  <si>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</si>
  <si>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</si>
  <si>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</si>
  <si>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</si>
  <si>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</si>
  <si>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</si>
  <si>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</si>
  <si>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</si>
  <si>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</si>
  <si>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</si>
  <si>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</si>
  <si>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</si>
  <si>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</si>
  <si>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</si>
  <si>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</si>
  <si>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</si>
  <si>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</si>
  <si>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</si>
  <si>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</si>
  <si>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</si>
  <si>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</si>
  <si>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</si>
  <si>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</si>
  <si>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</si>
  <si>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</si>
  <si>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</si>
  <si>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</si>
  <si>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</si>
  <si>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</si>
  <si>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</si>
  <si>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</si>
  <si>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</si>
  <si>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</si>
  <si>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</si>
  <si>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</si>
  <si>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</si>
  <si>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</si>
  <si>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</si>
  <si>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</si>
  <si>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</si>
  <si>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</si>
  <si>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</si>
  <si>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</si>
  <si>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</si>
  <si>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</si>
  <si>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</si>
  <si>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</si>
  <si>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</si>
  <si>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</si>
  <si>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</si>
  <si>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</si>
  <si>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</si>
  <si>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</si>
  <si>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</si>
  <si>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</si>
  <si>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</si>
  <si>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</si>
  <si>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</si>
  <si>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</si>
  <si>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</si>
  <si>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</si>
  <si>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</si>
  <si>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</si>
  <si>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</si>
  <si>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</si>
  <si>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</si>
  <si>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</si>
  <si>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</si>
  <si>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</si>
  <si>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</si>
  <si>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</si>
  <si>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</si>
  <si>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</si>
  <si>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</si>
  <si>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</si>
  <si>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</si>
  <si>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</si>
  <si>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</si>
  <si>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</si>
  <si>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</si>
  <si>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</si>
  <si>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</si>
  <si>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</si>
  <si>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</si>
  <si>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</si>
  <si>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</si>
  <si>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</si>
  <si>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</si>
  <si>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</si>
  <si>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</si>
  <si>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</si>
  <si>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</si>
  <si>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</si>
  <si>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</si>
  <si>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</si>
  <si>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</si>
  <si>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</si>
  <si>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</si>
  <si>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</si>
  <si>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</si>
  <si>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</si>
  <si>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</si>
  <si>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</si>
  <si>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</si>
  <si>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</si>
  <si>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</si>
  <si>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</si>
  <si>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</si>
  <si>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</si>
  <si>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</si>
  <si>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</si>
  <si>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</si>
  <si>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</si>
  <si>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</si>
  <si>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</si>
  <si>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</si>
  <si>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</si>
  <si>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</si>
  <si>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</si>
  <si>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</si>
  <si>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</si>
  <si>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</si>
  <si>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</si>
  <si>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</si>
  <si>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</si>
  <si>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</si>
  <si>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</si>
  <si>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</si>
  <si>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</si>
  <si>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</si>
  <si>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</si>
  <si>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</si>
  <si>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</si>
  <si>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</si>
  <si>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</si>
  <si>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</si>
  <si>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</si>
  <si>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</si>
  <si>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</si>
  <si>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</si>
  <si>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</si>
  <si>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</si>
  <si>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</si>
  <si>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</si>
  <si>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</si>
  <si>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</si>
  <si>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</si>
  <si>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</si>
  <si>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</si>
  <si>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</si>
  <si>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</si>
  <si>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Sobrepastoreo (caprino/vacuno)</t>
  </si>
  <si>
    <t>Tala para leña</t>
  </si>
  <si>
    <t>Tala para carbón</t>
  </si>
  <si>
    <t>Tala para madera</t>
  </si>
  <si>
    <t>Quema (renovación pastos)</t>
  </si>
  <si>
    <t>Quema accidental / Incendio</t>
  </si>
  <si>
    <t>Cambio uso a agricultura</t>
  </si>
  <si>
    <t>Cambio uso a pastoreo</t>
  </si>
  <si>
    <t>Otro</t>
  </si>
  <si>
    <t>Expansión urbana / vial</t>
  </si>
  <si>
    <t>Minería informal</t>
  </si>
  <si>
    <t>Extracción de áridos (cauces)</t>
  </si>
  <si>
    <t>Especies invasoras</t>
  </si>
  <si>
    <t>Erosión natural severa</t>
  </si>
  <si>
    <t>Sequía prolongada / CC</t>
  </si>
  <si>
    <t>Plagas o enfermedades forestales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</si>
  <si>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</si>
  <si>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</si>
  <si>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</si>
  <si>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</si>
  <si>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 *  |  Para marcar opciones: haga clic en la celda y escriba  X  sobre el símbolo ☐  |  Campos grises (verde claro) = auto-calculados — NO modificar</t>
  </si>
  <si>
    <t>1. DATOS GENERALES Y LOCALIZACIÓN</t>
  </si>
  <si>
    <t>Hora de registro</t>
  </si>
  <si>
    <t>Brigada / Responsable *</t>
  </si>
  <si>
    <t>UTM ESTE punto de muestreo (m) *</t>
  </si>
  <si>
    <t>UTM NORTE punto de muestreo (m) *</t>
  </si>
  <si>
    <t>Altitud GPS (msnm) *</t>
  </si>
  <si>
    <t>Centro poblado más cercano</t>
  </si>
  <si>
    <t>Comunidad Campesina (si aplica)</t>
  </si>
  <si>
    <t>2. CARACTERIZACIÓN FISIOGRÁFICA DEL BLOQUE</t>
  </si>
  <si>
    <t>Forma predominante del terreno *</t>
  </si>
  <si>
    <t>☐  Plano</t>
  </si>
  <si>
    <t>☐  Ondulado</t>
  </si>
  <si>
    <t>☐  Colinoso</t>
  </si>
  <si>
    <t>☐  Montañoso</t>
  </si>
  <si>
    <t>☐  Muy escarpado</t>
  </si>
  <si>
    <t>Rango de pendiente dominante *</t>
  </si>
  <si>
    <t>☐  0-8% (Plano-lig. inclinado)</t>
  </si>
  <si>
    <t>☐  8-15% (Mod. inclinado)</t>
  </si>
  <si>
    <t>☐  15-25% (Fuert. inclinado)</t>
  </si>
  <si>
    <t>☐  25-50% (Mod. escarpado)</t>
  </si>
  <si>
    <t>☐  50-75% (Escarpado)</t>
  </si>
  <si>
    <t>☐  &gt;75% (Muy escarpado)</t>
  </si>
  <si>
    <t>Posición fisiográfica *</t>
  </si>
  <si>
    <t>☐  Cresta / Divortium</t>
  </si>
  <si>
    <t>☐  Ladera alta</t>
  </si>
  <si>
    <t>☐  Ladera media</t>
  </si>
  <si>
    <t>☐  Ladera baja</t>
  </si>
  <si>
    <t>☐  Pie de ladera</t>
  </si>
  <si>
    <t>☐  Terraza aluvial</t>
  </si>
  <si>
    <t>☐  Cauce / Ribera</t>
  </si>
  <si>
    <t>☐  Llanura / Pampa</t>
  </si>
  <si>
    <t>☐  Cima (sin exp.)</t>
  </si>
  <si>
    <t>Exposición / Orientación dominante *</t>
  </si>
  <si>
    <t>☐  Norte</t>
  </si>
  <si>
    <t>☐  Sur</t>
  </si>
  <si>
    <t>☐  Este</t>
  </si>
  <si>
    <t>☐  Oeste</t>
  </si>
  <si>
    <t>☐  Noreste</t>
  </si>
  <si>
    <t>☐  Noroeste</t>
  </si>
  <si>
    <t>☐  Sureste</t>
  </si>
  <si>
    <t>☐  Suroeste</t>
  </si>
  <si>
    <t>☐  Cima (sin dom.)</t>
  </si>
  <si>
    <t>Rango altitudinal del bloque *</t>
  </si>
  <si>
    <t>☐  &lt;1000 m (Yunga)</t>
  </si>
  <si>
    <t>☐  1000-1500 m (Qchq baja)</t>
  </si>
  <si>
    <t>☐  1500-2000 m (Qchq media)</t>
  </si>
  <si>
    <t>☐  2000-2500 m (Qchq alta)</t>
  </si>
  <si>
    <t>☐  2500-3000 m (Suni)</t>
  </si>
  <si>
    <t>☐  3000-3500 m (Puna baja)</t>
  </si>
  <si>
    <t>☐  &gt;3500 m (Puna/Jalca)</t>
  </si>
  <si>
    <t>Paisaje dominante (descripción libre)</t>
  </si>
  <si>
    <t>Presencia de afloramientos rocosos</t>
  </si>
  <si>
    <t>☐  Sí</t>
  </si>
  <si>
    <t>☐  No</t>
  </si>
  <si>
    <t>Presencia de escarpes activos *</t>
  </si>
  <si>
    <t>¿Reptación de suelo observada? *</t>
  </si>
  <si>
    <t>¿Deslizamientos antiguos observados?</t>
  </si>
  <si>
    <t>¿Remociones en masa activas? *</t>
  </si>
  <si>
    <t>OBSERVACIONES</t>
  </si>
  <si>
    <t>F-DT-02: SUELO Y PROCESOS EROSIVOS (INCL. INVENTARIO DE CÁRCAVAS)</t>
  </si>
  <si>
    <t>1. DATOS GENERALES</t>
  </si>
  <si>
    <t>Fecha *</t>
  </si>
  <si>
    <t>Responsable *</t>
  </si>
  <si>
    <t>Código del Bloque *</t>
  </si>
  <si>
    <t>UTM ESTE punto de muestreo *</t>
  </si>
  <si>
    <t>☐  Otro</t>
  </si>
  <si>
    <t>Sellamiento / Costra superficial</t>
  </si>
  <si>
    <t>¿Raíces expuestas en superficie?</t>
  </si>
  <si>
    <t>Nivel general de erosión *</t>
  </si>
  <si>
    <t>☐  Nula</t>
  </si>
  <si>
    <t>☐  Ligera (laminar)</t>
  </si>
  <si>
    <t>☐  Moderada (surcos)</t>
  </si>
  <si>
    <t>☐  Fuerte (cárcavas incipientes)</t>
  </si>
  <si>
    <t>☐  Severa (cárcavas activas)</t>
  </si>
  <si>
    <t>3. INVENTARIO GEORREFERENCIADO DE CÁRCAVAS / SURCOS</t>
  </si>
  <si>
    <t>N°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</si>
  <si>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</si>
  <si>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</si>
  <si>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</si>
  <si>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</si>
  <si>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</si>
  <si>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</si>
  <si>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</si>
  <si>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med.(m)</t>
  </si>
  <si>
    <t>Ancho
med.(m)</t>
  </si>
  <si>
    <t>Estado /
Actividad</t>
  </si>
  <si>
    <t>Causa
principal</t>
  </si>
  <si>
    <t>4. SÍNTESIS DE PROCESOS EROSIVOS DEL BLOQUE</t>
  </si>
  <si>
    <t>N° total de cárcavas registradas</t>
  </si>
  <si>
    <t>Patrón de cárcavas dominante</t>
  </si>
  <si>
    <t>☐  Dendrítico</t>
  </si>
  <si>
    <t>☐  Paralelo</t>
  </si>
  <si>
    <t>☐  Lineal</t>
  </si>
  <si>
    <t>☐  Aislado</t>
  </si>
  <si>
    <t>☐  Mixto</t>
  </si>
  <si>
    <t>Erosión laminar observada (%)</t>
  </si>
  <si>
    <t>Presencia de socavamiento de cauce</t>
  </si>
  <si>
    <t>Urgencia de control</t>
  </si>
  <si>
    <t>☐  Crítica</t>
  </si>
  <si>
    <t>☐  Alta</t>
  </si>
  <si>
    <t>☐  Media</t>
  </si>
  <si>
    <t>☐  Baja</t>
  </si>
  <si>
    <t>F-DT-03: ECOSISTEMA: COMPOSICIÓN, ESTRUCTURA Y VALOR ECOLÓGICO</t>
  </si>
  <si>
    <t>Dimensiones (m × m)</t>
  </si>
  <si>
    <t>UTM ESTE esquina inferior *</t>
  </si>
  <si>
    <t>UTM NORTE esquina inferior *</t>
  </si>
  <si>
    <t>Altitud (msnm)</t>
  </si>
  <si>
    <t>Pendiente promedio de la parcela (%)</t>
  </si>
  <si>
    <t>2. CLASIFICACIÓN DEL ECOSISTEMA (UP)</t>
  </si>
  <si>
    <t>Tipo de ecosistema MINAM (dominante) *</t>
  </si>
  <si>
    <t>☐  Páramo</t>
  </si>
  <si>
    <t>☐  Bosq. Relicto Montano V.Occ. (BMVO)</t>
  </si>
  <si>
    <t>☐  Bosq. Est. Seco Colina/Montaña (Bes-cm)</t>
  </si>
  <si>
    <t>☐  Bosq. Est. Seco Llanura (Bes-ll)</t>
  </si>
  <si>
    <t>☐  Bosq. Est. Seco Ribereño (Bes-rb)</t>
  </si>
  <si>
    <t>☐  Matorral Andino árido</t>
  </si>
  <si>
    <t>☐  Matorral Andino semiárido</t>
  </si>
  <si>
    <t>☐  Matorral Andino subhúmedo</t>
  </si>
  <si>
    <t>☐  Matorral Andino húmedo</t>
  </si>
  <si>
    <t>☐  Pastizal andino / Jalca</t>
  </si>
  <si>
    <t>☐  Agroecosistema / Mosaico</t>
  </si>
  <si>
    <t>☐  Área urbana / rural</t>
  </si>
  <si>
    <t>Superficie ecosistema en el bloque (ha)</t>
  </si>
  <si>
    <t>Estado de conservación general *</t>
  </si>
  <si>
    <t>☐  Conservado (sin interv. evidente)</t>
  </si>
  <si>
    <t>☐  Levemente alterado</t>
  </si>
  <si>
    <t>☐  Medianamente alterado</t>
  </si>
  <si>
    <t>☐  Alterado (interv. marcada)</t>
  </si>
  <si>
    <t>☐  Muy alterado / Degradado</t>
  </si>
  <si>
    <t>☐  En restauración / Recuperación</t>
  </si>
  <si>
    <t>Uso actual dominante del suelo *</t>
  </si>
  <si>
    <t>☐  Forestal protección</t>
  </si>
  <si>
    <t>☐  Forestal producción</t>
  </si>
  <si>
    <t>☐  Pastoreo extensivo</t>
  </si>
  <si>
    <t>☐  Pastoreo intensivo</t>
  </si>
  <si>
    <t>☐  Agricultura secano</t>
  </si>
  <si>
    <t>☐  Agricultura bajo riego</t>
  </si>
  <si>
    <t>☐  Sin uso aparente / Abandonado</t>
  </si>
  <si>
    <t>☐  Uso mixto</t>
  </si>
  <si>
    <t>3. ESTRUCTURA DEL ECOSISTEMA (estimación de coberturas y alturas)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</si>
  <si>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</si>
  <si>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</si>
  <si>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</si>
  <si>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</si>
  <si>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</si>
  <si>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</si>
  <si>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</si>
  <si>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</si>
  <si>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</si>
  <si>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☐  Abundante (&gt;50 pl./100m²)</t>
  </si>
  <si>
    <t>☐  Regular (10-50 pl./100m²)</t>
  </si>
  <si>
    <t>☐  Escasa (&lt;10 pl./100m²)</t>
  </si>
  <si>
    <t>☐  Ausente</t>
  </si>
  <si>
    <t>Estado sanitario general del dosel *</t>
  </si>
  <si>
    <t>☐  Sano</t>
  </si>
  <si>
    <t>☐  Enfermo (plaga)</t>
  </si>
  <si>
    <t>☐  Enfermo (hongo)</t>
  </si>
  <si>
    <t>☐  Daño mecánico</t>
  </si>
  <si>
    <t>☐  Muerto en pie</t>
  </si>
  <si>
    <t>☐  Rebrote vigoroso</t>
  </si>
  <si>
    <t>Presencia de epífitas (cualitativa)</t>
  </si>
  <si>
    <t>Fenología dominante (época de visita)</t>
  </si>
  <si>
    <t>☐  Vegetativo</t>
  </si>
  <si>
    <t>☐  Floración</t>
  </si>
  <si>
    <t>☐  Fructificación</t>
  </si>
  <si>
    <t>☐  Caducifolio (hojas caídas)</t>
  </si>
  <si>
    <t>☐  Latencia / Estrés hídrico</t>
  </si>
  <si>
    <t>Cobertura vegetal total estimada (%) *</t>
  </si>
  <si>
    <t>Tipo de cobertura vegetal dominante *</t>
  </si>
  <si>
    <t>☐  Bosque denso (&gt;70%)</t>
  </si>
  <si>
    <t>☐  Bosque ralo (30-70%)</t>
  </si>
  <si>
    <t>☐  Matorral denso</t>
  </si>
  <si>
    <t>☐  Matorral ralo</t>
  </si>
  <si>
    <t>☐  Pastizal natural</t>
  </si>
  <si>
    <t>☐  Pastizal cultivado</t>
  </si>
  <si>
    <t>☐  Cultivo anual</t>
  </si>
  <si>
    <t>☐  Cultivo permanente</t>
  </si>
  <si>
    <t>☐  Suelo desnudo</t>
  </si>
  <si>
    <t>☐  Afloramiento rocoso</t>
  </si>
  <si>
    <t>☐  Mixto / Mosaico</t>
  </si>
  <si>
    <t>4. COMPOSICIÓN FLORÍSTICA — Registro rápido por estrato (mín. 15 especies)</t>
  </si>
  <si>
    <t>ESTRATO: Arbóreo sup(&gt;15m) | Arbóreo med(8-15m) | Arbóreo bajo(4-8m) | Arbustivo alto(1.5-4m) | Arbustivo bajo(0.5-1.5m) | Herbáceo(&lt;0.5m) | Epífito | Trepador  ——  ORIGEN: Nativa | Endémica | Introducida | Invasora  ——  ABUNDANCIA: Dominante(&gt;40%) | Abundante(20-40%) | Frecuente(5-20%) | Ocasional(1-5%) | Raro(&lt;1%)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</si>
  <si>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</si>
  <si>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</si>
  <si>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</si>
  <si>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</si>
  <si>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</si>
  <si>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</si>
  <si>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</si>
  <si>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</si>
  <si>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5. ESPECIES CLAVE / INDICADORAS</t>
  </si>
  <si>
    <t>CATEGORÍA: Indicadora buen estado | Indicadora de perturbación | Endémica del Perú | Endémica norte/Piura | Amenazada (D.S.043-2006-AG) | Clave cultural</t>
  </si>
  <si>
    <t>Nombre científico o común</t>
  </si>
  <si>
    <t>Categoría</t>
  </si>
  <si>
    <t>Estado UICN / D.S.043</t>
  </si>
  <si>
    <t>UTM ESTE</t>
  </si>
  <si>
    <t>UTM NORTE</t>
  </si>
  <si>
    <t>N° indiv.</t>
  </si>
  <si>
    <t>Foto N°</t>
  </si>
  <si>
    <t>Observación</t>
  </si>
  <si>
    <t>Indicador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</si>
  <si>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</si>
  <si>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</si>
  <si>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  ★  Marque presencia y pondere intensidad</t>
  </si>
  <si>
    <t>PRESENCIA: marque  Sí / No  en la columna correspondiente  ——  INTENSIDAD: Nula | Ligera | Moderada | Fuerte | Muy fuerte  ——  Haga clic en la celda y escriba el texto de la opción elegida, o simplemente: S / N para presencia, y N/L/M/F/MF para intensidad.</t>
  </si>
  <si>
    <t>Causa / Factor de degradación</t>
  </si>
  <si>
    <t>Presencia
(Sí / No)</t>
  </si>
  <si>
    <t>Intensidad
(N/L/M/F/MF)</t>
  </si>
  <si>
    <t>Extensión
(% bloque)</t>
  </si>
  <si>
    <t>Antigüedad
(años aprox.)</t>
  </si>
  <si>
    <t>Evidencia observada / Descripción</t>
  </si>
  <si>
    <t>3. INDICADORES CUANTITATIVOS DE DEGRADACIÓN</t>
  </si>
  <si>
    <t>Combina observación directa con información de gabinete (MSAVI, NDVI, Theil-Sen). NIVEL: Alto / Medio / Bajo según umbrales de referencia de la columna.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</si>
  <si>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</si>
  <si>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</si>
  <si>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</si>
  <si>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</si>
  <si>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</si>
  <si>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</si>
  <si>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</si>
  <si>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&gt;60% bueno; 30-60% medio; &lt;30% malo</t>
  </si>
  <si>
    <t>Porcentaje de suelo desnudo</t>
  </si>
  <si>
    <t>&lt;10% bueno; 10-30% medio; &gt;30% malo</t>
  </si>
  <si>
    <t>Densidad de cárcavas</t>
  </si>
  <si>
    <t>N°/ha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</si>
  <si>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</si>
  <si>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</si>
  <si>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</si>
  <si>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</si>
  <si>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</si>
  <si>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</si>
  <si>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</si>
  <si>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</si>
  <si>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</si>
  <si>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</si>
  <si>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Factor de susceptibilidad</t>
  </si>
  <si>
    <t>Distancia a vía vecinal más cercana</t>
  </si>
  <si>
    <t>m</t>
  </si>
  <si>
    <t>A menor distancia → mayor presión</t>
  </si>
  <si>
    <t>4. SÍNTESIS DIAGNÓSTICA DE LA DEGRADACIÓN</t>
  </si>
  <si>
    <t>Principal causa subyacente (motor)</t>
  </si>
  <si>
    <t>Velocidad de degradación percibida</t>
  </si>
  <si>
    <t>☐  Muy rápida</t>
  </si>
  <si>
    <t>☐  Rápida</t>
  </si>
  <si>
    <t>☐  Moderada</t>
  </si>
  <si>
    <t>☐  Lenta</t>
  </si>
  <si>
    <t>☐  Estable</t>
  </si>
  <si>
    <t>Reversibilidad técnica</t>
  </si>
  <si>
    <t>☐  Totalmente reversible</t>
  </si>
  <si>
    <t>☐  Parcialmente reversible</t>
  </si>
  <si>
    <t>☐  Difícilmente reversible</t>
  </si>
  <si>
    <t>☐  En recuperación</t>
  </si>
  <si>
    <t>Urgencia de intervención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</si>
  <si>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</si>
  <si>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</si>
  <si>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</si>
  <si>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TIPO: Manantial/Puquio | Quebrada permanente | Quebrada estacional | Río | Canal de riego | Reservorio/Represa | Laguna/Humedal | Pozo/Galería | Bofedal | Otro  ——  RÉGIMEN: Permanente | Estacional (lluvias) | Intermitente | Efímero | Ausente  ——  CALIDAD: Aparentem. buena | Regular (turbia) | Mala (contaminada) | No determinable</t>
  </si>
  <si>
    <t>Tipo de fuente</t>
  </si>
  <si>
    <t>Régimen</t>
  </si>
  <si>
    <t>Calidad
aparente</t>
  </si>
  <si>
    <t>Distancia
bloque (m)</t>
  </si>
  <si>
    <t>Uso observado / Observaciones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</si>
  <si>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</si>
  <si>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</si>
  <si>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</si>
  <si>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</si>
  <si>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</si>
  <si>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</si>
  <si>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</si>
  <si>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</si>
  <si>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</si>
  <si>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</si>
  <si>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☐  Vehicular 4x4 hasta el bloque</t>
  </si>
  <si>
    <t>☐  Vehicular + caminata &lt;30 min</t>
  </si>
  <si>
    <t>☐  Vehicular + caminata 30-90 min</t>
  </si>
  <si>
    <t>☐  Vehicular + caminata &gt;90 min</t>
  </si>
  <si>
    <t>☐  Requiere acémila (páramo/jalca)</t>
  </si>
  <si>
    <t>☐  Inaccesible en lluvias</t>
  </si>
  <si>
    <t>Vía principal de acceso (PE-/PI-/trocha, con código) *</t>
  </si>
  <si>
    <t>Tipo de vía final</t>
  </si>
  <si>
    <t>☐  Nacional asfaltada</t>
  </si>
  <si>
    <t>☐  Nacional afirmada</t>
  </si>
  <si>
    <t>☐  Departamental asfaltada</t>
  </si>
  <si>
    <t>☐  Departamental afirmada</t>
  </si>
  <si>
    <t>☐  Vecinal afirmada</t>
  </si>
  <si>
    <t>☐  Trocha carrozable</t>
  </si>
  <si>
    <t>☐  Camino de herradura</t>
  </si>
  <si>
    <t>Estado transitabilidad — época seca</t>
  </si>
  <si>
    <t>☐  Alto</t>
  </si>
  <si>
    <t>☐  Medio</t>
  </si>
  <si>
    <t>☐  Bajo</t>
  </si>
  <si>
    <t>Estado transitabilidad — época lluviosa</t>
  </si>
  <si>
    <t>Tiempo desde capital distrital (min)</t>
  </si>
  <si>
    <t>Tiempo desde capital provincial (min)</t>
  </si>
  <si>
    <t>Señal celular</t>
  </si>
  <si>
    <t>☐  Completa</t>
  </si>
  <si>
    <t>☐  Parcial</t>
  </si>
  <si>
    <t>☐  Intermitente</t>
  </si>
  <si>
    <t>☐  Sin señal</t>
  </si>
  <si>
    <t>Operador celular dominante</t>
  </si>
  <si>
    <t>Alojamiento rural disponible</t>
  </si>
  <si>
    <t>¿Requiere autorización de Ronda Campesina? *</t>
  </si>
  <si>
    <t>Nombre / Contacto responsable de Ronda</t>
  </si>
  <si>
    <t>★ Campos obligatorios marcados con  *  |  Para marcar opciones: escriba  X  sobre el símbolo ☐ en la celda que corresponda</t>
  </si>
  <si>
    <t>Código del Bloque</t>
  </si>
  <si>
    <t>Código de Microcuenca</t>
  </si>
  <si>
    <t>Provincia</t>
  </si>
  <si>
    <t>Distrito</t>
  </si>
  <si>
    <t>Área del bloque (ha)</t>
  </si>
  <si>
    <t>Ficha N° (correlativo)</t>
  </si>
  <si>
    <t>Microcuenca</t>
  </si>
  <si>
    <t>¿Compactación por pisoteo de ganado?</t>
  </si>
  <si>
    <t>Responsable</t>
  </si>
  <si>
    <t>Fecha (dd-mm-aaaa) *</t>
  </si>
  <si>
    <t>Código de Bloque</t>
  </si>
  <si>
    <t>UTM NORTE
punto de muestreo</t>
  </si>
  <si>
    <t>Longitud Total de Cárcavas (m)</t>
  </si>
  <si>
    <t>% de Bloque afectado por cárcavas</t>
  </si>
  <si>
    <t>Registre una fila por cárcava o grupo de surcos homogéneos. TIPO: Surco&lt;30cm | Cárcava incipiente 30-50cm | Cárcava somera 0.5-2m | Cárcava profunda 2-5m | Cárcava muy profunda &gt;5m | ——  ESTADO: Activa | Semi-activa | Estabilizada c/veg | Estabilizada s/veg  ——  CAUSA: Sobrepastoreo | Tala | Quema | Cambio uso | Expansión | Minería | Erosión natural | Otro</t>
  </si>
  <si>
    <t>☐  Extrema</t>
  </si>
  <si>
    <t>2. DESCRIPCIÓN DE PROCESOS EROSIVOS DEL SUELO</t>
  </si>
  <si>
    <t>Parcela de muestreo</t>
  </si>
  <si>
    <t>☐  Fuerte (cárcavas incipientes, Tipo 1)</t>
  </si>
  <si>
    <t>☐  Severa (cárcavas activas, Tipo 2)</t>
  </si>
  <si>
    <t>☐  Extrema (Tipo 3)</t>
  </si>
  <si>
    <t>Código de Microcuenca *</t>
  </si>
  <si>
    <t>Distrito:</t>
  </si>
  <si>
    <t>Principales causas directas</t>
  </si>
  <si>
    <t>Dirección de Intervenciones Multisectoriales y de Emergencia  |  Subdirección de Estudios de Inversión</t>
  </si>
  <si>
    <t xml:space="preserve">★ Campos obligatorios marcados con  *  |  Para marcar opciones: haga clic en la celda y escriba  X  sobre el símbolo ☐ </t>
  </si>
  <si>
    <t>Movistar</t>
  </si>
  <si>
    <t>Claro</t>
  </si>
  <si>
    <t>Entel</t>
  </si>
  <si>
    <t>Bitel</t>
  </si>
  <si>
    <t xml:space="preserve">Otro: </t>
  </si>
  <si>
    <t xml:space="preserve">★ Campos obligatorios marcados con  * </t>
  </si>
  <si>
    <t>Código de Fotografía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</si>
</sst>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charset val="1"/>
    </font>
    <font>
      <sz val="9"/>
      <color rgb="FF000000"/>
      <name val="Arial"/>
      <charset val="1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1"/>
      <name val="Calibri"/>
      <family val="2"/>
      <charset val="1"/>
    </font>
    <font>
      <b/>
      <i/>
      <sz val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 tint="4.9989318521683403E-2"/>
      <name val="Calibri"/>
      <family val="2"/>
      <charset val="1"/>
    </font>
    <font>
      <b/>
      <sz val="11"/>
      <color theme="1" tint="4.9989318521683403E-2"/>
      <name val="Calibri"/>
      <family val="2"/>
      <charset val="1"/>
    </font>
    <font>
      <b/>
      <i/>
      <sz val="11"/>
      <color theme="1" tint="4.9989318521683403E-2"/>
      <name val="Arial"/>
      <family val="2"/>
    </font>
    <font>
      <b/>
      <sz val="12"/>
      <color theme="1" tint="4.9989318521683403E-2"/>
      <name val="Arial"/>
      <family val="2"/>
    </font>
    <font>
      <sz val="11"/>
      <color theme="1" tint="4.9989318521683403E-2"/>
      <name val="Arial"/>
      <family val="2"/>
    </font>
    <font>
      <sz val="10"/>
      <color theme="1" tint="4.9989318521683403E-2"/>
      <name val="Calibri"/>
      <family val="2"/>
      <charset val="1"/>
    </font>
    <font>
      <b/>
      <sz val="11"/>
      <color rgb="FFFFFFFF"/>
      <name val="Arial"/>
      <family val="2"/>
    </font>
    <font>
      <i/>
      <sz val="11"/>
      <color theme="1" tint="4.9989318521683403E-2"/>
      <name val="Arial"/>
      <family val="2"/>
    </font>
    <font>
      <sz val="8"/>
      <name val="Calibri"/>
      <family val="2"/>
      <charset val="1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Calibri"/>
      <family val="2"/>
      <charset val="1"/>
    </font>
    <font>
      <b/>
      <sz val="12"/>
      <color rgb="FF000000"/>
      <name val="Arial"/>
      <family val="2"/>
    </font>
    <font>
      <sz val="12"/>
      <color theme="1"/>
      <name val="Calibri"/>
      <family val="2"/>
      <charset val="1"/>
    </font>
    <font>
      <sz val="12"/>
      <color rgb="FF000000"/>
      <name val="Arial"/>
      <family val="2"/>
    </font>
    <font>
      <b/>
      <sz val="14"/>
      <color theme="1" tint="4.9989318521683403E-2"/>
      <name val="Arial"/>
      <family val="2"/>
    </font>
    <font>
      <b/>
      <sz val="12"/>
      <color theme="1"/>
      <name val="Calibri"/>
      <family val="2"/>
      <charset val="1"/>
    </font>
    <font>
      <b/>
      <i/>
      <sz val="12"/>
      <color theme="1" tint="4.9989318521683403E-2"/>
      <name val="Arial"/>
      <family val="2"/>
    </font>
    <font>
      <sz val="12"/>
      <color theme="1" tint="4.9989318521683403E-2"/>
      <name val="Arial"/>
      <family val="2"/>
    </font>
    <font>
      <i/>
      <sz val="12"/>
      <color theme="1" tint="4.9989318521683403E-2"/>
      <name val="Arial"/>
      <family val="2"/>
    </font>
    <font>
      <b/>
      <sz val="12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B4D2E"/>
        <bgColor rgb="FF2E5336"/>
      </patternFill>
    </fill>
    <fill>
      <patternFill patternType="solid">
        <fgColor rgb="FFF5F5F5"/>
        <bgColor rgb="FFF1F8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1F8F1"/>
      </patternFill>
    </fill>
    <fill>
      <patternFill patternType="solid">
        <fgColor theme="0"/>
        <bgColor rgb="FFFFF8E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E5336"/>
      </patternFill>
    </fill>
    <fill>
      <patternFill patternType="solid">
        <fgColor theme="0"/>
        <bgColor rgb="FF2E7D32"/>
      </patternFill>
    </fill>
    <fill>
      <patternFill patternType="solid">
        <fgColor theme="0"/>
        <bgColor rgb="FF1B4D2E"/>
      </patternFill>
    </fill>
    <fill>
      <patternFill patternType="solid">
        <fgColor theme="0"/>
        <bgColor rgb="FFE8F5E9"/>
      </patternFill>
    </fill>
    <fill>
      <patternFill patternType="solid">
        <fgColor theme="0"/>
        <bgColor rgb="FFFFFDE7"/>
      </patternFill>
    </fill>
    <fill>
      <patternFill patternType="solid">
        <fgColor theme="0" tint="-0.14999847407452621"/>
        <bgColor rgb="FF2E5336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rgb="FFF1F8F1"/>
      </patternFill>
    </fill>
    <fill>
      <patternFill patternType="solid">
        <fgColor theme="0"/>
        <bgColor rgb="FFFAFAFA"/>
      </patternFill>
    </fill>
  </fills>
  <borders count="8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57575"/>
      </left>
      <right/>
      <top style="medium">
        <color rgb="FF757575"/>
      </top>
      <bottom style="medium">
        <color rgb="FF757575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/>
      <bottom/>
      <diagonal/>
    </border>
    <border>
      <left style="thin">
        <color rgb="FFBDBDBD"/>
      </left>
      <right/>
      <top/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 style="medium">
        <color rgb="FF757575"/>
      </left>
      <right/>
      <top style="medium">
        <color rgb="FF757575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rgb="FFBDBDBD"/>
      </left>
      <right/>
      <top style="thin">
        <color rgb="FFBDBDBD"/>
      </top>
      <bottom/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 style="medium">
        <color theme="1" tint="4.9989318521683403E-2"/>
      </left>
      <right/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rgb="FF757575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rgb="FF757575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rgb="FF757575"/>
      </left>
      <right/>
      <top style="medium">
        <color theme="1" tint="4.9989318521683403E-2"/>
      </top>
      <bottom/>
      <diagonal/>
    </border>
    <border>
      <left style="medium">
        <color rgb="FF757575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/>
      <bottom/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rgb="FFBDBDBD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rgb="FFBDBDBD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rgb="FF757575"/>
      </left>
      <right/>
      <top/>
      <bottom style="medium">
        <color theme="1" tint="4.9989318521683403E-2"/>
      </bottom>
      <diagonal/>
    </border>
    <border>
      <left style="medium">
        <color rgb="FF757575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rgb="FFBDBDBD"/>
      </left>
      <right/>
      <top style="medium">
        <color rgb="FF757575"/>
      </top>
      <bottom style="medium">
        <color rgb="FF757575"/>
      </bottom>
      <diagonal/>
    </border>
    <border>
      <left/>
      <right/>
      <top style="medium">
        <color rgb="FF757575"/>
      </top>
      <bottom style="medium">
        <color rgb="FF757575"/>
      </bottom>
      <diagonal/>
    </border>
    <border>
      <left style="medium">
        <color rgb="FF757575"/>
      </left>
      <right/>
      <top/>
      <bottom style="medium">
        <color rgb="FF757575"/>
      </bottom>
      <diagonal/>
    </border>
    <border>
      <left style="thin">
        <color rgb="FFBDBDBD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thin">
        <color rgb="FFBDBDBD"/>
      </left>
      <right/>
      <top/>
      <bottom style="medium">
        <color theme="1" tint="4.9989318521683403E-2"/>
      </bottom>
      <diagonal/>
    </border>
    <border>
      <left style="thin">
        <color rgb="FFBDBDBD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rgb="FFBDBDBD"/>
      </left>
      <right style="thin">
        <color rgb="FFBDBDBD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 style="thin">
        <color rgb="FFBDBDBD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rgb="FF757575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theme="1" tint="4.9989318521683403E-2"/>
      </bottom>
      <diagonal/>
    </border>
    <border>
      <left style="medium">
        <color indexed="64"/>
      </left>
      <right style="medium">
        <color indexed="64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indexed="64"/>
      </left>
      <right style="medium">
        <color indexed="64"/>
      </right>
      <top style="medium">
        <color theme="1" tint="4.9989318521683403E-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DBDBD"/>
      </left>
      <right/>
      <top style="medium">
        <color indexed="64"/>
      </top>
      <bottom style="medium">
        <color indexed="64"/>
      </bottom>
      <diagonal/>
    </border>
    <border>
      <left style="thin">
        <color rgb="FFBDBDBD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757575"/>
      </left>
      <right/>
      <top style="medium">
        <color indexed="64"/>
      </top>
      <bottom/>
      <diagonal/>
    </border>
    <border>
      <left style="medium">
        <color rgb="FF757575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indexed="64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indexed="64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medium">
        <color theme="1" tint="4.9989318521683403E-2"/>
      </left>
      <right style="medium">
        <color indexed="64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indexed="64"/>
      </left>
      <right/>
      <top/>
      <bottom style="medium">
        <color rgb="FF757575"/>
      </bottom>
      <diagonal/>
    </border>
    <border>
      <left style="medium">
        <color rgb="FF757575"/>
      </left>
      <right style="medium">
        <color indexed="64"/>
      </right>
      <top/>
      <bottom style="medium">
        <color rgb="FF757575"/>
      </bottom>
      <diagonal/>
    </border>
    <border>
      <left style="medium">
        <color indexed="64"/>
      </left>
      <right/>
      <top style="thin">
        <color rgb="FFBDBDBD"/>
      </top>
      <bottom/>
      <diagonal/>
    </border>
    <border>
      <left style="thin">
        <color rgb="FFBDBDBD"/>
      </left>
      <right style="medium">
        <color indexed="64"/>
      </right>
      <top style="thin">
        <color rgb="FFBDBDBD"/>
      </top>
      <bottom/>
      <diagonal/>
    </border>
    <border>
      <left style="medium">
        <color rgb="FF757575"/>
      </left>
      <right style="medium">
        <color indexed="64"/>
      </right>
      <top style="medium">
        <color rgb="FF757575"/>
      </top>
      <bottom style="medium">
        <color rgb="FF757575"/>
      </bottom>
      <diagonal/>
    </border>
    <border>
      <left style="medium">
        <color indexed="64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rgb="FF757575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DBDBD"/>
      </left>
      <right/>
      <top style="medium">
        <color rgb="FF757575"/>
      </top>
      <bottom style="medium">
        <color theme="1" tint="4.9989318521683403E-2"/>
      </bottom>
      <diagonal/>
    </border>
    <border>
      <left/>
      <right/>
      <top style="medium">
        <color rgb="FF757575"/>
      </top>
      <bottom style="medium">
        <color theme="1" tint="4.9989318521683403E-2"/>
      </bottom>
      <diagonal/>
    </border>
    <border>
      <left style="medium">
        <color indexed="64"/>
      </left>
      <right/>
      <top style="medium">
        <color theme="1" tint="4.9989318521683403E-2"/>
      </top>
      <bottom/>
      <diagonal/>
    </border>
  </borders>
  <cellStyleXfs count="1">
    <xf numFmtId="0" fontId="0" fillId="0" borderId="0"/>
  </cellStyleXfs>
  <cellXfs count="349">
    <xf numFmtId="0" fontId="0" fillId="0" borderId="0" xfId="0"/>
    <xf numFmtId="0" fontId="6" fillId="0" borderId="0" xfId="0" applyFont="1"/>
    <xf numFmtId="0" fontId="8" fillId="0" borderId="1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12" fillId="0" borderId="0" xfId="0" applyFont="1"/>
    <xf numFmtId="0" fontId="8" fillId="0" borderId="21" xfId="0" applyFont="1" applyBorder="1" applyAlignment="1">
      <alignment horizontal="left" vertical="center" wrapText="1"/>
    </xf>
    <xf numFmtId="0" fontId="10" fillId="0" borderId="13" xfId="0" applyFont="1" applyBorder="1"/>
    <xf numFmtId="0" fontId="10" fillId="0" borderId="22" xfId="0" applyFont="1" applyBorder="1"/>
    <xf numFmtId="0" fontId="8" fillId="0" borderId="28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9" fillId="0" borderId="42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11" fillId="0" borderId="0" xfId="0" applyFont="1"/>
    <xf numFmtId="0" fontId="0" fillId="7" borderId="0" xfId="0" applyFill="1"/>
    <xf numFmtId="0" fontId="12" fillId="7" borderId="0" xfId="0" applyFont="1" applyFill="1"/>
    <xf numFmtId="0" fontId="7" fillId="7" borderId="0" xfId="0" applyFont="1" applyFill="1"/>
    <xf numFmtId="0" fontId="16" fillId="7" borderId="0" xfId="0" applyFont="1" applyFill="1"/>
    <xf numFmtId="0" fontId="17" fillId="7" borderId="0" xfId="0" applyFont="1" applyFill="1"/>
    <xf numFmtId="0" fontId="17" fillId="7" borderId="0" xfId="0" applyFont="1" applyFill="1" applyAlignment="1">
      <alignment horizontal="center"/>
    </xf>
    <xf numFmtId="0" fontId="10" fillId="7" borderId="0" xfId="0" applyFont="1" applyFill="1"/>
    <xf numFmtId="0" fontId="21" fillId="7" borderId="0" xfId="0" applyFont="1" applyFill="1"/>
    <xf numFmtId="0" fontId="14" fillId="0" borderId="8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left" vertical="center" wrapText="1"/>
    </xf>
    <xf numFmtId="0" fontId="15" fillId="0" borderId="41" xfId="0" applyFont="1" applyBorder="1" applyAlignment="1">
      <alignment horizontal="left" vertical="center" wrapText="1"/>
    </xf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vertical="center" wrapText="1"/>
    </xf>
    <xf numFmtId="0" fontId="10" fillId="0" borderId="8" xfId="0" applyFont="1" applyBorder="1"/>
    <xf numFmtId="0" fontId="10" fillId="0" borderId="29" xfId="0" applyFont="1" applyBorder="1"/>
    <xf numFmtId="0" fontId="1" fillId="0" borderId="16" xfId="0" applyFont="1" applyBorder="1" applyAlignment="1">
      <alignment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7" fillId="0" borderId="0" xfId="0" applyFont="1"/>
    <xf numFmtId="0" fontId="28" fillId="0" borderId="16" xfId="0" applyFont="1" applyBorder="1" applyAlignment="1">
      <alignment horizontal="center" vertical="center" wrapText="1"/>
    </xf>
    <xf numFmtId="0" fontId="29" fillId="0" borderId="0" xfId="0" applyFont="1"/>
    <xf numFmtId="0" fontId="28" fillId="5" borderId="8" xfId="0" applyFont="1" applyFill="1" applyBorder="1" applyAlignment="1">
      <alignment horizontal="left" vertical="center" wrapText="1"/>
    </xf>
    <xf numFmtId="0" fontId="30" fillId="0" borderId="29" xfId="0" applyFont="1" applyBorder="1" applyAlignment="1">
      <alignment vertical="center" wrapText="1"/>
    </xf>
    <xf numFmtId="0" fontId="28" fillId="5" borderId="44" xfId="0" applyFont="1" applyFill="1" applyBorder="1" applyAlignment="1">
      <alignment horizontal="center" vertical="center" wrapText="1"/>
    </xf>
    <xf numFmtId="0" fontId="30" fillId="0" borderId="44" xfId="0" applyFont="1" applyBorder="1" applyAlignment="1">
      <alignment vertical="center" wrapText="1"/>
    </xf>
    <xf numFmtId="0" fontId="28" fillId="4" borderId="44" xfId="0" applyFont="1" applyFill="1" applyBorder="1" applyAlignment="1">
      <alignment vertical="center" wrapText="1"/>
    </xf>
    <xf numFmtId="0" fontId="28" fillId="5" borderId="44" xfId="0" applyFont="1" applyFill="1" applyBorder="1" applyAlignment="1">
      <alignment horizontal="left" vertical="center" wrapText="1"/>
    </xf>
    <xf numFmtId="0" fontId="26" fillId="4" borderId="44" xfId="0" applyFont="1" applyFill="1" applyBorder="1" applyAlignment="1">
      <alignment vertical="center" wrapText="1"/>
    </xf>
    <xf numFmtId="0" fontId="28" fillId="3" borderId="16" xfId="0" applyFont="1" applyFill="1" applyBorder="1" applyAlignment="1">
      <alignment horizontal="left" vertical="center" wrapText="1"/>
    </xf>
    <xf numFmtId="0" fontId="30" fillId="6" borderId="16" xfId="0" applyFont="1" applyFill="1" applyBorder="1" applyAlignment="1">
      <alignment vertical="center" wrapText="1"/>
    </xf>
    <xf numFmtId="0" fontId="28" fillId="3" borderId="8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vertical="center" wrapText="1"/>
    </xf>
    <xf numFmtId="0" fontId="28" fillId="6" borderId="8" xfId="0" applyFont="1" applyFill="1" applyBorder="1" applyAlignment="1">
      <alignment vertical="center" wrapText="1"/>
    </xf>
    <xf numFmtId="0" fontId="28" fillId="3" borderId="28" xfId="0" applyFont="1" applyFill="1" applyBorder="1" applyAlignment="1">
      <alignment horizontal="left" vertical="center" wrapText="1"/>
    </xf>
    <xf numFmtId="0" fontId="30" fillId="6" borderId="8" xfId="0" applyFont="1" applyFill="1" applyBorder="1" applyAlignment="1">
      <alignment vertical="center" wrapText="1"/>
    </xf>
    <xf numFmtId="0" fontId="28" fillId="3" borderId="11" xfId="0" applyFont="1" applyFill="1" applyBorder="1" applyAlignment="1">
      <alignment horizontal="left" vertical="center" wrapText="1"/>
    </xf>
    <xf numFmtId="0" fontId="28" fillId="6" borderId="15" xfId="0" applyFont="1" applyFill="1" applyBorder="1" applyAlignment="1">
      <alignment vertical="center" wrapText="1"/>
    </xf>
    <xf numFmtId="0" fontId="28" fillId="3" borderId="24" xfId="0" applyFont="1" applyFill="1" applyBorder="1" applyAlignment="1">
      <alignment horizontal="left" vertical="center" wrapText="1"/>
    </xf>
    <xf numFmtId="0" fontId="30" fillId="6" borderId="15" xfId="0" applyFont="1" applyFill="1" applyBorder="1" applyAlignment="1">
      <alignment vertical="center" wrapText="1"/>
    </xf>
    <xf numFmtId="0" fontId="28" fillId="12" borderId="8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left" vertical="center" wrapText="1"/>
    </xf>
    <xf numFmtId="0" fontId="19" fillId="13" borderId="8" xfId="0" applyFont="1" applyFill="1" applyBorder="1" applyAlignment="1">
      <alignment horizontal="center" vertical="center" wrapText="1"/>
    </xf>
    <xf numFmtId="0" fontId="30" fillId="14" borderId="8" xfId="0" applyFont="1" applyFill="1" applyBorder="1" applyAlignment="1">
      <alignment horizontal="center" vertical="center" wrapText="1"/>
    </xf>
    <xf numFmtId="0" fontId="30" fillId="14" borderId="8" xfId="0" applyFont="1" applyFill="1" applyBorder="1" applyAlignment="1">
      <alignment horizontal="left" vertical="center" wrapText="1"/>
    </xf>
    <xf numFmtId="0" fontId="19" fillId="8" borderId="50" xfId="0" applyFont="1" applyFill="1" applyBorder="1" applyAlignment="1">
      <alignment horizontal="center" vertical="center" wrapText="1"/>
    </xf>
    <xf numFmtId="0" fontId="30" fillId="14" borderId="11" xfId="0" applyFont="1" applyFill="1" applyBorder="1" applyAlignment="1">
      <alignment horizontal="center" vertical="center" wrapText="1"/>
    </xf>
    <xf numFmtId="0" fontId="30" fillId="14" borderId="16" xfId="0" applyFont="1" applyFill="1" applyBorder="1" applyAlignment="1">
      <alignment horizontal="center" vertical="center" wrapText="1"/>
    </xf>
    <xf numFmtId="0" fontId="19" fillId="8" borderId="47" xfId="0" applyFont="1" applyFill="1" applyBorder="1" applyAlignment="1">
      <alignment horizontal="center" vertical="center" wrapText="1"/>
    </xf>
    <xf numFmtId="0" fontId="30" fillId="14" borderId="51" xfId="0" applyFont="1" applyFill="1" applyBorder="1" applyAlignment="1">
      <alignment horizontal="left" vertical="center" wrapText="1"/>
    </xf>
    <xf numFmtId="0" fontId="30" fillId="14" borderId="52" xfId="0" applyFont="1" applyFill="1" applyBorder="1" applyAlignment="1">
      <alignment horizontal="left" vertical="center" wrapText="1"/>
    </xf>
    <xf numFmtId="0" fontId="30" fillId="14" borderId="53" xfId="0" applyFont="1" applyFill="1" applyBorder="1" applyAlignment="1">
      <alignment horizontal="left" vertical="center" wrapText="1"/>
    </xf>
    <xf numFmtId="0" fontId="19" fillId="15" borderId="8" xfId="0" applyFont="1" applyFill="1" applyBorder="1" applyAlignment="1">
      <alignment horizontal="left" vertical="center" wrapText="1"/>
    </xf>
    <xf numFmtId="0" fontId="34" fillId="6" borderId="8" xfId="0" applyFont="1" applyFill="1" applyBorder="1" applyAlignment="1">
      <alignment vertical="center" wrapText="1"/>
    </xf>
    <xf numFmtId="0" fontId="19" fillId="15" borderId="15" xfId="0" applyFont="1" applyFill="1" applyBorder="1" applyAlignment="1">
      <alignment horizontal="left" vertical="center" wrapText="1"/>
    </xf>
    <xf numFmtId="0" fontId="19" fillId="8" borderId="8" xfId="0" applyFont="1" applyFill="1" applyBorder="1" applyAlignment="1">
      <alignment horizontal="center" vertical="center" wrapText="1"/>
    </xf>
    <xf numFmtId="0" fontId="34" fillId="16" borderId="8" xfId="0" applyFont="1" applyFill="1" applyBorder="1" applyAlignment="1">
      <alignment horizontal="left" vertical="center" wrapText="1"/>
    </xf>
    <xf numFmtId="0" fontId="19" fillId="8" borderId="28" xfId="0" applyFont="1" applyFill="1" applyBorder="1" applyAlignment="1">
      <alignment horizontal="center" vertical="center" wrapText="1"/>
    </xf>
    <xf numFmtId="0" fontId="34" fillId="14" borderId="8" xfId="0" applyFont="1" applyFill="1" applyBorder="1" applyAlignment="1">
      <alignment horizontal="left" vertical="center" wrapText="1"/>
    </xf>
    <xf numFmtId="0" fontId="34" fillId="14" borderId="28" xfId="0" applyFont="1" applyFill="1" applyBorder="1" applyAlignment="1">
      <alignment horizontal="left" vertical="center" wrapText="1"/>
    </xf>
    <xf numFmtId="0" fontId="29" fillId="0" borderId="50" xfId="0" applyFont="1" applyBorder="1"/>
    <xf numFmtId="0" fontId="29" fillId="0" borderId="59" xfId="0" applyFont="1" applyBorder="1"/>
    <xf numFmtId="0" fontId="29" fillId="0" borderId="58" xfId="0" applyFont="1" applyBorder="1"/>
    <xf numFmtId="0" fontId="34" fillId="6" borderId="50" xfId="0" applyFont="1" applyFill="1" applyBorder="1" applyAlignment="1">
      <alignment vertical="center" wrapText="1"/>
    </xf>
    <xf numFmtId="0" fontId="34" fillId="6" borderId="60" xfId="0" applyFont="1" applyFill="1" applyBorder="1" applyAlignment="1">
      <alignment vertical="center" wrapText="1"/>
    </xf>
    <xf numFmtId="0" fontId="34" fillId="6" borderId="61" xfId="0" applyFont="1" applyFill="1" applyBorder="1" applyAlignment="1">
      <alignment vertical="center" wrapText="1"/>
    </xf>
    <xf numFmtId="0" fontId="34" fillId="12" borderId="44" xfId="0" applyFont="1" applyFill="1" applyBorder="1" applyAlignment="1">
      <alignment horizontal="left" vertical="center" wrapText="1"/>
    </xf>
    <xf numFmtId="0" fontId="34" fillId="12" borderId="44" xfId="0" applyFont="1" applyFill="1" applyBorder="1" applyAlignment="1">
      <alignment vertical="center" wrapText="1"/>
    </xf>
    <xf numFmtId="0" fontId="34" fillId="12" borderId="64" xfId="0" applyFont="1" applyFill="1" applyBorder="1" applyAlignment="1">
      <alignment horizontal="left" vertical="center" wrapText="1"/>
    </xf>
    <xf numFmtId="0" fontId="34" fillId="14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4" fillId="12" borderId="65" xfId="0" applyFont="1" applyFill="1" applyBorder="1" applyAlignment="1">
      <alignment horizontal="left" vertical="center" wrapText="1"/>
    </xf>
    <xf numFmtId="0" fontId="34" fillId="12" borderId="46" xfId="0" applyFont="1" applyFill="1" applyBorder="1" applyAlignment="1">
      <alignment horizontal="left" vertical="center" wrapText="1"/>
    </xf>
    <xf numFmtId="0" fontId="19" fillId="15" borderId="68" xfId="0" applyFont="1" applyFill="1" applyBorder="1" applyAlignment="1">
      <alignment horizontal="left" vertical="center" wrapText="1"/>
    </xf>
    <xf numFmtId="0" fontId="19" fillId="15" borderId="70" xfId="0" applyFont="1" applyFill="1" applyBorder="1" applyAlignment="1">
      <alignment horizontal="left" vertical="center" wrapText="1"/>
    </xf>
    <xf numFmtId="0" fontId="19" fillId="15" borderId="71" xfId="0" applyFont="1" applyFill="1" applyBorder="1" applyAlignment="1">
      <alignment horizontal="left" vertical="center" wrapText="1"/>
    </xf>
    <xf numFmtId="0" fontId="19" fillId="8" borderId="68" xfId="0" applyFont="1" applyFill="1" applyBorder="1" applyAlignment="1">
      <alignment horizontal="center" vertical="center" wrapText="1"/>
    </xf>
    <xf numFmtId="0" fontId="19" fillId="8" borderId="71" xfId="0" applyFont="1" applyFill="1" applyBorder="1" applyAlignment="1">
      <alignment horizontal="center" vertical="center" wrapText="1"/>
    </xf>
    <xf numFmtId="0" fontId="34" fillId="16" borderId="68" xfId="0" applyFont="1" applyFill="1" applyBorder="1" applyAlignment="1">
      <alignment horizontal="center" vertical="center" wrapText="1"/>
    </xf>
    <xf numFmtId="0" fontId="34" fillId="16" borderId="71" xfId="0" applyFont="1" applyFill="1" applyBorder="1" applyAlignment="1">
      <alignment horizontal="left" vertical="center" wrapText="1"/>
    </xf>
    <xf numFmtId="0" fontId="19" fillId="8" borderId="77" xfId="0" applyFont="1" applyFill="1" applyBorder="1" applyAlignment="1">
      <alignment horizontal="center" vertical="center" wrapText="1"/>
    </xf>
    <xf numFmtId="0" fontId="19" fillId="8" borderId="69" xfId="0" applyFont="1" applyFill="1" applyBorder="1" applyAlignment="1">
      <alignment horizontal="center" vertical="center" wrapText="1"/>
    </xf>
    <xf numFmtId="0" fontId="34" fillId="14" borderId="77" xfId="0" applyFont="1" applyFill="1" applyBorder="1" applyAlignment="1">
      <alignment horizontal="center" vertical="center" wrapText="1"/>
    </xf>
    <xf numFmtId="0" fontId="34" fillId="14" borderId="69" xfId="0" applyFont="1" applyFill="1" applyBorder="1" applyAlignment="1">
      <alignment horizontal="left" vertical="center" wrapText="1"/>
    </xf>
    <xf numFmtId="0" fontId="34" fillId="12" borderId="81" xfId="0" applyFont="1" applyFill="1" applyBorder="1" applyAlignment="1">
      <alignment horizontal="left" vertical="center" wrapText="1"/>
    </xf>
    <xf numFmtId="0" fontId="34" fillId="12" borderId="82" xfId="0" applyFont="1" applyFill="1" applyBorder="1" applyAlignment="1">
      <alignment horizontal="left" vertical="center" wrapText="1"/>
    </xf>
    <xf numFmtId="0" fontId="34" fillId="12" borderId="82" xfId="0" applyFont="1" applyFill="1" applyBorder="1" applyAlignment="1">
      <alignment vertical="center" wrapText="1"/>
    </xf>
    <xf numFmtId="0" fontId="34" fillId="14" borderId="8" xfId="0" applyFont="1" applyFill="1" applyBorder="1" applyAlignment="1">
      <alignment horizontal="center" vertical="center" wrapText="1"/>
    </xf>
    <xf numFmtId="0" fontId="19" fillId="12" borderId="1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vertical="center" wrapText="1"/>
    </xf>
    <xf numFmtId="0" fontId="19" fillId="12" borderId="44" xfId="0" applyFont="1" applyFill="1" applyBorder="1" applyAlignment="1">
      <alignment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9" fillId="12" borderId="15" xfId="0" applyFont="1" applyFill="1" applyBorder="1" applyAlignment="1">
      <alignment horizontal="left" vertical="center" wrapText="1"/>
    </xf>
    <xf numFmtId="0" fontId="19" fillId="12" borderId="15" xfId="0" applyFont="1" applyFill="1" applyBorder="1" applyAlignment="1">
      <alignment vertical="center" wrapText="1"/>
    </xf>
    <xf numFmtId="0" fontId="19" fillId="15" borderId="8" xfId="0" applyFont="1" applyFill="1" applyBorder="1" applyAlignment="1">
      <alignment horizontal="center" vertical="center" wrapText="1"/>
    </xf>
    <xf numFmtId="0" fontId="19" fillId="12" borderId="29" xfId="0" applyFont="1" applyFill="1" applyBorder="1" applyAlignment="1">
      <alignment vertical="center" wrapText="1"/>
    </xf>
    <xf numFmtId="0" fontId="19" fillId="9" borderId="16" xfId="0" applyFont="1" applyFill="1" applyBorder="1" applyAlignment="1">
      <alignment vertical="center" wrapText="1"/>
    </xf>
    <xf numFmtId="0" fontId="19" fillId="9" borderId="28" xfId="0" applyFont="1" applyFill="1" applyBorder="1" applyAlignment="1">
      <alignment vertical="center" wrapText="1"/>
    </xf>
    <xf numFmtId="0" fontId="19" fillId="9" borderId="24" xfId="0" applyFont="1" applyFill="1" applyBorder="1" applyAlignment="1">
      <alignment vertical="center" wrapText="1"/>
    </xf>
    <xf numFmtId="0" fontId="29" fillId="0" borderId="44" xfId="0" applyFont="1" applyBorder="1" applyAlignment="1">
      <alignment horizontal="center"/>
    </xf>
    <xf numFmtId="0" fontId="19" fillId="12" borderId="8" xfId="0" applyFont="1" applyFill="1" applyBorder="1" applyAlignment="1">
      <alignment horizontal="center" vertical="center" wrapText="1"/>
    </xf>
    <xf numFmtId="0" fontId="19" fillId="12" borderId="84" xfId="0" applyFont="1" applyFill="1" applyBorder="1" applyAlignment="1">
      <alignment horizontal="center" vertical="center" wrapText="1"/>
    </xf>
    <xf numFmtId="0" fontId="19" fillId="12" borderId="77" xfId="0" applyFont="1" applyFill="1" applyBorder="1" applyAlignment="1">
      <alignment horizontal="center" vertical="center" wrapText="1"/>
    </xf>
    <xf numFmtId="0" fontId="19" fillId="12" borderId="10" xfId="0" applyFont="1" applyFill="1" applyBorder="1" applyAlignment="1">
      <alignment horizontal="center" vertical="center" wrapText="1"/>
    </xf>
    <xf numFmtId="0" fontId="19" fillId="12" borderId="88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left" vertical="center" wrapText="1"/>
    </xf>
    <xf numFmtId="0" fontId="9" fillId="6" borderId="26" xfId="0" applyFont="1" applyFill="1" applyBorder="1" applyAlignment="1">
      <alignment horizontal="left" vertical="center" wrapText="1"/>
    </xf>
    <xf numFmtId="0" fontId="9" fillId="6" borderId="27" xfId="0" applyFont="1" applyFill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8" fillId="6" borderId="9" xfId="0" applyFont="1" applyFill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28" fillId="5" borderId="16" xfId="0" applyFont="1" applyFill="1" applyBorder="1" applyAlignment="1">
      <alignment horizontal="center" vertical="center" wrapText="1"/>
    </xf>
    <xf numFmtId="0" fontId="28" fillId="5" borderId="28" xfId="0" applyFont="1" applyFill="1" applyBorder="1" applyAlignment="1">
      <alignment horizontal="center" vertical="center" wrapText="1"/>
    </xf>
    <xf numFmtId="0" fontId="28" fillId="5" borderId="29" xfId="0" applyFont="1" applyFill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6" fillId="6" borderId="9" xfId="0" applyFont="1" applyFill="1" applyBorder="1" applyAlignment="1">
      <alignment horizontal="left" vertical="center" wrapText="1"/>
    </xf>
    <xf numFmtId="0" fontId="2" fillId="0" borderId="4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8" fillId="4" borderId="16" xfId="0" applyFont="1" applyFill="1" applyBorder="1" applyAlignment="1">
      <alignment horizontal="center" vertical="center" wrapText="1"/>
    </xf>
    <xf numFmtId="0" fontId="28" fillId="4" borderId="29" xfId="0" applyFont="1" applyFill="1" applyBorder="1" applyAlignment="1">
      <alignment horizontal="center" vertical="center" wrapText="1"/>
    </xf>
    <xf numFmtId="0" fontId="28" fillId="5" borderId="13" xfId="0" applyFont="1" applyFill="1" applyBorder="1" applyAlignment="1">
      <alignment horizontal="center" vertical="center" wrapText="1"/>
    </xf>
    <xf numFmtId="0" fontId="28" fillId="5" borderId="15" xfId="0" applyFont="1" applyFill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0" fontId="30" fillId="0" borderId="45" xfId="0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0" fontId="28" fillId="7" borderId="45" xfId="0" applyFont="1" applyFill="1" applyBorder="1" applyAlignment="1">
      <alignment horizontal="center" vertical="center" wrapText="1"/>
    </xf>
    <xf numFmtId="0" fontId="28" fillId="7" borderId="46" xfId="0" applyFont="1" applyFill="1" applyBorder="1" applyAlignment="1">
      <alignment horizontal="center" vertical="center" wrapText="1"/>
    </xf>
    <xf numFmtId="0" fontId="28" fillId="4" borderId="45" xfId="0" applyFont="1" applyFill="1" applyBorder="1" applyAlignment="1">
      <alignment horizontal="center" vertical="center" wrapText="1"/>
    </xf>
    <xf numFmtId="0" fontId="28" fillId="4" borderId="46" xfId="0" applyFont="1" applyFill="1" applyBorder="1" applyAlignment="1">
      <alignment horizontal="center" vertical="center" wrapText="1"/>
    </xf>
    <xf numFmtId="0" fontId="13" fillId="6" borderId="35" xfId="0" applyFont="1" applyFill="1" applyBorder="1" applyAlignment="1">
      <alignment horizontal="center" vertical="center" wrapText="1"/>
    </xf>
    <xf numFmtId="0" fontId="13" fillId="6" borderId="36" xfId="0" applyFont="1" applyFill="1" applyBorder="1" applyAlignment="1">
      <alignment horizontal="center" vertical="center" wrapText="1"/>
    </xf>
    <xf numFmtId="0" fontId="30" fillId="6" borderId="28" xfId="0" applyFont="1" applyFill="1" applyBorder="1" applyAlignment="1">
      <alignment horizontal="center" vertical="center" wrapText="1"/>
    </xf>
    <xf numFmtId="0" fontId="30" fillId="6" borderId="29" xfId="0" applyFont="1" applyFill="1" applyBorder="1" applyAlignment="1">
      <alignment horizontal="center" vertical="center" wrapText="1"/>
    </xf>
    <xf numFmtId="0" fontId="28" fillId="3" borderId="16" xfId="0" applyFont="1" applyFill="1" applyBorder="1" applyAlignment="1">
      <alignment horizontal="center" vertical="center" wrapText="1"/>
    </xf>
    <xf numFmtId="0" fontId="28" fillId="3" borderId="29" xfId="0" applyFont="1" applyFill="1" applyBorder="1" applyAlignment="1">
      <alignment horizontal="center" vertical="center" wrapText="1"/>
    </xf>
    <xf numFmtId="0" fontId="28" fillId="3" borderId="24" xfId="0" applyFont="1" applyFill="1" applyBorder="1" applyAlignment="1">
      <alignment horizontal="center" vertical="center" wrapText="1"/>
    </xf>
    <xf numFmtId="0" fontId="32" fillId="12" borderId="16" xfId="0" applyFont="1" applyFill="1" applyBorder="1" applyAlignment="1">
      <alignment horizontal="center"/>
    </xf>
    <xf numFmtId="0" fontId="32" fillId="12" borderId="29" xfId="0" applyFont="1" applyFill="1" applyBorder="1" applyAlignment="1">
      <alignment horizontal="center"/>
    </xf>
    <xf numFmtId="0" fontId="28" fillId="3" borderId="13" xfId="0" applyFont="1" applyFill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center" vertical="center" wrapText="1"/>
    </xf>
    <xf numFmtId="0" fontId="28" fillId="3" borderId="15" xfId="0" applyFont="1" applyFill="1" applyBorder="1" applyAlignment="1">
      <alignment horizontal="center" vertical="center" wrapText="1"/>
    </xf>
    <xf numFmtId="0" fontId="28" fillId="12" borderId="16" xfId="0" applyFont="1" applyFill="1" applyBorder="1" applyAlignment="1">
      <alignment horizontal="left" vertical="center" wrapText="1"/>
    </xf>
    <xf numFmtId="0" fontId="28" fillId="12" borderId="28" xfId="0" applyFont="1" applyFill="1" applyBorder="1" applyAlignment="1">
      <alignment horizontal="left" vertical="center" wrapText="1"/>
    </xf>
    <xf numFmtId="0" fontId="28" fillId="12" borderId="16" xfId="0" applyFont="1" applyFill="1" applyBorder="1" applyAlignment="1">
      <alignment horizontal="center" vertical="center" wrapText="1"/>
    </xf>
    <xf numFmtId="0" fontId="28" fillId="12" borderId="29" xfId="0" applyFont="1" applyFill="1" applyBorder="1" applyAlignment="1">
      <alignment horizontal="center" vertical="center" wrapText="1"/>
    </xf>
    <xf numFmtId="0" fontId="28" fillId="12" borderId="27" xfId="0" applyFont="1" applyFill="1" applyBorder="1" applyAlignment="1">
      <alignment horizontal="left" vertical="center" wrapText="1"/>
    </xf>
    <xf numFmtId="0" fontId="28" fillId="12" borderId="26" xfId="0" applyFont="1" applyFill="1" applyBorder="1" applyAlignment="1">
      <alignment horizontal="center" vertical="center" wrapText="1"/>
    </xf>
    <xf numFmtId="0" fontId="28" fillId="12" borderId="27" xfId="0" applyFont="1" applyFill="1" applyBorder="1" applyAlignment="1">
      <alignment horizontal="center" vertical="center" wrapText="1"/>
    </xf>
    <xf numFmtId="0" fontId="28" fillId="12" borderId="28" xfId="0" applyFont="1" applyFill="1" applyBorder="1" applyAlignment="1">
      <alignment horizontal="center" vertical="center" wrapText="1"/>
    </xf>
    <xf numFmtId="0" fontId="30" fillId="6" borderId="16" xfId="0" applyFont="1" applyFill="1" applyBorder="1" applyAlignment="1">
      <alignment horizontal="left" vertical="center" wrapText="1"/>
    </xf>
    <xf numFmtId="0" fontId="30" fillId="6" borderId="26" xfId="0" applyFont="1" applyFill="1" applyBorder="1" applyAlignment="1">
      <alignment horizontal="left" vertical="center" wrapText="1"/>
    </xf>
    <xf numFmtId="0" fontId="30" fillId="6" borderId="27" xfId="0" applyFont="1" applyFill="1" applyBorder="1" applyAlignment="1">
      <alignment horizontal="left" vertical="center" wrapText="1"/>
    </xf>
    <xf numFmtId="0" fontId="28" fillId="12" borderId="26" xfId="0" applyFont="1" applyFill="1" applyBorder="1" applyAlignment="1">
      <alignment horizontal="left" vertical="center" wrapText="1"/>
    </xf>
    <xf numFmtId="0" fontId="19" fillId="9" borderId="37" xfId="0" applyFont="1" applyFill="1" applyBorder="1" applyAlignment="1">
      <alignment horizontal="left" vertical="center" wrapText="1"/>
    </xf>
    <xf numFmtId="0" fontId="33" fillId="6" borderId="9" xfId="0" applyFont="1" applyFill="1" applyBorder="1" applyAlignment="1">
      <alignment horizontal="left" vertical="center" wrapText="1"/>
    </xf>
    <xf numFmtId="0" fontId="33" fillId="6" borderId="9" xfId="0" applyFont="1" applyFill="1" applyBorder="1" applyAlignment="1">
      <alignment horizontal="center" vertical="center" wrapText="1"/>
    </xf>
    <xf numFmtId="0" fontId="19" fillId="9" borderId="43" xfId="0" applyFont="1" applyFill="1" applyBorder="1" applyAlignment="1">
      <alignment horizontal="left" vertical="center" wrapText="1"/>
    </xf>
    <xf numFmtId="0" fontId="19" fillId="9" borderId="7" xfId="0" applyFont="1" applyFill="1" applyBorder="1" applyAlignment="1">
      <alignment horizontal="left" vertical="center" wrapText="1"/>
    </xf>
    <xf numFmtId="0" fontId="28" fillId="3" borderId="28" xfId="0" applyFont="1" applyFill="1" applyBorder="1" applyAlignment="1">
      <alignment horizontal="center" vertical="center" wrapText="1"/>
    </xf>
    <xf numFmtId="0" fontId="28" fillId="12" borderId="10" xfId="0" applyFont="1" applyFill="1" applyBorder="1" applyAlignment="1">
      <alignment horizontal="center" vertical="center" wrapText="1"/>
    </xf>
    <xf numFmtId="0" fontId="28" fillId="12" borderId="38" xfId="0" applyFont="1" applyFill="1" applyBorder="1" applyAlignment="1">
      <alignment horizontal="center" vertical="center" wrapText="1"/>
    </xf>
    <xf numFmtId="0" fontId="28" fillId="12" borderId="0" xfId="0" applyFont="1" applyFill="1" applyAlignment="1">
      <alignment horizontal="center" vertical="center" wrapText="1"/>
    </xf>
    <xf numFmtId="0" fontId="28" fillId="12" borderId="4" xfId="0" applyFont="1" applyFill="1" applyBorder="1" applyAlignment="1">
      <alignment horizontal="center" vertical="center" wrapText="1"/>
    </xf>
    <xf numFmtId="0" fontId="28" fillId="12" borderId="22" xfId="0" applyFont="1" applyFill="1" applyBorder="1" applyAlignment="1">
      <alignment horizontal="center" vertical="center" wrapText="1"/>
    </xf>
    <xf numFmtId="0" fontId="28" fillId="12" borderId="12" xfId="0" applyFont="1" applyFill="1" applyBorder="1" applyAlignment="1">
      <alignment horizontal="center" vertical="center" wrapText="1"/>
    </xf>
    <xf numFmtId="0" fontId="28" fillId="12" borderId="23" xfId="0" applyFont="1" applyFill="1" applyBorder="1" applyAlignment="1">
      <alignment horizontal="center" vertical="center" wrapText="1"/>
    </xf>
    <xf numFmtId="0" fontId="28" fillId="12" borderId="11" xfId="0" applyFont="1" applyFill="1" applyBorder="1" applyAlignment="1">
      <alignment horizontal="center" vertical="center" wrapText="1"/>
    </xf>
    <xf numFmtId="0" fontId="28" fillId="12" borderId="25" xfId="0" applyFont="1" applyFill="1" applyBorder="1" applyAlignment="1">
      <alignment horizontal="center" vertical="center" wrapText="1"/>
    </xf>
    <xf numFmtId="0" fontId="28" fillId="12" borderId="40" xfId="0" applyFont="1" applyFill="1" applyBorder="1" applyAlignment="1">
      <alignment horizontal="center" vertical="center" wrapText="1"/>
    </xf>
    <xf numFmtId="0" fontId="28" fillId="12" borderId="6" xfId="0" applyFont="1" applyFill="1" applyBorder="1" applyAlignment="1">
      <alignment horizontal="center" vertical="center" wrapText="1"/>
    </xf>
    <xf numFmtId="0" fontId="28" fillId="12" borderId="5" xfId="0" applyFont="1" applyFill="1" applyBorder="1" applyAlignment="1">
      <alignment horizontal="center" vertical="center" wrapText="1"/>
    </xf>
    <xf numFmtId="0" fontId="28" fillId="12" borderId="24" xfId="0" applyFont="1" applyFill="1" applyBorder="1" applyAlignment="1">
      <alignment horizontal="center" vertical="center" wrapText="1"/>
    </xf>
    <xf numFmtId="0" fontId="28" fillId="12" borderId="39" xfId="0" applyFont="1" applyFill="1" applyBorder="1" applyAlignment="1">
      <alignment horizontal="center" vertical="center" wrapText="1"/>
    </xf>
    <xf numFmtId="0" fontId="28" fillId="3" borderId="50" xfId="0" applyFont="1" applyFill="1" applyBorder="1" applyAlignment="1">
      <alignment horizontal="center" vertical="center" wrapText="1"/>
    </xf>
    <xf numFmtId="0" fontId="28" fillId="3" borderId="58" xfId="0" applyFont="1" applyFill="1" applyBorder="1" applyAlignment="1">
      <alignment horizontal="center" vertical="center" wrapText="1"/>
    </xf>
    <xf numFmtId="0" fontId="30" fillId="6" borderId="42" xfId="0" applyFont="1" applyFill="1" applyBorder="1" applyAlignment="1">
      <alignment horizontal="center" vertical="center" wrapText="1"/>
    </xf>
    <xf numFmtId="0" fontId="30" fillId="6" borderId="26" xfId="0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 wrapText="1"/>
    </xf>
    <xf numFmtId="0" fontId="31" fillId="9" borderId="2" xfId="0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9" fillId="15" borderId="50" xfId="0" applyFont="1" applyFill="1" applyBorder="1" applyAlignment="1">
      <alignment horizontal="center" vertical="center" wrapText="1"/>
    </xf>
    <xf numFmtId="0" fontId="19" fillId="15" borderId="58" xfId="0" applyFont="1" applyFill="1" applyBorder="1" applyAlignment="1">
      <alignment horizontal="center" vertical="center" wrapText="1"/>
    </xf>
    <xf numFmtId="0" fontId="16" fillId="6" borderId="3" xfId="0" applyFont="1" applyFill="1" applyBorder="1"/>
    <xf numFmtId="0" fontId="19" fillId="9" borderId="11" xfId="0" applyFont="1" applyFill="1" applyBorder="1" applyAlignment="1">
      <alignment horizontal="left" vertical="center" wrapText="1"/>
    </xf>
    <xf numFmtId="0" fontId="19" fillId="9" borderId="30" xfId="0" applyFont="1" applyFill="1" applyBorder="1" applyAlignment="1">
      <alignment horizontal="left" vertical="center" wrapText="1"/>
    </xf>
    <xf numFmtId="0" fontId="19" fillId="9" borderId="31" xfId="0" applyFont="1" applyFill="1" applyBorder="1" applyAlignment="1">
      <alignment horizontal="left" vertical="center" wrapText="1"/>
    </xf>
    <xf numFmtId="0" fontId="16" fillId="6" borderId="5" xfId="0" applyFont="1" applyFill="1" applyBorder="1"/>
    <xf numFmtId="0" fontId="34" fillId="12" borderId="79" xfId="0" applyFont="1" applyFill="1" applyBorder="1" applyAlignment="1">
      <alignment horizontal="center" vertical="center" wrapText="1"/>
    </xf>
    <xf numFmtId="0" fontId="34" fillId="12" borderId="80" xfId="0" applyFont="1" applyFill="1" applyBorder="1" applyAlignment="1">
      <alignment horizontal="center" vertical="center" wrapText="1"/>
    </xf>
    <xf numFmtId="0" fontId="34" fillId="12" borderId="83" xfId="0" applyFont="1" applyFill="1" applyBorder="1" applyAlignment="1">
      <alignment horizontal="center" vertical="center" wrapText="1"/>
    </xf>
    <xf numFmtId="0" fontId="34" fillId="15" borderId="48" xfId="0" applyFont="1" applyFill="1" applyBorder="1" applyAlignment="1">
      <alignment horizontal="center" vertical="center" wrapText="1"/>
    </xf>
    <xf numFmtId="0" fontId="34" fillId="15" borderId="49" xfId="0" applyFont="1" applyFill="1" applyBorder="1" applyAlignment="1">
      <alignment horizontal="center" vertical="center" wrapText="1"/>
    </xf>
    <xf numFmtId="0" fontId="33" fillId="6" borderId="74" xfId="0" applyFont="1" applyFill="1" applyBorder="1" applyAlignment="1">
      <alignment horizontal="left" vertical="center" wrapText="1"/>
    </xf>
    <xf numFmtId="0" fontId="33" fillId="6" borderId="75" xfId="0" applyFont="1" applyFill="1" applyBorder="1" applyAlignment="1">
      <alignment horizontal="left" vertical="center" wrapText="1"/>
    </xf>
    <xf numFmtId="0" fontId="19" fillId="9" borderId="72" xfId="0" applyFont="1" applyFill="1" applyBorder="1" applyAlignment="1">
      <alignment horizontal="left" vertical="center" wrapText="1"/>
    </xf>
    <xf numFmtId="0" fontId="19" fillId="9" borderId="2" xfId="0" applyFont="1" applyFill="1" applyBorder="1" applyAlignment="1">
      <alignment horizontal="left" vertical="center" wrapText="1"/>
    </xf>
    <xf numFmtId="0" fontId="19" fillId="9" borderId="76" xfId="0" applyFont="1" applyFill="1" applyBorder="1" applyAlignment="1">
      <alignment horizontal="left" vertical="center" wrapText="1"/>
    </xf>
    <xf numFmtId="0" fontId="35" fillId="6" borderId="74" xfId="0" applyFont="1" applyFill="1" applyBorder="1" applyAlignment="1">
      <alignment horizontal="left" vertical="center" wrapText="1"/>
    </xf>
    <xf numFmtId="0" fontId="35" fillId="6" borderId="9" xfId="0" applyFont="1" applyFill="1" applyBorder="1" applyAlignment="1">
      <alignment horizontal="left" vertical="center" wrapText="1"/>
    </xf>
    <xf numFmtId="0" fontId="35" fillId="6" borderId="75" xfId="0" applyFont="1" applyFill="1" applyBorder="1" applyAlignment="1">
      <alignment horizontal="left" vertical="center" wrapText="1"/>
    </xf>
    <xf numFmtId="0" fontId="19" fillId="9" borderId="62" xfId="0" applyFont="1" applyFill="1" applyBorder="1" applyAlignment="1">
      <alignment horizontal="left" vertical="center" wrapText="1"/>
    </xf>
    <xf numFmtId="0" fontId="19" fillId="9" borderId="78" xfId="0" applyFont="1" applyFill="1" applyBorder="1" applyAlignment="1">
      <alignment horizontal="left" vertical="center" wrapText="1"/>
    </xf>
    <xf numFmtId="0" fontId="19" fillId="9" borderId="73" xfId="0" applyFont="1" applyFill="1" applyBorder="1" applyAlignment="1">
      <alignment horizontal="left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19" fillId="9" borderId="54" xfId="0" applyFont="1" applyFill="1" applyBorder="1" applyAlignment="1">
      <alignment horizontal="left" vertical="center" wrapText="1"/>
    </xf>
    <xf numFmtId="0" fontId="19" fillId="9" borderId="66" xfId="0" applyFont="1" applyFill="1" applyBorder="1" applyAlignment="1">
      <alignment horizontal="left" vertical="center" wrapText="1"/>
    </xf>
    <xf numFmtId="0" fontId="19" fillId="9" borderId="67" xfId="0" applyFont="1" applyFill="1" applyBorder="1" applyAlignment="1">
      <alignment horizontal="left" vertical="center" wrapText="1"/>
    </xf>
    <xf numFmtId="0" fontId="19" fillId="6" borderId="28" xfId="0" applyFont="1" applyFill="1" applyBorder="1" applyAlignment="1">
      <alignment horizontal="center" vertical="center" wrapText="1"/>
    </xf>
    <xf numFmtId="0" fontId="34" fillId="6" borderId="16" xfId="0" applyFont="1" applyFill="1" applyBorder="1" applyAlignment="1">
      <alignment horizontal="center" vertical="center" wrapText="1"/>
    </xf>
    <xf numFmtId="0" fontId="34" fillId="6" borderId="28" xfId="0" applyFont="1" applyFill="1" applyBorder="1" applyAlignment="1">
      <alignment horizontal="center" vertical="center" wrapText="1"/>
    </xf>
    <xf numFmtId="0" fontId="34" fillId="6" borderId="69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34" fillId="6" borderId="29" xfId="0" applyFont="1" applyFill="1" applyBorder="1" applyAlignment="1">
      <alignment horizontal="center" vertical="center" wrapText="1"/>
    </xf>
    <xf numFmtId="0" fontId="35" fillId="11" borderId="24" xfId="0" applyFont="1" applyFill="1" applyBorder="1" applyAlignment="1">
      <alignment horizontal="center" vertical="center" wrapText="1"/>
    </xf>
    <xf numFmtId="0" fontId="33" fillId="11" borderId="16" xfId="0" applyFont="1" applyFill="1" applyBorder="1" applyAlignment="1">
      <alignment horizontal="center" vertical="center" wrapText="1"/>
    </xf>
    <xf numFmtId="0" fontId="33" fillId="11" borderId="29" xfId="0" applyFont="1" applyFill="1" applyBorder="1" applyAlignment="1">
      <alignment horizontal="center" vertical="center" wrapText="1"/>
    </xf>
    <xf numFmtId="0" fontId="35" fillId="11" borderId="16" xfId="0" applyFont="1" applyFill="1" applyBorder="1" applyAlignment="1">
      <alignment horizontal="center" vertical="center" wrapText="1"/>
    </xf>
    <xf numFmtId="0" fontId="35" fillId="11" borderId="28" xfId="0" applyFont="1" applyFill="1" applyBorder="1" applyAlignment="1">
      <alignment horizontal="center" vertical="center" wrapText="1"/>
    </xf>
    <xf numFmtId="0" fontId="35" fillId="11" borderId="29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left" vertical="center" wrapText="1"/>
    </xf>
    <xf numFmtId="0" fontId="19" fillId="12" borderId="27" xfId="0" applyFont="1" applyFill="1" applyBorder="1" applyAlignment="1">
      <alignment horizontal="left" vertical="center" wrapText="1"/>
    </xf>
    <xf numFmtId="0" fontId="19" fillId="12" borderId="16" xfId="0" applyFont="1" applyFill="1" applyBorder="1" applyAlignment="1">
      <alignment horizontal="left" vertical="center" wrapText="1"/>
    </xf>
    <xf numFmtId="0" fontId="19" fillId="12" borderId="38" xfId="0" applyFont="1" applyFill="1" applyBorder="1" applyAlignment="1">
      <alignment horizontal="left" vertical="center" wrapText="1"/>
    </xf>
    <xf numFmtId="0" fontId="19" fillId="12" borderId="10" xfId="0" applyFont="1" applyFill="1" applyBorder="1" applyAlignment="1">
      <alignment horizontal="left" vertical="center" wrapText="1"/>
    </xf>
    <xf numFmtId="0" fontId="19" fillId="15" borderId="16" xfId="0" applyFont="1" applyFill="1" applyBorder="1" applyAlignment="1">
      <alignment horizontal="center" vertical="center" wrapText="1"/>
    </xf>
    <xf numFmtId="0" fontId="19" fillId="15" borderId="29" xfId="0" applyFont="1" applyFill="1" applyBorder="1" applyAlignment="1">
      <alignment horizontal="center" vertical="center" wrapText="1"/>
    </xf>
    <xf numFmtId="0" fontId="19" fillId="15" borderId="28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6" xfId="0" applyFont="1" applyFill="1" applyBorder="1" applyAlignment="1">
      <alignment horizontal="center" vertical="center" wrapText="1"/>
    </xf>
    <xf numFmtId="0" fontId="19" fillId="15" borderId="44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12" borderId="27" xfId="0" applyFont="1" applyFill="1" applyBorder="1" applyAlignment="1">
      <alignment horizontal="center" vertical="center" wrapText="1"/>
    </xf>
    <xf numFmtId="0" fontId="19" fillId="12" borderId="16" xfId="0" applyFont="1" applyFill="1" applyBorder="1" applyAlignment="1">
      <alignment horizontal="center" vertical="center" wrapText="1"/>
    </xf>
    <xf numFmtId="0" fontId="34" fillId="6" borderId="44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9" fillId="9" borderId="44" xfId="0" applyFont="1" applyFill="1" applyBorder="1" applyAlignment="1">
      <alignment horizontal="left" vertical="center" wrapText="1"/>
    </xf>
    <xf numFmtId="0" fontId="23" fillId="6" borderId="9" xfId="0" applyFont="1" applyFill="1" applyBorder="1" applyAlignment="1">
      <alignment horizontal="left" vertical="center" wrapText="1"/>
    </xf>
    <xf numFmtId="0" fontId="23" fillId="6" borderId="86" xfId="0" applyFont="1" applyFill="1" applyBorder="1" applyAlignment="1">
      <alignment horizontal="center" vertical="center" wrapText="1"/>
    </xf>
    <xf numFmtId="0" fontId="23" fillId="6" borderId="87" xfId="0" applyFont="1" applyFill="1" applyBorder="1" applyAlignment="1">
      <alignment horizontal="center" vertical="center" wrapText="1"/>
    </xf>
    <xf numFmtId="0" fontId="19" fillId="9" borderId="16" xfId="0" applyFont="1" applyFill="1" applyBorder="1" applyAlignment="1">
      <alignment horizontal="left" vertical="center" wrapText="1"/>
    </xf>
    <xf numFmtId="0" fontId="19" fillId="9" borderId="17" xfId="0" applyFont="1" applyFill="1" applyBorder="1" applyAlignment="1">
      <alignment horizontal="left" vertical="center" wrapText="1"/>
    </xf>
    <xf numFmtId="0" fontId="19" fillId="9" borderId="18" xfId="0" applyFont="1" applyFill="1" applyBorder="1" applyAlignment="1">
      <alignment horizontal="left" vertical="center" wrapText="1"/>
    </xf>
    <xf numFmtId="0" fontId="34" fillId="12" borderId="45" xfId="0" applyFont="1" applyFill="1" applyBorder="1" applyAlignment="1">
      <alignment horizontal="center" vertical="center" wrapText="1"/>
    </xf>
    <xf numFmtId="0" fontId="34" fillId="12" borderId="46" xfId="0" applyFont="1" applyFill="1" applyBorder="1" applyAlignment="1">
      <alignment horizontal="center" vertical="center" wrapText="1"/>
    </xf>
    <xf numFmtId="0" fontId="34" fillId="15" borderId="45" xfId="0" applyFont="1" applyFill="1" applyBorder="1" applyAlignment="1">
      <alignment horizontal="center" vertical="center" wrapText="1"/>
    </xf>
    <xf numFmtId="0" fontId="34" fillId="15" borderId="85" xfId="0" applyFont="1" applyFill="1" applyBorder="1" applyAlignment="1">
      <alignment horizontal="center" vertical="center" wrapText="1"/>
    </xf>
    <xf numFmtId="0" fontId="34" fillId="15" borderId="46" xfId="0" applyFont="1" applyFill="1" applyBorder="1" applyAlignment="1">
      <alignment horizontal="center" vertical="center" wrapText="1"/>
    </xf>
    <xf numFmtId="0" fontId="19" fillId="12" borderId="50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34" fillId="15" borderId="4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FBFBF"/>
      <rgbColor rgb="FF757575"/>
      <rgbColor rgb="FF9999FF"/>
      <rgbColor rgb="FF993366"/>
      <rgbColor rgb="FFFFFDE7"/>
      <rgbColor rgb="FFE8F5E9"/>
      <rgbColor rgb="FF660066"/>
      <rgbColor rgb="FFFF8080"/>
      <rgbColor rgb="FF0066CC"/>
      <rgbColor rgb="FFBDBD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C8E6C9"/>
      <rgbColor rgb="FFFFF3CD"/>
      <rgbColor rgb="FFF1F8F1"/>
      <rgbColor rgb="FFF5F5F5"/>
      <rgbColor rgb="FFFAFAFA"/>
      <rgbColor rgb="FFFFF8E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2E7D4F"/>
      <rgbColor rgb="FF2E5336"/>
      <rgbColor rgb="FF1B4D2E"/>
      <rgbColor rgb="FF993300"/>
      <rgbColor rgb="FF993366"/>
      <rgbColor rgb="FF333399"/>
      <rgbColor rgb="FF1B3A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8"/>
  <sheetViews>
    <sheetView zoomScaleNormal="100" workbookViewId="0">
      <selection activeCell="G80" sqref="G80"/>
    </sheetView>
  </sheetViews>
  <sheetFormatPr baseColWidth="10" defaultColWidth="8.6640625" defaultRowHeight="15.6" x14ac:dyDescent="0.3"/>
  <cols>
    <col min="1" max="1" width="10" style="45" customWidth="1"/>
    <col min="2" max="2" width="18" style="45" customWidth="1"/>
    <col min="3" max="3" width="14" style="45" customWidth="1"/>
    <col min="4" max="4" width="26" style="45" customWidth="1"/>
    <col min="5" max="5" width="8" style="45" customWidth="1"/>
    <col min="6" max="6" width="12" style="45" customWidth="1"/>
    <col min="7" max="7" width="14.109375" style="45" customWidth="1"/>
    <col min="8" max="8" width="10" style="45" customWidth="1"/>
  </cols>
  <sheetData>
    <row r="1" spans="1:8" ht="25.8" customHeight="1" x14ac:dyDescent="0.3">
      <c r="A1" s="129" t="s">
        <v>1</v>
      </c>
      <c r="B1" s="129" t="s">
        <v>2</v>
      </c>
      <c r="C1" s="129" t="s">
        <v>3</v>
      </c>
      <c r="D1" s="129" t="s">
        <v>4</v>
      </c>
      <c r="E1" s="129" t="s">
        <v>5</v>
      </c>
      <c r="F1" s="129" t="s">
        <v>6</v>
      </c>
      <c r="G1" s="129" t="s">
        <v>7</v>
      </c>
      <c r="H1" s="129" t="s">
        <v>8</v>
      </c>
    </row>
    <row r="2" spans="1:8" ht="15" customHeight="1" x14ac:dyDescent="0.3">
      <c r="A2" s="45" t="s">
        <v>9</v>
      </c>
      <c r="B2" s="45" t="s">
        <v>10</v>
      </c>
      <c r="C2" s="45" t="s">
        <v>11</v>
      </c>
      <c r="D2" s="45" t="s">
        <v>12</v>
      </c>
      <c r="E2" s="45" t="s">
        <v>13</v>
      </c>
      <c r="F2" s="45">
        <v>595552</v>
      </c>
      <c r="G2" s="45">
        <v>9451222</v>
      </c>
      <c r="H2" s="45">
        <v>355.36</v>
      </c>
    </row>
    <row r="3" spans="1:8" ht="15" customHeight="1" x14ac:dyDescent="0.3">
      <c r="A3" s="45" t="s">
        <v>14</v>
      </c>
      <c r="B3" s="45" t="s">
        <v>15</v>
      </c>
      <c r="C3" s="45" t="s">
        <v>11</v>
      </c>
      <c r="D3" s="45" t="s">
        <v>12</v>
      </c>
      <c r="E3" s="45" t="s">
        <v>13</v>
      </c>
      <c r="F3" s="45">
        <v>596773</v>
      </c>
      <c r="G3" s="45">
        <v>9448273</v>
      </c>
      <c r="H3" s="45">
        <v>68.89</v>
      </c>
    </row>
    <row r="4" spans="1:8" ht="15" customHeight="1" x14ac:dyDescent="0.3">
      <c r="A4" s="45" t="s">
        <v>16</v>
      </c>
      <c r="B4" s="45" t="s">
        <v>15</v>
      </c>
      <c r="C4" s="45" t="s">
        <v>11</v>
      </c>
      <c r="D4" s="45" t="s">
        <v>12</v>
      </c>
      <c r="E4" s="45" t="s">
        <v>13</v>
      </c>
      <c r="F4" s="45">
        <v>596578</v>
      </c>
      <c r="G4" s="45">
        <v>9442453</v>
      </c>
      <c r="H4" s="45">
        <v>53.48</v>
      </c>
    </row>
    <row r="5" spans="1:8" ht="15" customHeight="1" x14ac:dyDescent="0.3">
      <c r="A5" s="45" t="s">
        <v>17</v>
      </c>
      <c r="B5" s="45" t="s">
        <v>18</v>
      </c>
      <c r="C5" s="45" t="s">
        <v>11</v>
      </c>
      <c r="D5" s="45" t="s">
        <v>12</v>
      </c>
      <c r="E5" s="45" t="s">
        <v>13</v>
      </c>
      <c r="F5" s="45">
        <v>599927</v>
      </c>
      <c r="G5" s="45">
        <v>9442604</v>
      </c>
      <c r="H5" s="45">
        <v>35.83</v>
      </c>
    </row>
    <row r="6" spans="1:8" ht="15" customHeight="1" x14ac:dyDescent="0.3">
      <c r="A6" s="45" t="s">
        <v>19</v>
      </c>
      <c r="B6" s="45" t="s">
        <v>18</v>
      </c>
      <c r="C6" s="45" t="s">
        <v>11</v>
      </c>
      <c r="D6" s="45" t="s">
        <v>12</v>
      </c>
      <c r="E6" s="45" t="s">
        <v>13</v>
      </c>
      <c r="F6" s="45">
        <v>601122</v>
      </c>
      <c r="G6" s="45">
        <v>9443651</v>
      </c>
      <c r="H6" s="45">
        <v>79.33</v>
      </c>
    </row>
    <row r="7" spans="1:8" ht="15" customHeight="1" x14ac:dyDescent="0.3">
      <c r="A7" s="45" t="s">
        <v>20</v>
      </c>
      <c r="B7" s="45" t="s">
        <v>18</v>
      </c>
      <c r="C7" s="45" t="s">
        <v>11</v>
      </c>
      <c r="D7" s="45" t="s">
        <v>12</v>
      </c>
      <c r="E7" s="45" t="s">
        <v>13</v>
      </c>
      <c r="F7" s="45">
        <v>600644</v>
      </c>
      <c r="G7" s="45">
        <v>9440436</v>
      </c>
      <c r="H7" s="45">
        <v>42.45</v>
      </c>
    </row>
    <row r="8" spans="1:8" ht="15" customHeight="1" x14ac:dyDescent="0.3">
      <c r="A8" s="45" t="s">
        <v>21</v>
      </c>
      <c r="B8" s="45" t="s">
        <v>22</v>
      </c>
      <c r="C8" s="45" t="s">
        <v>11</v>
      </c>
      <c r="D8" s="45" t="s">
        <v>12</v>
      </c>
      <c r="E8" s="45" t="s">
        <v>13</v>
      </c>
      <c r="F8" s="45">
        <v>603653</v>
      </c>
      <c r="G8" s="45">
        <v>9439351</v>
      </c>
      <c r="H8" s="45">
        <v>330.6</v>
      </c>
    </row>
    <row r="9" spans="1:8" ht="15" customHeight="1" x14ac:dyDescent="0.3">
      <c r="A9" s="45" t="s">
        <v>23</v>
      </c>
      <c r="B9" s="45" t="s">
        <v>18</v>
      </c>
      <c r="C9" s="45" t="s">
        <v>11</v>
      </c>
      <c r="D9" s="45" t="s">
        <v>12</v>
      </c>
      <c r="E9" s="45" t="s">
        <v>13</v>
      </c>
      <c r="F9" s="45">
        <v>604926</v>
      </c>
      <c r="G9" s="45">
        <v>9444327</v>
      </c>
      <c r="H9" s="45">
        <v>124.71</v>
      </c>
    </row>
    <row r="10" spans="1:8" ht="15" customHeight="1" x14ac:dyDescent="0.3">
      <c r="A10" s="45" t="s">
        <v>24</v>
      </c>
      <c r="B10" s="45" t="s">
        <v>25</v>
      </c>
      <c r="C10" s="45" t="s">
        <v>11</v>
      </c>
      <c r="D10" s="45" t="s">
        <v>12</v>
      </c>
      <c r="E10" s="45" t="s">
        <v>13</v>
      </c>
      <c r="F10" s="45">
        <v>593246</v>
      </c>
      <c r="G10" s="45">
        <v>9430139</v>
      </c>
      <c r="H10" s="45">
        <v>448.8</v>
      </c>
    </row>
    <row r="11" spans="1:8" ht="15" customHeight="1" x14ac:dyDescent="0.3">
      <c r="A11" s="45" t="s">
        <v>26</v>
      </c>
      <c r="B11" s="45" t="s">
        <v>10</v>
      </c>
      <c r="C11" s="45" t="s">
        <v>27</v>
      </c>
      <c r="D11" s="45" t="s">
        <v>28</v>
      </c>
      <c r="E11" s="45" t="s">
        <v>29</v>
      </c>
      <c r="F11" s="45">
        <v>606816</v>
      </c>
      <c r="G11" s="45">
        <v>9458469</v>
      </c>
      <c r="H11" s="45">
        <v>459.29</v>
      </c>
    </row>
    <row r="12" spans="1:8" ht="15" customHeight="1" x14ac:dyDescent="0.3">
      <c r="A12" s="45" t="s">
        <v>30</v>
      </c>
      <c r="B12" s="45" t="s">
        <v>15</v>
      </c>
      <c r="C12" s="45" t="s">
        <v>27</v>
      </c>
      <c r="D12" s="45" t="s">
        <v>28</v>
      </c>
      <c r="E12" s="45" t="s">
        <v>29</v>
      </c>
      <c r="F12" s="45">
        <v>605636</v>
      </c>
      <c r="G12" s="45">
        <v>9455269</v>
      </c>
      <c r="H12" s="45">
        <v>168.41</v>
      </c>
    </row>
    <row r="13" spans="1:8" ht="15" customHeight="1" x14ac:dyDescent="0.3">
      <c r="A13" s="45" t="s">
        <v>31</v>
      </c>
      <c r="B13" s="45" t="s">
        <v>15</v>
      </c>
      <c r="C13" s="45" t="s">
        <v>27</v>
      </c>
      <c r="D13" s="45" t="s">
        <v>28</v>
      </c>
      <c r="E13" s="45" t="s">
        <v>29</v>
      </c>
      <c r="F13" s="45">
        <v>606468</v>
      </c>
      <c r="G13" s="45">
        <v>9454689</v>
      </c>
      <c r="H13" s="45">
        <v>24.84</v>
      </c>
    </row>
    <row r="14" spans="1:8" ht="15" customHeight="1" x14ac:dyDescent="0.3">
      <c r="A14" s="45" t="s">
        <v>32</v>
      </c>
      <c r="B14" s="45" t="s">
        <v>18</v>
      </c>
      <c r="C14" s="45" t="s">
        <v>27</v>
      </c>
      <c r="D14" s="45" t="s">
        <v>28</v>
      </c>
      <c r="E14" s="45" t="s">
        <v>29</v>
      </c>
      <c r="F14" s="45">
        <v>608472</v>
      </c>
      <c r="G14" s="45">
        <v>9448056</v>
      </c>
      <c r="H14" s="45">
        <v>258.83999999999997</v>
      </c>
    </row>
    <row r="15" spans="1:8" ht="15" customHeight="1" x14ac:dyDescent="0.3">
      <c r="A15" s="45" t="s">
        <v>33</v>
      </c>
      <c r="B15" s="45" t="s">
        <v>18</v>
      </c>
      <c r="C15" s="45" t="s">
        <v>27</v>
      </c>
      <c r="D15" s="45" t="s">
        <v>28</v>
      </c>
      <c r="E15" s="45" t="s">
        <v>29</v>
      </c>
      <c r="F15" s="45">
        <v>607036</v>
      </c>
      <c r="G15" s="45">
        <v>9446211</v>
      </c>
      <c r="H15" s="45">
        <v>106.54</v>
      </c>
    </row>
    <row r="16" spans="1:8" ht="15" customHeight="1" x14ac:dyDescent="0.3">
      <c r="A16" s="45" t="s">
        <v>34</v>
      </c>
      <c r="B16" s="45" t="s">
        <v>18</v>
      </c>
      <c r="C16" s="45" t="s">
        <v>27</v>
      </c>
      <c r="D16" s="45" t="s">
        <v>28</v>
      </c>
      <c r="E16" s="45" t="s">
        <v>29</v>
      </c>
      <c r="F16" s="45">
        <v>606173</v>
      </c>
      <c r="G16" s="45">
        <v>9447361</v>
      </c>
      <c r="H16" s="45">
        <v>75.36</v>
      </c>
    </row>
    <row r="17" spans="1:8" ht="15" customHeight="1" x14ac:dyDescent="0.3">
      <c r="A17" s="45" t="s">
        <v>35</v>
      </c>
      <c r="B17" s="45" t="s">
        <v>18</v>
      </c>
      <c r="C17" s="45" t="s">
        <v>27</v>
      </c>
      <c r="D17" s="45" t="s">
        <v>28</v>
      </c>
      <c r="E17" s="45" t="s">
        <v>29</v>
      </c>
      <c r="F17" s="45">
        <v>608800</v>
      </c>
      <c r="G17" s="45">
        <v>9445585</v>
      </c>
      <c r="H17" s="45">
        <v>74.03</v>
      </c>
    </row>
    <row r="18" spans="1:8" ht="15" customHeight="1" x14ac:dyDescent="0.3">
      <c r="A18" s="45" t="s">
        <v>36</v>
      </c>
      <c r="B18" s="45" t="s">
        <v>18</v>
      </c>
      <c r="C18" s="45" t="s">
        <v>27</v>
      </c>
      <c r="D18" s="45" t="s">
        <v>28</v>
      </c>
      <c r="E18" s="45" t="s">
        <v>29</v>
      </c>
      <c r="F18" s="45">
        <v>613302</v>
      </c>
      <c r="G18" s="45">
        <v>9450231</v>
      </c>
      <c r="H18" s="45">
        <v>78.150000000000006</v>
      </c>
    </row>
    <row r="19" spans="1:8" ht="15" customHeight="1" x14ac:dyDescent="0.3">
      <c r="A19" s="45" t="s">
        <v>37</v>
      </c>
      <c r="B19" s="45" t="s">
        <v>38</v>
      </c>
      <c r="C19" s="45" t="s">
        <v>27</v>
      </c>
      <c r="D19" s="45" t="s">
        <v>28</v>
      </c>
      <c r="E19" s="45" t="s">
        <v>29</v>
      </c>
      <c r="F19" s="45">
        <v>618523</v>
      </c>
      <c r="G19" s="45">
        <v>9448918</v>
      </c>
      <c r="H19" s="45">
        <v>68.569999999999993</v>
      </c>
    </row>
    <row r="20" spans="1:8" ht="15" customHeight="1" x14ac:dyDescent="0.3">
      <c r="A20" s="45" t="s">
        <v>39</v>
      </c>
      <c r="B20" s="45" t="s">
        <v>38</v>
      </c>
      <c r="C20" s="45" t="s">
        <v>27</v>
      </c>
      <c r="D20" s="45" t="s">
        <v>28</v>
      </c>
      <c r="E20" s="45" t="s">
        <v>29</v>
      </c>
      <c r="F20" s="45">
        <v>631723</v>
      </c>
      <c r="G20" s="45">
        <v>9439702</v>
      </c>
      <c r="H20" s="45">
        <v>77.67</v>
      </c>
    </row>
    <row r="21" spans="1:8" ht="15" customHeight="1" x14ac:dyDescent="0.3">
      <c r="A21" s="45" t="s">
        <v>40</v>
      </c>
      <c r="B21" s="45" t="s">
        <v>41</v>
      </c>
      <c r="C21" s="45" t="s">
        <v>11</v>
      </c>
      <c r="D21" s="45" t="s">
        <v>42</v>
      </c>
      <c r="E21" s="45" t="s">
        <v>43</v>
      </c>
      <c r="F21" s="45">
        <v>625419</v>
      </c>
      <c r="G21" s="45">
        <v>9444932</v>
      </c>
      <c r="H21" s="45">
        <v>119.54</v>
      </c>
    </row>
    <row r="22" spans="1:8" ht="15" customHeight="1" x14ac:dyDescent="0.3">
      <c r="A22" s="45" t="s">
        <v>44</v>
      </c>
      <c r="B22" s="45" t="s">
        <v>41</v>
      </c>
      <c r="C22" s="45" t="s">
        <v>11</v>
      </c>
      <c r="D22" s="45" t="s">
        <v>42</v>
      </c>
      <c r="E22" s="45" t="s">
        <v>43</v>
      </c>
      <c r="F22" s="45">
        <v>621452</v>
      </c>
      <c r="G22" s="45">
        <v>9443855</v>
      </c>
      <c r="H22" s="45">
        <v>35.659999999999997</v>
      </c>
    </row>
    <row r="23" spans="1:8" ht="15" customHeight="1" x14ac:dyDescent="0.3">
      <c r="A23" s="45" t="s">
        <v>45</v>
      </c>
      <c r="B23" s="45" t="s">
        <v>38</v>
      </c>
      <c r="C23" s="45" t="s">
        <v>11</v>
      </c>
      <c r="D23" s="45" t="s">
        <v>42</v>
      </c>
      <c r="E23" s="45" t="s">
        <v>43</v>
      </c>
      <c r="F23" s="45">
        <v>620263</v>
      </c>
      <c r="G23" s="45">
        <v>9442343</v>
      </c>
      <c r="H23" s="45">
        <v>100.51</v>
      </c>
    </row>
    <row r="24" spans="1:8" ht="15" customHeight="1" x14ac:dyDescent="0.3">
      <c r="A24" s="45" t="s">
        <v>46</v>
      </c>
      <c r="B24" s="45" t="s">
        <v>41</v>
      </c>
      <c r="C24" s="45" t="s">
        <v>11</v>
      </c>
      <c r="D24" s="45" t="s">
        <v>42</v>
      </c>
      <c r="E24" s="45" t="s">
        <v>43</v>
      </c>
      <c r="F24" s="45">
        <v>619630</v>
      </c>
      <c r="G24" s="45">
        <v>9440043</v>
      </c>
      <c r="H24" s="45">
        <v>35.1</v>
      </c>
    </row>
    <row r="25" spans="1:8" ht="15" customHeight="1" x14ac:dyDescent="0.3">
      <c r="A25" s="45" t="s">
        <v>47</v>
      </c>
      <c r="B25" s="45" t="s">
        <v>41</v>
      </c>
      <c r="C25" s="45" t="s">
        <v>11</v>
      </c>
      <c r="D25" s="45" t="s">
        <v>42</v>
      </c>
      <c r="E25" s="45" t="s">
        <v>43</v>
      </c>
      <c r="F25" s="45">
        <v>620759</v>
      </c>
      <c r="G25" s="45">
        <v>9439988</v>
      </c>
      <c r="H25" s="45">
        <v>103.95</v>
      </c>
    </row>
    <row r="26" spans="1:8" ht="15" customHeight="1" x14ac:dyDescent="0.3">
      <c r="A26" s="45" t="s">
        <v>48</v>
      </c>
      <c r="B26" s="45" t="s">
        <v>41</v>
      </c>
      <c r="C26" s="45" t="s">
        <v>11</v>
      </c>
      <c r="D26" s="45" t="s">
        <v>42</v>
      </c>
      <c r="E26" s="45" t="s">
        <v>43</v>
      </c>
      <c r="F26" s="45">
        <v>619939</v>
      </c>
      <c r="G26" s="45">
        <v>9438544</v>
      </c>
      <c r="H26" s="45">
        <v>81.78</v>
      </c>
    </row>
    <row r="27" spans="1:8" ht="15" customHeight="1" x14ac:dyDescent="0.3">
      <c r="A27" s="45" t="s">
        <v>49</v>
      </c>
      <c r="B27" s="45" t="s">
        <v>41</v>
      </c>
      <c r="C27" s="45" t="s">
        <v>11</v>
      </c>
      <c r="D27" s="45" t="s">
        <v>42</v>
      </c>
      <c r="E27" s="45" t="s">
        <v>43</v>
      </c>
      <c r="F27" s="45">
        <v>620200</v>
      </c>
      <c r="G27" s="45">
        <v>9437862</v>
      </c>
      <c r="H27" s="45">
        <v>86.15</v>
      </c>
    </row>
    <row r="28" spans="1:8" ht="15" customHeight="1" x14ac:dyDescent="0.3">
      <c r="A28" s="45" t="s">
        <v>50</v>
      </c>
      <c r="B28" s="45" t="s">
        <v>41</v>
      </c>
      <c r="C28" s="45" t="s">
        <v>11</v>
      </c>
      <c r="D28" s="45" t="s">
        <v>42</v>
      </c>
      <c r="E28" s="45" t="s">
        <v>43</v>
      </c>
      <c r="F28" s="45">
        <v>620770</v>
      </c>
      <c r="G28" s="45">
        <v>9436562</v>
      </c>
      <c r="H28" s="45">
        <v>34.17</v>
      </c>
    </row>
    <row r="29" spans="1:8" ht="15" customHeight="1" x14ac:dyDescent="0.3">
      <c r="A29" s="45" t="s">
        <v>51</v>
      </c>
      <c r="B29" s="45" t="s">
        <v>41</v>
      </c>
      <c r="C29" s="45" t="s">
        <v>11</v>
      </c>
      <c r="D29" s="45" t="s">
        <v>42</v>
      </c>
      <c r="E29" s="45" t="s">
        <v>43</v>
      </c>
      <c r="F29" s="45">
        <v>618661</v>
      </c>
      <c r="G29" s="45">
        <v>9438267</v>
      </c>
      <c r="H29" s="45">
        <v>96.08</v>
      </c>
    </row>
    <row r="30" spans="1:8" ht="15" customHeight="1" x14ac:dyDescent="0.3">
      <c r="A30" s="45" t="s">
        <v>52</v>
      </c>
      <c r="B30" s="45" t="s">
        <v>22</v>
      </c>
      <c r="C30" s="45" t="s">
        <v>11</v>
      </c>
      <c r="D30" s="45" t="s">
        <v>42</v>
      </c>
      <c r="E30" s="45" t="s">
        <v>43</v>
      </c>
      <c r="F30" s="45">
        <v>617596</v>
      </c>
      <c r="G30" s="45">
        <v>9436227</v>
      </c>
      <c r="H30" s="45">
        <v>35.35</v>
      </c>
    </row>
    <row r="31" spans="1:8" ht="15" customHeight="1" x14ac:dyDescent="0.3">
      <c r="A31" s="45" t="s">
        <v>53</v>
      </c>
      <c r="B31" s="45" t="s">
        <v>54</v>
      </c>
      <c r="C31" s="45" t="s">
        <v>11</v>
      </c>
      <c r="D31" s="45" t="s">
        <v>55</v>
      </c>
      <c r="E31" s="45" t="s">
        <v>56</v>
      </c>
      <c r="F31" s="45">
        <v>631195</v>
      </c>
      <c r="G31" s="45">
        <v>9441777</v>
      </c>
      <c r="H31" s="45">
        <v>25.67</v>
      </c>
    </row>
    <row r="32" spans="1:8" ht="15" customHeight="1" x14ac:dyDescent="0.3">
      <c r="A32" s="45" t="s">
        <v>57</v>
      </c>
      <c r="B32" s="45" t="s">
        <v>41</v>
      </c>
      <c r="C32" s="45" t="s">
        <v>11</v>
      </c>
      <c r="D32" s="45" t="s">
        <v>55</v>
      </c>
      <c r="E32" s="45" t="s">
        <v>56</v>
      </c>
      <c r="F32" s="45">
        <v>631195</v>
      </c>
      <c r="G32" s="45">
        <v>9441777</v>
      </c>
      <c r="H32" s="45">
        <v>13.55</v>
      </c>
    </row>
    <row r="33" spans="1:8" ht="15" customHeight="1" x14ac:dyDescent="0.3">
      <c r="A33" s="45" t="s">
        <v>58</v>
      </c>
      <c r="B33" s="45" t="s">
        <v>54</v>
      </c>
      <c r="C33" s="45" t="s">
        <v>11</v>
      </c>
      <c r="D33" s="45" t="s">
        <v>59</v>
      </c>
      <c r="E33" s="45" t="s">
        <v>56</v>
      </c>
      <c r="F33" s="45">
        <v>626438</v>
      </c>
      <c r="G33" s="45">
        <v>9435060</v>
      </c>
      <c r="H33" s="45">
        <v>28.19</v>
      </c>
    </row>
    <row r="34" spans="1:8" ht="15" customHeight="1" x14ac:dyDescent="0.3">
      <c r="A34" s="45" t="s">
        <v>60</v>
      </c>
      <c r="B34" s="45" t="s">
        <v>41</v>
      </c>
      <c r="C34" s="45" t="s">
        <v>11</v>
      </c>
      <c r="D34" s="45" t="s">
        <v>59</v>
      </c>
      <c r="E34" s="45" t="s">
        <v>56</v>
      </c>
      <c r="F34" s="45">
        <v>625152</v>
      </c>
      <c r="G34" s="45">
        <v>9435011</v>
      </c>
      <c r="H34" s="45">
        <v>80.62</v>
      </c>
    </row>
    <row r="35" spans="1:8" ht="15" customHeight="1" x14ac:dyDescent="0.3">
      <c r="A35" s="45" t="s">
        <v>61</v>
      </c>
      <c r="B35" s="45" t="s">
        <v>41</v>
      </c>
      <c r="C35" s="45" t="s">
        <v>11</v>
      </c>
      <c r="D35" s="45" t="s">
        <v>59</v>
      </c>
      <c r="E35" s="45" t="s">
        <v>56</v>
      </c>
      <c r="F35" s="45">
        <v>624397</v>
      </c>
      <c r="G35" s="45">
        <v>9437085</v>
      </c>
      <c r="H35" s="45">
        <v>92.9</v>
      </c>
    </row>
    <row r="36" spans="1:8" ht="15" customHeight="1" x14ac:dyDescent="0.3">
      <c r="A36" s="45" t="s">
        <v>62</v>
      </c>
      <c r="B36" s="45" t="s">
        <v>63</v>
      </c>
      <c r="C36" s="45" t="s">
        <v>11</v>
      </c>
      <c r="D36" s="45" t="s">
        <v>59</v>
      </c>
      <c r="E36" s="45" t="s">
        <v>56</v>
      </c>
      <c r="F36" s="45">
        <v>619094</v>
      </c>
      <c r="G36" s="45">
        <v>9426406</v>
      </c>
      <c r="H36" s="45">
        <v>11.47</v>
      </c>
    </row>
    <row r="37" spans="1:8" ht="15" customHeight="1" x14ac:dyDescent="0.3">
      <c r="A37" s="45" t="s">
        <v>64</v>
      </c>
      <c r="B37" s="45" t="s">
        <v>41</v>
      </c>
      <c r="C37" s="45" t="s">
        <v>11</v>
      </c>
      <c r="D37" s="45" t="s">
        <v>11</v>
      </c>
      <c r="E37" s="45" t="s">
        <v>65</v>
      </c>
      <c r="F37" s="45">
        <v>617715</v>
      </c>
      <c r="G37" s="45">
        <v>9427284</v>
      </c>
      <c r="H37" s="45">
        <v>74.37</v>
      </c>
    </row>
    <row r="38" spans="1:8" ht="15" customHeight="1" x14ac:dyDescent="0.3">
      <c r="A38" s="45" t="s">
        <v>66</v>
      </c>
      <c r="B38" s="45" t="s">
        <v>63</v>
      </c>
      <c r="C38" s="45" t="s">
        <v>11</v>
      </c>
      <c r="D38" s="45" t="s">
        <v>11</v>
      </c>
      <c r="E38" s="45" t="s">
        <v>65</v>
      </c>
      <c r="F38" s="45">
        <v>618248</v>
      </c>
      <c r="G38" s="45">
        <v>9426493</v>
      </c>
      <c r="H38" s="45">
        <v>50.97</v>
      </c>
    </row>
    <row r="39" spans="1:8" ht="15" customHeight="1" x14ac:dyDescent="0.3">
      <c r="A39" s="45" t="s">
        <v>67</v>
      </c>
      <c r="B39" s="45" t="s">
        <v>68</v>
      </c>
      <c r="C39" s="45" t="s">
        <v>11</v>
      </c>
      <c r="D39" s="45" t="s">
        <v>69</v>
      </c>
      <c r="E39" s="45" t="s">
        <v>70</v>
      </c>
      <c r="F39" s="45">
        <v>618299</v>
      </c>
      <c r="G39" s="45">
        <v>9423119</v>
      </c>
      <c r="H39" s="45">
        <v>249.89</v>
      </c>
    </row>
    <row r="40" spans="1:8" ht="15" customHeight="1" x14ac:dyDescent="0.3">
      <c r="A40" s="45" t="s">
        <v>71</v>
      </c>
      <c r="B40" s="45" t="s">
        <v>68</v>
      </c>
      <c r="C40" s="45" t="s">
        <v>11</v>
      </c>
      <c r="D40" s="45" t="s">
        <v>69</v>
      </c>
      <c r="E40" s="45" t="s">
        <v>70</v>
      </c>
      <c r="F40" s="45">
        <v>611305</v>
      </c>
      <c r="G40" s="45">
        <v>9419274</v>
      </c>
      <c r="H40" s="45">
        <v>160.97999999999999</v>
      </c>
    </row>
    <row r="41" spans="1:8" ht="15" customHeight="1" x14ac:dyDescent="0.3">
      <c r="A41" s="45" t="s">
        <v>72</v>
      </c>
      <c r="B41" s="45" t="s">
        <v>68</v>
      </c>
      <c r="C41" s="45" t="s">
        <v>11</v>
      </c>
      <c r="D41" s="45" t="s">
        <v>69</v>
      </c>
      <c r="E41" s="45" t="s">
        <v>70</v>
      </c>
      <c r="F41" s="45">
        <v>611196</v>
      </c>
      <c r="G41" s="45">
        <v>9416725</v>
      </c>
      <c r="H41" s="45">
        <v>333.01</v>
      </c>
    </row>
    <row r="42" spans="1:8" ht="15" customHeight="1" x14ac:dyDescent="0.3">
      <c r="A42" s="45" t="s">
        <v>73</v>
      </c>
      <c r="B42" s="45" t="s">
        <v>68</v>
      </c>
      <c r="C42" s="45" t="s">
        <v>11</v>
      </c>
      <c r="D42" s="45" t="s">
        <v>69</v>
      </c>
      <c r="E42" s="45" t="s">
        <v>70</v>
      </c>
      <c r="F42" s="45">
        <v>612864</v>
      </c>
      <c r="G42" s="45">
        <v>9413345</v>
      </c>
      <c r="H42" s="45">
        <v>514.36</v>
      </c>
    </row>
    <row r="43" spans="1:8" ht="15" customHeight="1" x14ac:dyDescent="0.3">
      <c r="A43" s="45" t="s">
        <v>74</v>
      </c>
      <c r="B43" s="45" t="s">
        <v>68</v>
      </c>
      <c r="C43" s="45" t="s">
        <v>11</v>
      </c>
      <c r="D43" s="45" t="s">
        <v>69</v>
      </c>
      <c r="E43" s="45" t="s">
        <v>70</v>
      </c>
      <c r="F43" s="45">
        <v>617860</v>
      </c>
      <c r="G43" s="45">
        <v>9413182</v>
      </c>
      <c r="H43" s="45">
        <v>295.73</v>
      </c>
    </row>
    <row r="44" spans="1:8" ht="15" customHeight="1" x14ac:dyDescent="0.3">
      <c r="A44" s="45" t="s">
        <v>75</v>
      </c>
      <c r="B44" s="45" t="s">
        <v>76</v>
      </c>
      <c r="C44" s="45" t="s">
        <v>11</v>
      </c>
      <c r="D44" s="45" t="s">
        <v>69</v>
      </c>
      <c r="E44" s="45" t="s">
        <v>70</v>
      </c>
      <c r="F44" s="45">
        <v>617695</v>
      </c>
      <c r="G44" s="45">
        <v>9409136</v>
      </c>
      <c r="H44" s="45">
        <v>188.8</v>
      </c>
    </row>
    <row r="45" spans="1:8" ht="15" customHeight="1" x14ac:dyDescent="0.3">
      <c r="A45" s="45" t="s">
        <v>77</v>
      </c>
      <c r="B45" s="45" t="s">
        <v>78</v>
      </c>
      <c r="C45" s="45" t="s">
        <v>11</v>
      </c>
      <c r="D45" s="45" t="s">
        <v>69</v>
      </c>
      <c r="E45" s="45" t="s">
        <v>70</v>
      </c>
      <c r="F45" s="45">
        <v>621058</v>
      </c>
      <c r="G45" s="45">
        <v>9410427</v>
      </c>
      <c r="H45" s="45">
        <v>160.36000000000001</v>
      </c>
    </row>
    <row r="46" spans="1:8" ht="15" customHeight="1" x14ac:dyDescent="0.3">
      <c r="A46" s="45" t="s">
        <v>79</v>
      </c>
      <c r="B46" s="45" t="s">
        <v>80</v>
      </c>
      <c r="C46" s="45" t="s">
        <v>11</v>
      </c>
      <c r="D46" s="45" t="s">
        <v>81</v>
      </c>
      <c r="E46" s="45" t="s">
        <v>82</v>
      </c>
      <c r="F46" s="45">
        <v>629338</v>
      </c>
      <c r="G46" s="45">
        <v>9413305</v>
      </c>
      <c r="H46" s="45">
        <v>294.2</v>
      </c>
    </row>
    <row r="47" spans="1:8" ht="15" customHeight="1" x14ac:dyDescent="0.3">
      <c r="A47" s="45" t="s">
        <v>83</v>
      </c>
      <c r="B47" s="45" t="s">
        <v>80</v>
      </c>
      <c r="C47" s="45" t="s">
        <v>11</v>
      </c>
      <c r="D47" s="45" t="s">
        <v>81</v>
      </c>
      <c r="E47" s="45" t="s">
        <v>82</v>
      </c>
      <c r="F47" s="45">
        <v>630685</v>
      </c>
      <c r="G47" s="45">
        <v>9410800</v>
      </c>
      <c r="H47" s="45">
        <v>80.98</v>
      </c>
    </row>
    <row r="48" spans="1:8" ht="15" customHeight="1" x14ac:dyDescent="0.3">
      <c r="A48" s="45" t="s">
        <v>84</v>
      </c>
      <c r="B48" s="45" t="s">
        <v>85</v>
      </c>
      <c r="C48" s="45" t="s">
        <v>11</v>
      </c>
      <c r="D48" s="45" t="s">
        <v>81</v>
      </c>
      <c r="E48" s="45" t="s">
        <v>82</v>
      </c>
      <c r="F48" s="45">
        <v>629006</v>
      </c>
      <c r="G48" s="45">
        <v>9407536</v>
      </c>
      <c r="H48" s="45">
        <v>130.43</v>
      </c>
    </row>
    <row r="49" spans="1:8" ht="15" customHeight="1" x14ac:dyDescent="0.3">
      <c r="A49" s="45" t="s">
        <v>86</v>
      </c>
      <c r="B49" s="45" t="s">
        <v>85</v>
      </c>
      <c r="C49" s="45" t="s">
        <v>11</v>
      </c>
      <c r="D49" s="45" t="s">
        <v>81</v>
      </c>
      <c r="E49" s="45" t="s">
        <v>82</v>
      </c>
      <c r="F49" s="45">
        <v>631438</v>
      </c>
      <c r="G49" s="45">
        <v>9403547</v>
      </c>
      <c r="H49" s="45">
        <v>115.38</v>
      </c>
    </row>
    <row r="50" spans="1:8" ht="15" customHeight="1" x14ac:dyDescent="0.3">
      <c r="A50" s="45" t="s">
        <v>87</v>
      </c>
      <c r="B50" s="45" t="s">
        <v>85</v>
      </c>
      <c r="C50" s="45" t="s">
        <v>11</v>
      </c>
      <c r="D50" s="45" t="s">
        <v>81</v>
      </c>
      <c r="E50" s="45" t="s">
        <v>82</v>
      </c>
      <c r="F50" s="45">
        <v>633232</v>
      </c>
      <c r="G50" s="45">
        <v>9401227</v>
      </c>
      <c r="H50" s="45">
        <v>65.739999999999995</v>
      </c>
    </row>
    <row r="51" spans="1:8" ht="15" customHeight="1" x14ac:dyDescent="0.3">
      <c r="A51" s="45" t="s">
        <v>88</v>
      </c>
      <c r="B51" s="45" t="s">
        <v>85</v>
      </c>
      <c r="C51" s="45" t="s">
        <v>11</v>
      </c>
      <c r="D51" s="45" t="s">
        <v>81</v>
      </c>
      <c r="E51" s="45" t="s">
        <v>82</v>
      </c>
      <c r="F51" s="45">
        <v>635110</v>
      </c>
      <c r="G51" s="45">
        <v>9399092</v>
      </c>
      <c r="H51" s="45">
        <v>91.29</v>
      </c>
    </row>
    <row r="52" spans="1:8" ht="15" customHeight="1" x14ac:dyDescent="0.3">
      <c r="A52" s="45" t="s">
        <v>89</v>
      </c>
      <c r="B52" s="45" t="s">
        <v>90</v>
      </c>
      <c r="C52" s="45" t="s">
        <v>11</v>
      </c>
      <c r="D52" s="45" t="s">
        <v>81</v>
      </c>
      <c r="E52" s="45" t="s">
        <v>82</v>
      </c>
      <c r="F52" s="45">
        <v>635876</v>
      </c>
      <c r="G52" s="45">
        <v>9397941</v>
      </c>
      <c r="H52" s="45">
        <v>81.790000000000006</v>
      </c>
    </row>
    <row r="53" spans="1:8" ht="15" customHeight="1" x14ac:dyDescent="0.3">
      <c r="A53" s="45" t="s">
        <v>91</v>
      </c>
      <c r="B53" s="45" t="s">
        <v>90</v>
      </c>
      <c r="C53" s="45" t="s">
        <v>11</v>
      </c>
      <c r="D53" s="45" t="s">
        <v>81</v>
      </c>
      <c r="E53" s="45" t="s">
        <v>82</v>
      </c>
      <c r="F53" s="45">
        <v>639728</v>
      </c>
      <c r="G53" s="45">
        <v>9396836</v>
      </c>
      <c r="H53" s="45">
        <v>173.43</v>
      </c>
    </row>
    <row r="54" spans="1:8" ht="15" customHeight="1" x14ac:dyDescent="0.3">
      <c r="A54" s="45" t="s">
        <v>92</v>
      </c>
      <c r="B54" s="45" t="s">
        <v>90</v>
      </c>
      <c r="C54" s="45" t="s">
        <v>11</v>
      </c>
      <c r="D54" s="45" t="s">
        <v>81</v>
      </c>
      <c r="E54" s="45" t="s">
        <v>82</v>
      </c>
      <c r="F54" s="45">
        <v>639987</v>
      </c>
      <c r="G54" s="45">
        <v>9394392</v>
      </c>
      <c r="H54" s="45">
        <v>30.91</v>
      </c>
    </row>
    <row r="55" spans="1:8" ht="15" customHeight="1" x14ac:dyDescent="0.3">
      <c r="A55" s="45" t="s">
        <v>93</v>
      </c>
      <c r="B55" s="45" t="s">
        <v>90</v>
      </c>
      <c r="C55" s="45" t="s">
        <v>11</v>
      </c>
      <c r="D55" s="45" t="s">
        <v>81</v>
      </c>
      <c r="E55" s="45" t="s">
        <v>82</v>
      </c>
      <c r="F55" s="45">
        <v>645575</v>
      </c>
      <c r="G55" s="45">
        <v>9393500</v>
      </c>
      <c r="H55" s="45">
        <v>1370.96</v>
      </c>
    </row>
    <row r="56" spans="1:8" ht="15" customHeight="1" x14ac:dyDescent="0.3">
      <c r="A56" s="45" t="s">
        <v>94</v>
      </c>
      <c r="B56" s="45" t="s">
        <v>78</v>
      </c>
      <c r="C56" s="45" t="s">
        <v>11</v>
      </c>
      <c r="D56" s="45" t="s">
        <v>81</v>
      </c>
      <c r="E56" s="45" t="s">
        <v>82</v>
      </c>
      <c r="F56" s="45">
        <v>625311</v>
      </c>
      <c r="G56" s="45">
        <v>9412195</v>
      </c>
      <c r="H56" s="45">
        <v>373.81</v>
      </c>
    </row>
    <row r="57" spans="1:8" ht="15" customHeight="1" x14ac:dyDescent="0.3">
      <c r="A57" s="45" t="s">
        <v>95</v>
      </c>
      <c r="B57" s="45" t="s">
        <v>78</v>
      </c>
      <c r="C57" s="45" t="s">
        <v>11</v>
      </c>
      <c r="D57" s="45" t="s">
        <v>81</v>
      </c>
      <c r="E57" s="45" t="s">
        <v>82</v>
      </c>
      <c r="F57" s="45">
        <v>621551</v>
      </c>
      <c r="G57" s="45">
        <v>9412989</v>
      </c>
      <c r="H57" s="45">
        <v>197.35</v>
      </c>
    </row>
    <row r="58" spans="1:8" ht="15" customHeight="1" x14ac:dyDescent="0.3">
      <c r="A58" s="45" t="s">
        <v>96</v>
      </c>
      <c r="B58" s="45" t="s">
        <v>80</v>
      </c>
      <c r="C58" s="45" t="s">
        <v>11</v>
      </c>
      <c r="D58" s="45" t="s">
        <v>97</v>
      </c>
      <c r="E58" s="45" t="s">
        <v>98</v>
      </c>
      <c r="F58" s="45">
        <v>638309</v>
      </c>
      <c r="G58" s="45">
        <v>9415217</v>
      </c>
      <c r="H58" s="45">
        <v>122.95</v>
      </c>
    </row>
    <row r="59" spans="1:8" ht="15" customHeight="1" x14ac:dyDescent="0.3">
      <c r="A59" s="45" t="s">
        <v>99</v>
      </c>
      <c r="B59" s="45" t="s">
        <v>80</v>
      </c>
      <c r="C59" s="45" t="s">
        <v>11</v>
      </c>
      <c r="D59" s="45" t="s">
        <v>97</v>
      </c>
      <c r="E59" s="45" t="s">
        <v>98</v>
      </c>
      <c r="F59" s="45">
        <v>637918</v>
      </c>
      <c r="G59" s="45">
        <v>9412134</v>
      </c>
      <c r="H59" s="45">
        <v>60.35</v>
      </c>
    </row>
    <row r="60" spans="1:8" ht="15" customHeight="1" x14ac:dyDescent="0.3">
      <c r="A60" s="45" t="s">
        <v>100</v>
      </c>
      <c r="B60" s="45" t="s">
        <v>101</v>
      </c>
      <c r="C60" s="45" t="s">
        <v>11</v>
      </c>
      <c r="D60" s="45" t="s">
        <v>97</v>
      </c>
      <c r="E60" s="45" t="s">
        <v>98</v>
      </c>
      <c r="F60" s="45">
        <v>638648</v>
      </c>
      <c r="G60" s="45">
        <v>9411370</v>
      </c>
      <c r="H60" s="45">
        <v>17.82</v>
      </c>
    </row>
    <row r="61" spans="1:8" ht="15" customHeight="1" x14ac:dyDescent="0.3">
      <c r="A61" s="45" t="s">
        <v>102</v>
      </c>
      <c r="B61" s="45" t="s">
        <v>80</v>
      </c>
      <c r="C61" s="45" t="s">
        <v>11</v>
      </c>
      <c r="D61" s="45" t="s">
        <v>97</v>
      </c>
      <c r="E61" s="45" t="s">
        <v>98</v>
      </c>
      <c r="F61" s="45">
        <v>635887</v>
      </c>
      <c r="G61" s="45">
        <v>9411738</v>
      </c>
      <c r="H61" s="45">
        <v>52.74</v>
      </c>
    </row>
    <row r="62" spans="1:8" ht="15" customHeight="1" x14ac:dyDescent="0.3">
      <c r="A62" s="45" t="s">
        <v>103</v>
      </c>
      <c r="B62" s="45" t="s">
        <v>80</v>
      </c>
      <c r="C62" s="45" t="s">
        <v>11</v>
      </c>
      <c r="D62" s="45" t="s">
        <v>97</v>
      </c>
      <c r="E62" s="45" t="s">
        <v>98</v>
      </c>
      <c r="F62" s="45">
        <v>633015</v>
      </c>
      <c r="G62" s="45">
        <v>9411483</v>
      </c>
      <c r="H62" s="45">
        <v>84.82</v>
      </c>
    </row>
    <row r="63" spans="1:8" ht="15" customHeight="1" x14ac:dyDescent="0.3">
      <c r="A63" s="45" t="s">
        <v>104</v>
      </c>
      <c r="B63" s="45" t="s">
        <v>80</v>
      </c>
      <c r="C63" s="45" t="s">
        <v>11</v>
      </c>
      <c r="D63" s="45" t="s">
        <v>97</v>
      </c>
      <c r="E63" s="45" t="s">
        <v>98</v>
      </c>
      <c r="F63" s="45">
        <v>632119</v>
      </c>
      <c r="G63" s="45">
        <v>9415141</v>
      </c>
      <c r="H63" s="45">
        <v>565.58000000000004</v>
      </c>
    </row>
    <row r="64" spans="1:8" ht="15" customHeight="1" x14ac:dyDescent="0.3">
      <c r="A64" s="45" t="s">
        <v>105</v>
      </c>
      <c r="B64" s="45" t="s">
        <v>101</v>
      </c>
      <c r="C64" s="45" t="s">
        <v>11</v>
      </c>
      <c r="D64" s="45" t="s">
        <v>97</v>
      </c>
      <c r="E64" s="45" t="s">
        <v>98</v>
      </c>
      <c r="F64" s="45">
        <v>642079</v>
      </c>
      <c r="G64" s="45">
        <v>9413823</v>
      </c>
      <c r="H64" s="45">
        <v>106.03</v>
      </c>
    </row>
    <row r="65" spans="1:8" ht="15" customHeight="1" x14ac:dyDescent="0.3">
      <c r="A65" s="45" t="s">
        <v>106</v>
      </c>
      <c r="B65" s="45" t="s">
        <v>107</v>
      </c>
      <c r="C65" s="45" t="s">
        <v>11</v>
      </c>
      <c r="D65" s="45" t="s">
        <v>108</v>
      </c>
      <c r="E65" s="45" t="s">
        <v>109</v>
      </c>
      <c r="F65" s="45">
        <v>642690</v>
      </c>
      <c r="G65" s="45">
        <v>9438409</v>
      </c>
      <c r="H65" s="45">
        <v>0.86</v>
      </c>
    </row>
    <row r="66" spans="1:8" ht="15" customHeight="1" x14ac:dyDescent="0.3">
      <c r="A66" s="45" t="s">
        <v>110</v>
      </c>
      <c r="B66" s="45" t="s">
        <v>107</v>
      </c>
      <c r="C66" s="45" t="s">
        <v>11</v>
      </c>
      <c r="D66" s="45" t="s">
        <v>108</v>
      </c>
      <c r="E66" s="45" t="s">
        <v>109</v>
      </c>
      <c r="F66" s="45">
        <v>642334</v>
      </c>
      <c r="G66" s="45">
        <v>9438263</v>
      </c>
      <c r="H66" s="45">
        <v>15.84</v>
      </c>
    </row>
    <row r="67" spans="1:8" ht="15" customHeight="1" x14ac:dyDescent="0.3">
      <c r="A67" s="45" t="s">
        <v>111</v>
      </c>
      <c r="B67" s="45" t="s">
        <v>107</v>
      </c>
      <c r="C67" s="45" t="s">
        <v>11</v>
      </c>
      <c r="D67" s="45" t="s">
        <v>108</v>
      </c>
      <c r="E67" s="45" t="s">
        <v>109</v>
      </c>
      <c r="F67" s="45">
        <v>641522</v>
      </c>
      <c r="G67" s="45">
        <v>9438064</v>
      </c>
      <c r="H67" s="45">
        <v>11.06</v>
      </c>
    </row>
    <row r="68" spans="1:8" ht="15" customHeight="1" x14ac:dyDescent="0.3">
      <c r="A68" s="45" t="s">
        <v>112</v>
      </c>
      <c r="B68" s="45" t="s">
        <v>107</v>
      </c>
      <c r="C68" s="45" t="s">
        <v>11</v>
      </c>
      <c r="D68" s="45" t="s">
        <v>108</v>
      </c>
      <c r="E68" s="45" t="s">
        <v>109</v>
      </c>
      <c r="F68" s="45">
        <v>639496</v>
      </c>
      <c r="G68" s="45">
        <v>9433679</v>
      </c>
      <c r="H68" s="45">
        <v>5.75</v>
      </c>
    </row>
    <row r="69" spans="1:8" ht="15" customHeight="1" x14ac:dyDescent="0.3">
      <c r="A69" s="45" t="s">
        <v>113</v>
      </c>
      <c r="B69" s="45" t="s">
        <v>107</v>
      </c>
      <c r="C69" s="45" t="s">
        <v>11</v>
      </c>
      <c r="D69" s="45" t="s">
        <v>108</v>
      </c>
      <c r="E69" s="45" t="s">
        <v>109</v>
      </c>
      <c r="F69" s="45">
        <v>638751</v>
      </c>
      <c r="G69" s="45">
        <v>9433236</v>
      </c>
      <c r="H69" s="45">
        <v>18.87</v>
      </c>
    </row>
    <row r="70" spans="1:8" ht="15" customHeight="1" x14ac:dyDescent="0.3">
      <c r="A70" s="45" t="s">
        <v>114</v>
      </c>
      <c r="B70" s="45" t="s">
        <v>107</v>
      </c>
      <c r="C70" s="45" t="s">
        <v>11</v>
      </c>
      <c r="D70" s="45" t="s">
        <v>108</v>
      </c>
      <c r="E70" s="45" t="s">
        <v>109</v>
      </c>
      <c r="F70" s="45">
        <v>636249</v>
      </c>
      <c r="G70" s="45">
        <v>9425665</v>
      </c>
      <c r="H70" s="45">
        <v>90.2</v>
      </c>
    </row>
    <row r="71" spans="1:8" ht="15" customHeight="1" x14ac:dyDescent="0.3">
      <c r="A71" s="45" t="s">
        <v>115</v>
      </c>
      <c r="B71" s="45" t="s">
        <v>107</v>
      </c>
      <c r="C71" s="45" t="s">
        <v>11</v>
      </c>
      <c r="D71" s="45" t="s">
        <v>108</v>
      </c>
      <c r="E71" s="45" t="s">
        <v>109</v>
      </c>
      <c r="F71" s="45">
        <v>634061</v>
      </c>
      <c r="G71" s="45">
        <v>9426778</v>
      </c>
      <c r="H71" s="45">
        <v>58.29</v>
      </c>
    </row>
    <row r="72" spans="1:8" ht="15" customHeight="1" x14ac:dyDescent="0.3">
      <c r="A72" s="45" t="s">
        <v>116</v>
      </c>
      <c r="B72" s="45" t="s">
        <v>107</v>
      </c>
      <c r="C72" s="45" t="s">
        <v>11</v>
      </c>
      <c r="D72" s="45" t="s">
        <v>108</v>
      </c>
      <c r="E72" s="45" t="s">
        <v>109</v>
      </c>
      <c r="F72" s="45">
        <v>626078</v>
      </c>
      <c r="G72" s="45">
        <v>9427110</v>
      </c>
      <c r="H72" s="45">
        <v>283.43</v>
      </c>
    </row>
    <row r="73" spans="1:8" ht="15" customHeight="1" x14ac:dyDescent="0.3">
      <c r="A73" s="45" t="s">
        <v>117</v>
      </c>
      <c r="B73" s="45" t="s">
        <v>118</v>
      </c>
      <c r="C73" s="45" t="s">
        <v>119</v>
      </c>
      <c r="D73" s="45" t="s">
        <v>120</v>
      </c>
      <c r="E73" s="45" t="s">
        <v>121</v>
      </c>
      <c r="F73" s="45">
        <v>646466</v>
      </c>
      <c r="G73" s="45">
        <v>9431126</v>
      </c>
      <c r="H73" s="45">
        <v>29.68</v>
      </c>
    </row>
    <row r="74" spans="1:8" ht="15" customHeight="1" x14ac:dyDescent="0.3">
      <c r="A74" s="45" t="s">
        <v>122</v>
      </c>
      <c r="B74" s="45" t="s">
        <v>118</v>
      </c>
      <c r="C74" s="45" t="s">
        <v>119</v>
      </c>
      <c r="D74" s="45" t="s">
        <v>120</v>
      </c>
      <c r="E74" s="45" t="s">
        <v>121</v>
      </c>
      <c r="F74" s="45">
        <v>647123</v>
      </c>
      <c r="G74" s="45">
        <v>9427602</v>
      </c>
      <c r="H74" s="45">
        <v>44.2</v>
      </c>
    </row>
    <row r="75" spans="1:8" ht="15" customHeight="1" x14ac:dyDescent="0.3">
      <c r="A75" s="45" t="s">
        <v>123</v>
      </c>
      <c r="B75" s="45" t="s">
        <v>118</v>
      </c>
      <c r="C75" s="45" t="s">
        <v>119</v>
      </c>
      <c r="D75" s="45" t="s">
        <v>120</v>
      </c>
      <c r="E75" s="45" t="s">
        <v>121</v>
      </c>
      <c r="F75" s="45">
        <v>647350</v>
      </c>
      <c r="G75" s="45">
        <v>9427252</v>
      </c>
      <c r="H75" s="45">
        <v>19.27</v>
      </c>
    </row>
    <row r="76" spans="1:8" ht="15" customHeight="1" x14ac:dyDescent="0.3">
      <c r="A76" s="45" t="s">
        <v>124</v>
      </c>
      <c r="B76" s="45" t="s">
        <v>118</v>
      </c>
      <c r="C76" s="45" t="s">
        <v>119</v>
      </c>
      <c r="D76" s="45" t="s">
        <v>120</v>
      </c>
      <c r="E76" s="45" t="s">
        <v>121</v>
      </c>
      <c r="F76" s="45">
        <v>646483</v>
      </c>
      <c r="G76" s="45">
        <v>9426305</v>
      </c>
      <c r="H76" s="45">
        <v>28.45</v>
      </c>
    </row>
    <row r="77" spans="1:8" ht="15" customHeight="1" x14ac:dyDescent="0.3">
      <c r="A77" s="45" t="s">
        <v>125</v>
      </c>
      <c r="B77" s="45" t="s">
        <v>118</v>
      </c>
      <c r="C77" s="45" t="s">
        <v>119</v>
      </c>
      <c r="D77" s="45" t="s">
        <v>120</v>
      </c>
      <c r="E77" s="45" t="s">
        <v>121</v>
      </c>
      <c r="F77" s="45">
        <v>646236</v>
      </c>
      <c r="G77" s="45">
        <v>9425052</v>
      </c>
      <c r="H77" s="45">
        <v>26.83</v>
      </c>
    </row>
    <row r="78" spans="1:8" ht="15" customHeight="1" x14ac:dyDescent="0.3">
      <c r="A78" s="45" t="s">
        <v>126</v>
      </c>
      <c r="B78" s="45" t="s">
        <v>127</v>
      </c>
      <c r="C78" s="45" t="s">
        <v>119</v>
      </c>
      <c r="D78" s="45" t="s">
        <v>120</v>
      </c>
      <c r="E78" s="45" t="s">
        <v>121</v>
      </c>
      <c r="F78" s="45">
        <v>649081</v>
      </c>
      <c r="G78" s="45">
        <v>9424506</v>
      </c>
      <c r="H78" s="45">
        <v>35.49</v>
      </c>
    </row>
    <row r="79" spans="1:8" ht="15" customHeight="1" x14ac:dyDescent="0.3">
      <c r="A79" s="45" t="s">
        <v>128</v>
      </c>
      <c r="B79" s="45" t="s">
        <v>127</v>
      </c>
      <c r="C79" s="45" t="s">
        <v>119</v>
      </c>
      <c r="D79" s="45" t="s">
        <v>120</v>
      </c>
      <c r="E79" s="45" t="s">
        <v>121</v>
      </c>
      <c r="F79" s="45">
        <v>649472</v>
      </c>
      <c r="G79" s="45">
        <v>9425705</v>
      </c>
      <c r="H79" s="45">
        <v>46.96</v>
      </c>
    </row>
    <row r="80" spans="1:8" ht="15" customHeight="1" x14ac:dyDescent="0.3">
      <c r="A80" s="45" t="s">
        <v>129</v>
      </c>
      <c r="B80" s="45" t="s">
        <v>127</v>
      </c>
      <c r="C80" s="45" t="s">
        <v>119</v>
      </c>
      <c r="D80" s="45" t="s">
        <v>119</v>
      </c>
      <c r="E80" s="45" t="s">
        <v>130</v>
      </c>
      <c r="F80" s="45">
        <v>657819</v>
      </c>
      <c r="G80" s="45">
        <v>9428541</v>
      </c>
      <c r="H80" s="45">
        <v>35.770000000000003</v>
      </c>
    </row>
    <row r="81" spans="1:8" ht="15" customHeight="1" x14ac:dyDescent="0.3">
      <c r="A81" s="45" t="s">
        <v>131</v>
      </c>
      <c r="B81" s="45" t="s">
        <v>132</v>
      </c>
      <c r="C81" s="45" t="s">
        <v>119</v>
      </c>
      <c r="D81" s="45" t="s">
        <v>119</v>
      </c>
      <c r="E81" s="45" t="s">
        <v>130</v>
      </c>
      <c r="F81" s="45">
        <v>656897</v>
      </c>
      <c r="G81" s="45">
        <v>9426033</v>
      </c>
      <c r="H81" s="45">
        <v>40.26</v>
      </c>
    </row>
    <row r="82" spans="1:8" ht="15" customHeight="1" x14ac:dyDescent="0.3">
      <c r="A82" s="45" t="s">
        <v>133</v>
      </c>
      <c r="B82" s="45" t="s">
        <v>127</v>
      </c>
      <c r="C82" s="45" t="s">
        <v>119</v>
      </c>
      <c r="D82" s="45" t="s">
        <v>119</v>
      </c>
      <c r="E82" s="45" t="s">
        <v>130</v>
      </c>
      <c r="F82" s="45">
        <v>655263</v>
      </c>
      <c r="G82" s="45">
        <v>9427340</v>
      </c>
      <c r="H82" s="45">
        <v>90.9</v>
      </c>
    </row>
    <row r="83" spans="1:8" ht="15" customHeight="1" x14ac:dyDescent="0.3">
      <c r="A83" s="45" t="s">
        <v>134</v>
      </c>
      <c r="B83" s="45" t="s">
        <v>127</v>
      </c>
      <c r="C83" s="45" t="s">
        <v>119</v>
      </c>
      <c r="D83" s="45" t="s">
        <v>135</v>
      </c>
      <c r="E83" s="45" t="s">
        <v>130</v>
      </c>
      <c r="F83" s="45">
        <v>653850</v>
      </c>
      <c r="G83" s="45">
        <v>9426236</v>
      </c>
      <c r="H83" s="45">
        <v>40.130000000000003</v>
      </c>
    </row>
    <row r="84" spans="1:8" ht="15" customHeight="1" x14ac:dyDescent="0.3">
      <c r="A84" s="45" t="s">
        <v>136</v>
      </c>
      <c r="B84" s="45" t="s">
        <v>127</v>
      </c>
      <c r="C84" s="45" t="s">
        <v>119</v>
      </c>
      <c r="D84" s="45" t="s">
        <v>135</v>
      </c>
      <c r="E84" s="45" t="s">
        <v>130</v>
      </c>
      <c r="F84" s="45">
        <v>654137</v>
      </c>
      <c r="G84" s="45">
        <v>9424425</v>
      </c>
      <c r="H84" s="45">
        <v>28.52</v>
      </c>
    </row>
    <row r="85" spans="1:8" ht="15" customHeight="1" x14ac:dyDescent="0.3">
      <c r="A85" s="45" t="s">
        <v>137</v>
      </c>
      <c r="B85" s="45" t="s">
        <v>127</v>
      </c>
      <c r="C85" s="45" t="s">
        <v>119</v>
      </c>
      <c r="D85" s="45" t="s">
        <v>135</v>
      </c>
      <c r="E85" s="45" t="s">
        <v>130</v>
      </c>
      <c r="F85" s="45">
        <v>652758</v>
      </c>
      <c r="G85" s="45">
        <v>9424380</v>
      </c>
      <c r="H85" s="45">
        <v>34.869999999999997</v>
      </c>
    </row>
    <row r="86" spans="1:8" ht="15" customHeight="1" x14ac:dyDescent="0.3">
      <c r="A86" s="45" t="s">
        <v>138</v>
      </c>
      <c r="B86" s="45" t="s">
        <v>127</v>
      </c>
      <c r="C86" s="45" t="s">
        <v>119</v>
      </c>
      <c r="D86" s="45" t="s">
        <v>135</v>
      </c>
      <c r="E86" s="45" t="s">
        <v>130</v>
      </c>
      <c r="F86" s="45">
        <v>654188</v>
      </c>
      <c r="G86" s="45">
        <v>9422849</v>
      </c>
      <c r="H86" s="45">
        <v>52.97</v>
      </c>
    </row>
    <row r="87" spans="1:8" ht="15" customHeight="1" x14ac:dyDescent="0.3">
      <c r="A87" s="45" t="s">
        <v>139</v>
      </c>
      <c r="B87" s="45" t="s">
        <v>127</v>
      </c>
      <c r="C87" s="45" t="s">
        <v>119</v>
      </c>
      <c r="D87" s="45" t="s">
        <v>135</v>
      </c>
      <c r="E87" s="45" t="s">
        <v>130</v>
      </c>
      <c r="F87" s="45">
        <v>655046</v>
      </c>
      <c r="G87" s="45">
        <v>9420450</v>
      </c>
      <c r="H87" s="45">
        <v>73.819999999999993</v>
      </c>
    </row>
    <row r="88" spans="1:8" ht="15" customHeight="1" x14ac:dyDescent="0.3">
      <c r="A88" s="45" t="s">
        <v>140</v>
      </c>
      <c r="B88" s="45" t="s">
        <v>132</v>
      </c>
      <c r="C88" s="45" t="s">
        <v>119</v>
      </c>
      <c r="D88" s="45" t="s">
        <v>135</v>
      </c>
      <c r="E88" s="45" t="s">
        <v>130</v>
      </c>
      <c r="F88" s="45">
        <v>657541</v>
      </c>
      <c r="G88" s="45">
        <v>9421083</v>
      </c>
      <c r="H88" s="45">
        <v>53.93</v>
      </c>
    </row>
    <row r="89" spans="1:8" ht="15" customHeight="1" x14ac:dyDescent="0.3">
      <c r="A89" s="45" t="s">
        <v>141</v>
      </c>
      <c r="B89" s="45" t="s">
        <v>127</v>
      </c>
      <c r="C89" s="45" t="s">
        <v>119</v>
      </c>
      <c r="D89" s="45" t="s">
        <v>135</v>
      </c>
      <c r="E89" s="45" t="s">
        <v>130</v>
      </c>
      <c r="F89" s="45">
        <v>654604</v>
      </c>
      <c r="G89" s="45">
        <v>9417736</v>
      </c>
      <c r="H89" s="45">
        <v>84.23</v>
      </c>
    </row>
    <row r="90" spans="1:8" ht="15" customHeight="1" x14ac:dyDescent="0.3">
      <c r="A90" s="45" t="s">
        <v>142</v>
      </c>
      <c r="B90" s="45" t="s">
        <v>127</v>
      </c>
      <c r="C90" s="45" t="s">
        <v>119</v>
      </c>
      <c r="D90" s="45" t="s">
        <v>135</v>
      </c>
      <c r="E90" s="45" t="s">
        <v>130</v>
      </c>
      <c r="F90" s="45">
        <v>652566</v>
      </c>
      <c r="G90" s="45">
        <v>9417311</v>
      </c>
      <c r="H90" s="45">
        <v>102.34</v>
      </c>
    </row>
    <row r="91" spans="1:8" ht="15" customHeight="1" x14ac:dyDescent="0.3">
      <c r="A91" s="45" t="s">
        <v>143</v>
      </c>
      <c r="B91" s="45" t="s">
        <v>101</v>
      </c>
      <c r="C91" s="45" t="s">
        <v>119</v>
      </c>
      <c r="D91" s="45" t="s">
        <v>135</v>
      </c>
      <c r="E91" s="45" t="s">
        <v>130</v>
      </c>
      <c r="F91" s="45">
        <v>652191</v>
      </c>
      <c r="G91" s="45">
        <v>9414358</v>
      </c>
      <c r="H91" s="45">
        <v>90.16</v>
      </c>
    </row>
    <row r="92" spans="1:8" ht="15" customHeight="1" x14ac:dyDescent="0.3">
      <c r="A92" s="45" t="s">
        <v>144</v>
      </c>
      <c r="B92" s="45" t="s">
        <v>101</v>
      </c>
      <c r="C92" s="45" t="s">
        <v>119</v>
      </c>
      <c r="D92" s="45" t="s">
        <v>135</v>
      </c>
      <c r="E92" s="45" t="s">
        <v>130</v>
      </c>
      <c r="F92" s="45">
        <v>655059</v>
      </c>
      <c r="G92" s="45">
        <v>9413845</v>
      </c>
      <c r="H92" s="45">
        <v>50.46</v>
      </c>
    </row>
    <row r="93" spans="1:8" ht="15" customHeight="1" x14ac:dyDescent="0.3">
      <c r="A93" s="45" t="s">
        <v>145</v>
      </c>
      <c r="B93" s="45" t="s">
        <v>146</v>
      </c>
      <c r="C93" s="45" t="s">
        <v>119</v>
      </c>
      <c r="D93" s="45" t="s">
        <v>135</v>
      </c>
      <c r="E93" s="45" t="s">
        <v>130</v>
      </c>
      <c r="F93" s="45">
        <v>650305</v>
      </c>
      <c r="G93" s="45">
        <v>9402785</v>
      </c>
      <c r="H93" s="45">
        <v>94.81</v>
      </c>
    </row>
    <row r="94" spans="1:8" ht="15" customHeight="1" x14ac:dyDescent="0.3">
      <c r="A94" s="45" t="s">
        <v>147</v>
      </c>
      <c r="B94" s="45" t="s">
        <v>148</v>
      </c>
      <c r="C94" s="45" t="s">
        <v>119</v>
      </c>
      <c r="D94" s="45" t="s">
        <v>135</v>
      </c>
      <c r="E94" s="45" t="s">
        <v>130</v>
      </c>
      <c r="F94" s="45">
        <v>641538</v>
      </c>
      <c r="G94" s="45">
        <v>9401360</v>
      </c>
      <c r="H94" s="45">
        <v>8.93</v>
      </c>
    </row>
    <row r="95" spans="1:8" ht="15" customHeight="1" x14ac:dyDescent="0.3">
      <c r="A95" s="45" t="s">
        <v>149</v>
      </c>
      <c r="B95" s="45" t="s">
        <v>150</v>
      </c>
      <c r="C95" s="45" t="s">
        <v>119</v>
      </c>
      <c r="D95" s="45" t="s">
        <v>151</v>
      </c>
      <c r="E95" s="45" t="s">
        <v>152</v>
      </c>
      <c r="F95" s="45">
        <v>664082</v>
      </c>
      <c r="G95" s="45">
        <v>9404172</v>
      </c>
      <c r="H95" s="45">
        <v>55.17</v>
      </c>
    </row>
    <row r="96" spans="1:8" ht="15" customHeight="1" x14ac:dyDescent="0.3">
      <c r="A96" s="45" t="s">
        <v>153</v>
      </c>
      <c r="B96" s="45" t="s">
        <v>150</v>
      </c>
      <c r="C96" s="45" t="s">
        <v>119</v>
      </c>
      <c r="D96" s="45" t="s">
        <v>151</v>
      </c>
      <c r="E96" s="45" t="s">
        <v>152</v>
      </c>
      <c r="F96" s="45">
        <v>663637</v>
      </c>
      <c r="G96" s="45">
        <v>9400618</v>
      </c>
      <c r="H96" s="45">
        <v>28.23</v>
      </c>
    </row>
    <row r="97" spans="1:8" ht="15" customHeight="1" x14ac:dyDescent="0.3">
      <c r="A97" s="45" t="s">
        <v>154</v>
      </c>
      <c r="B97" s="45" t="s">
        <v>150</v>
      </c>
      <c r="C97" s="45" t="s">
        <v>119</v>
      </c>
      <c r="D97" s="45" t="s">
        <v>151</v>
      </c>
      <c r="E97" s="45" t="s">
        <v>152</v>
      </c>
      <c r="F97" s="45">
        <v>659649</v>
      </c>
      <c r="G97" s="45">
        <v>9401436</v>
      </c>
      <c r="H97" s="45">
        <v>13.55</v>
      </c>
    </row>
    <row r="98" spans="1:8" ht="15" customHeight="1" x14ac:dyDescent="0.3">
      <c r="A98" s="45" t="s">
        <v>155</v>
      </c>
      <c r="B98" s="45" t="s">
        <v>146</v>
      </c>
      <c r="C98" s="45" t="s">
        <v>119</v>
      </c>
      <c r="D98" s="45" t="s">
        <v>151</v>
      </c>
      <c r="E98" s="45" t="s">
        <v>152</v>
      </c>
      <c r="F98" s="45">
        <v>657722</v>
      </c>
      <c r="G98" s="45">
        <v>9401669</v>
      </c>
      <c r="H98" s="45">
        <v>15.18</v>
      </c>
    </row>
    <row r="99" spans="1:8" ht="15" customHeight="1" x14ac:dyDescent="0.3">
      <c r="A99" s="45" t="s">
        <v>156</v>
      </c>
      <c r="B99" s="45" t="s">
        <v>150</v>
      </c>
      <c r="C99" s="45" t="s">
        <v>119</v>
      </c>
      <c r="D99" s="45" t="s">
        <v>151</v>
      </c>
      <c r="E99" s="45" t="s">
        <v>152</v>
      </c>
      <c r="F99" s="45">
        <v>656578</v>
      </c>
      <c r="G99" s="45">
        <v>9397762</v>
      </c>
      <c r="H99" s="45">
        <v>109.86</v>
      </c>
    </row>
    <row r="100" spans="1:8" ht="15" customHeight="1" x14ac:dyDescent="0.3">
      <c r="A100" s="45" t="s">
        <v>157</v>
      </c>
      <c r="B100" s="45" t="s">
        <v>150</v>
      </c>
      <c r="C100" s="45" t="s">
        <v>119</v>
      </c>
      <c r="D100" s="45" t="s">
        <v>151</v>
      </c>
      <c r="E100" s="45" t="s">
        <v>152</v>
      </c>
      <c r="F100" s="45">
        <v>656489</v>
      </c>
      <c r="G100" s="45">
        <v>9395403</v>
      </c>
      <c r="H100" s="45">
        <v>23.17</v>
      </c>
    </row>
    <row r="101" spans="1:8" ht="15" customHeight="1" x14ac:dyDescent="0.3">
      <c r="A101" s="45" t="s">
        <v>158</v>
      </c>
      <c r="B101" s="45" t="s">
        <v>150</v>
      </c>
      <c r="C101" s="45" t="s">
        <v>119</v>
      </c>
      <c r="D101" s="45" t="s">
        <v>151</v>
      </c>
      <c r="E101" s="45" t="s">
        <v>152</v>
      </c>
      <c r="F101" s="45">
        <v>654607</v>
      </c>
      <c r="G101" s="45">
        <v>9395038</v>
      </c>
      <c r="H101" s="45">
        <v>30.8</v>
      </c>
    </row>
    <row r="102" spans="1:8" ht="15" customHeight="1" x14ac:dyDescent="0.3">
      <c r="A102" s="45" t="s">
        <v>159</v>
      </c>
      <c r="B102" s="45" t="s">
        <v>150</v>
      </c>
      <c r="C102" s="45" t="s">
        <v>119</v>
      </c>
      <c r="D102" s="45" t="s">
        <v>151</v>
      </c>
      <c r="E102" s="45" t="s">
        <v>152</v>
      </c>
      <c r="F102" s="45">
        <v>654207</v>
      </c>
      <c r="G102" s="45">
        <v>9394210</v>
      </c>
      <c r="H102" s="45">
        <v>13.18</v>
      </c>
    </row>
    <row r="103" spans="1:8" ht="15" customHeight="1" x14ac:dyDescent="0.3">
      <c r="A103" s="45" t="s">
        <v>160</v>
      </c>
      <c r="B103" s="45" t="s">
        <v>148</v>
      </c>
      <c r="C103" s="45" t="s">
        <v>119</v>
      </c>
      <c r="D103" s="45" t="s">
        <v>151</v>
      </c>
      <c r="E103" s="45" t="s">
        <v>152</v>
      </c>
      <c r="F103" s="45">
        <v>641196</v>
      </c>
      <c r="G103" s="45">
        <v>9398710</v>
      </c>
      <c r="H103" s="45">
        <v>279.68</v>
      </c>
    </row>
    <row r="104" spans="1:8" ht="15" customHeight="1" x14ac:dyDescent="0.3">
      <c r="A104" s="45" t="s">
        <v>161</v>
      </c>
      <c r="B104" s="45" t="s">
        <v>90</v>
      </c>
      <c r="C104" s="45" t="s">
        <v>119</v>
      </c>
      <c r="D104" s="45" t="s">
        <v>151</v>
      </c>
      <c r="E104" s="45" t="s">
        <v>152</v>
      </c>
      <c r="F104" s="45">
        <v>639059</v>
      </c>
      <c r="G104" s="45">
        <v>9398295</v>
      </c>
      <c r="H104" s="45">
        <v>116.1</v>
      </c>
    </row>
    <row r="105" spans="1:8" ht="15" customHeight="1" x14ac:dyDescent="0.3">
      <c r="A105" s="45" t="s">
        <v>162</v>
      </c>
      <c r="B105" s="45" t="s">
        <v>163</v>
      </c>
      <c r="C105" s="45" t="s">
        <v>119</v>
      </c>
      <c r="D105" s="45" t="s">
        <v>164</v>
      </c>
      <c r="E105" s="45" t="s">
        <v>165</v>
      </c>
      <c r="F105" s="45">
        <v>662123</v>
      </c>
      <c r="G105" s="45">
        <v>9397575</v>
      </c>
      <c r="H105" s="45">
        <v>40.1</v>
      </c>
    </row>
    <row r="106" spans="1:8" ht="15" customHeight="1" x14ac:dyDescent="0.3">
      <c r="A106" s="45" t="s">
        <v>166</v>
      </c>
      <c r="B106" s="45" t="s">
        <v>163</v>
      </c>
      <c r="C106" s="45" t="s">
        <v>119</v>
      </c>
      <c r="D106" s="45" t="s">
        <v>164</v>
      </c>
      <c r="E106" s="45" t="s">
        <v>165</v>
      </c>
      <c r="F106" s="45">
        <v>664225</v>
      </c>
      <c r="G106" s="45">
        <v>9396339</v>
      </c>
      <c r="H106" s="45">
        <v>21.29</v>
      </c>
    </row>
    <row r="107" spans="1:8" ht="15" customHeight="1" x14ac:dyDescent="0.3">
      <c r="A107" s="45" t="s">
        <v>167</v>
      </c>
      <c r="B107" s="45" t="s">
        <v>163</v>
      </c>
      <c r="C107" s="45" t="s">
        <v>119</v>
      </c>
      <c r="D107" s="45" t="s">
        <v>164</v>
      </c>
      <c r="E107" s="45" t="s">
        <v>165</v>
      </c>
      <c r="F107" s="45">
        <v>666537</v>
      </c>
      <c r="G107" s="45">
        <v>9395918</v>
      </c>
      <c r="H107" s="45">
        <v>13.06</v>
      </c>
    </row>
    <row r="108" spans="1:8" ht="15" customHeight="1" x14ac:dyDescent="0.3">
      <c r="A108" s="45" t="s">
        <v>168</v>
      </c>
      <c r="B108" s="45" t="s">
        <v>163</v>
      </c>
      <c r="C108" s="45" t="s">
        <v>119</v>
      </c>
      <c r="D108" s="45" t="s">
        <v>164</v>
      </c>
      <c r="E108" s="45" t="s">
        <v>165</v>
      </c>
      <c r="F108" s="45">
        <v>666781</v>
      </c>
      <c r="G108" s="45">
        <v>9395573</v>
      </c>
      <c r="H108" s="45">
        <v>22.39</v>
      </c>
    </row>
    <row r="109" spans="1:8" ht="15" customHeight="1" x14ac:dyDescent="0.3">
      <c r="A109" s="45" t="s">
        <v>169</v>
      </c>
      <c r="B109" s="45" t="s">
        <v>163</v>
      </c>
      <c r="C109" s="45" t="s">
        <v>119</v>
      </c>
      <c r="D109" s="45" t="s">
        <v>164</v>
      </c>
      <c r="E109" s="45" t="s">
        <v>165</v>
      </c>
      <c r="F109" s="45">
        <v>663334</v>
      </c>
      <c r="G109" s="45">
        <v>9392820</v>
      </c>
      <c r="H109" s="45">
        <v>47.58</v>
      </c>
    </row>
    <row r="110" spans="1:8" ht="15" customHeight="1" x14ac:dyDescent="0.3">
      <c r="A110" s="45" t="s">
        <v>170</v>
      </c>
      <c r="B110" s="45" t="s">
        <v>163</v>
      </c>
      <c r="C110" s="45" t="s">
        <v>119</v>
      </c>
      <c r="D110" s="45" t="s">
        <v>164</v>
      </c>
      <c r="E110" s="45" t="s">
        <v>165</v>
      </c>
      <c r="F110" s="45">
        <v>663291</v>
      </c>
      <c r="G110" s="45">
        <v>9392332</v>
      </c>
      <c r="H110" s="45">
        <v>19.43</v>
      </c>
    </row>
    <row r="111" spans="1:8" ht="15" customHeight="1" x14ac:dyDescent="0.3">
      <c r="A111" s="45" t="s">
        <v>171</v>
      </c>
      <c r="B111" s="45" t="s">
        <v>163</v>
      </c>
      <c r="C111" s="45" t="s">
        <v>119</v>
      </c>
      <c r="D111" s="45" t="s">
        <v>164</v>
      </c>
      <c r="E111" s="45" t="s">
        <v>165</v>
      </c>
      <c r="F111" s="45">
        <v>662236</v>
      </c>
      <c r="G111" s="45">
        <v>9391211</v>
      </c>
      <c r="H111" s="45">
        <v>12.4</v>
      </c>
    </row>
    <row r="112" spans="1:8" ht="15" customHeight="1" x14ac:dyDescent="0.3">
      <c r="A112" s="45" t="s">
        <v>172</v>
      </c>
      <c r="B112" s="45" t="s">
        <v>163</v>
      </c>
      <c r="C112" s="45" t="s">
        <v>119</v>
      </c>
      <c r="D112" s="45" t="s">
        <v>164</v>
      </c>
      <c r="E112" s="45" t="s">
        <v>165</v>
      </c>
      <c r="F112" s="45">
        <v>660525</v>
      </c>
      <c r="G112" s="45">
        <v>9394327</v>
      </c>
      <c r="H112" s="45">
        <v>64.92</v>
      </c>
    </row>
    <row r="113" spans="1:8" ht="15" customHeight="1" x14ac:dyDescent="0.3">
      <c r="A113" s="45" t="s">
        <v>173</v>
      </c>
      <c r="B113" s="45" t="s">
        <v>163</v>
      </c>
      <c r="C113" s="45" t="s">
        <v>119</v>
      </c>
      <c r="D113" s="45" t="s">
        <v>164</v>
      </c>
      <c r="E113" s="45" t="s">
        <v>165</v>
      </c>
      <c r="F113" s="45">
        <v>658547</v>
      </c>
      <c r="G113" s="45">
        <v>9395594</v>
      </c>
      <c r="H113" s="45">
        <v>54.29</v>
      </c>
    </row>
    <row r="114" spans="1:8" ht="15" customHeight="1" x14ac:dyDescent="0.3">
      <c r="A114" s="45" t="s">
        <v>174</v>
      </c>
      <c r="B114" s="45" t="s">
        <v>163</v>
      </c>
      <c r="C114" s="45" t="s">
        <v>119</v>
      </c>
      <c r="D114" s="45" t="s">
        <v>164</v>
      </c>
      <c r="E114" s="45" t="s">
        <v>165</v>
      </c>
      <c r="F114" s="45">
        <v>656445</v>
      </c>
      <c r="G114" s="45">
        <v>9393180</v>
      </c>
      <c r="H114" s="45">
        <v>103.62</v>
      </c>
    </row>
    <row r="115" spans="1:8" ht="15" customHeight="1" x14ac:dyDescent="0.3">
      <c r="A115" s="45" t="s">
        <v>175</v>
      </c>
      <c r="B115" s="45" t="s">
        <v>176</v>
      </c>
      <c r="C115" s="45" t="s">
        <v>119</v>
      </c>
      <c r="D115" s="45" t="s">
        <v>164</v>
      </c>
      <c r="E115" s="45" t="s">
        <v>165</v>
      </c>
      <c r="F115" s="45">
        <v>652449</v>
      </c>
      <c r="G115" s="45">
        <v>9389179</v>
      </c>
      <c r="H115" s="45">
        <v>29.23</v>
      </c>
    </row>
    <row r="116" spans="1:8" ht="15" customHeight="1" x14ac:dyDescent="0.3">
      <c r="A116" s="45" t="s">
        <v>177</v>
      </c>
      <c r="B116" s="45" t="s">
        <v>176</v>
      </c>
      <c r="C116" s="45" t="s">
        <v>119</v>
      </c>
      <c r="D116" s="45" t="s">
        <v>164</v>
      </c>
      <c r="E116" s="45" t="s">
        <v>165</v>
      </c>
      <c r="F116" s="45">
        <v>644546</v>
      </c>
      <c r="G116" s="45">
        <v>9389106</v>
      </c>
      <c r="H116" s="45">
        <v>268.39</v>
      </c>
    </row>
    <row r="117" spans="1:8" ht="15" customHeight="1" x14ac:dyDescent="0.3">
      <c r="A117" s="45" t="s">
        <v>178</v>
      </c>
      <c r="B117" s="45" t="s">
        <v>163</v>
      </c>
      <c r="C117" s="45" t="s">
        <v>119</v>
      </c>
      <c r="D117" s="45" t="s">
        <v>164</v>
      </c>
      <c r="E117" s="45" t="s">
        <v>165</v>
      </c>
      <c r="F117" s="45">
        <v>665942</v>
      </c>
      <c r="G117" s="45">
        <v>9391144</v>
      </c>
      <c r="H117" s="45">
        <v>82.09</v>
      </c>
    </row>
    <row r="118" spans="1:8" ht="15" customHeight="1" x14ac:dyDescent="0.3">
      <c r="A118" s="45" t="s">
        <v>179</v>
      </c>
      <c r="B118" s="45" t="s">
        <v>180</v>
      </c>
      <c r="C118" s="45" t="s">
        <v>119</v>
      </c>
      <c r="D118" s="45" t="s">
        <v>164</v>
      </c>
      <c r="E118" s="45" t="s">
        <v>181</v>
      </c>
      <c r="F118" s="45">
        <v>642775</v>
      </c>
      <c r="G118" s="45">
        <v>9388574</v>
      </c>
      <c r="H118" s="45">
        <v>289.91000000000003</v>
      </c>
    </row>
    <row r="119" spans="1:8" ht="15" customHeight="1" x14ac:dyDescent="0.3">
      <c r="A119" s="45" t="s">
        <v>182</v>
      </c>
      <c r="B119" s="45" t="s">
        <v>180</v>
      </c>
      <c r="C119" s="45" t="s">
        <v>119</v>
      </c>
      <c r="D119" s="45" t="s">
        <v>164</v>
      </c>
      <c r="E119" s="45" t="s">
        <v>181</v>
      </c>
      <c r="F119" s="45">
        <v>643474</v>
      </c>
      <c r="G119" s="45">
        <v>9385620</v>
      </c>
      <c r="H119" s="45">
        <v>234.07</v>
      </c>
    </row>
    <row r="120" spans="1:8" ht="15" customHeight="1" x14ac:dyDescent="0.3">
      <c r="A120" s="45" t="s">
        <v>183</v>
      </c>
      <c r="B120" s="45" t="s">
        <v>184</v>
      </c>
      <c r="C120" s="45" t="s">
        <v>119</v>
      </c>
      <c r="D120" s="45" t="s">
        <v>164</v>
      </c>
      <c r="E120" s="45" t="s">
        <v>181</v>
      </c>
      <c r="F120" s="45">
        <v>650830</v>
      </c>
      <c r="G120" s="45">
        <v>9382303</v>
      </c>
      <c r="H120" s="45">
        <v>150.21</v>
      </c>
    </row>
    <row r="121" spans="1:8" ht="15" customHeight="1" x14ac:dyDescent="0.3">
      <c r="A121" s="45" t="s">
        <v>185</v>
      </c>
      <c r="B121" s="45" t="s">
        <v>184</v>
      </c>
      <c r="C121" s="45" t="s">
        <v>119</v>
      </c>
      <c r="D121" s="45" t="s">
        <v>164</v>
      </c>
      <c r="E121" s="45" t="s">
        <v>181</v>
      </c>
      <c r="F121" s="45">
        <v>652939</v>
      </c>
      <c r="G121" s="45">
        <v>9382105</v>
      </c>
      <c r="H121" s="45">
        <v>83.33</v>
      </c>
    </row>
    <row r="122" spans="1:8" ht="15" customHeight="1" x14ac:dyDescent="0.3">
      <c r="A122" s="45" t="s">
        <v>186</v>
      </c>
      <c r="B122" s="45" t="s">
        <v>176</v>
      </c>
      <c r="C122" s="45" t="s">
        <v>119</v>
      </c>
      <c r="D122" s="45" t="s">
        <v>164</v>
      </c>
      <c r="E122" s="45" t="s">
        <v>181</v>
      </c>
      <c r="F122" s="45">
        <v>656549</v>
      </c>
      <c r="G122" s="45">
        <v>9382009</v>
      </c>
      <c r="H122" s="45">
        <v>230.1</v>
      </c>
    </row>
    <row r="123" spans="1:8" ht="15" customHeight="1" x14ac:dyDescent="0.3">
      <c r="A123" s="45" t="s">
        <v>187</v>
      </c>
      <c r="B123" s="45" t="s">
        <v>184</v>
      </c>
      <c r="C123" s="45" t="s">
        <v>119</v>
      </c>
      <c r="D123" s="45" t="s">
        <v>164</v>
      </c>
      <c r="E123" s="45" t="s">
        <v>181</v>
      </c>
      <c r="F123" s="45">
        <v>656291</v>
      </c>
      <c r="G123" s="45">
        <v>9379096</v>
      </c>
      <c r="H123" s="45">
        <v>22.93</v>
      </c>
    </row>
    <row r="124" spans="1:8" ht="15" customHeight="1" x14ac:dyDescent="0.3">
      <c r="A124" s="45" t="s">
        <v>188</v>
      </c>
      <c r="B124" s="45" t="s">
        <v>184</v>
      </c>
      <c r="C124" s="45" t="s">
        <v>119</v>
      </c>
      <c r="D124" s="45" t="s">
        <v>164</v>
      </c>
      <c r="E124" s="45" t="s">
        <v>181</v>
      </c>
      <c r="F124" s="45">
        <v>657922</v>
      </c>
      <c r="G124" s="45">
        <v>9377477</v>
      </c>
      <c r="H124" s="45">
        <v>19.62</v>
      </c>
    </row>
    <row r="125" spans="1:8" ht="15" customHeight="1" x14ac:dyDescent="0.3">
      <c r="A125" s="45" t="s">
        <v>189</v>
      </c>
      <c r="B125" s="45" t="s">
        <v>184</v>
      </c>
      <c r="C125" s="45" t="s">
        <v>119</v>
      </c>
      <c r="D125" s="45" t="s">
        <v>164</v>
      </c>
      <c r="E125" s="45" t="s">
        <v>181</v>
      </c>
      <c r="F125" s="45">
        <v>657160</v>
      </c>
      <c r="G125" s="45">
        <v>9373050</v>
      </c>
      <c r="H125" s="45">
        <v>28.83</v>
      </c>
    </row>
    <row r="126" spans="1:8" ht="15" customHeight="1" x14ac:dyDescent="0.3">
      <c r="A126" s="45" t="s">
        <v>190</v>
      </c>
      <c r="B126" s="45" t="s">
        <v>184</v>
      </c>
      <c r="C126" s="45" t="s">
        <v>119</v>
      </c>
      <c r="D126" s="45" t="s">
        <v>164</v>
      </c>
      <c r="E126" s="45" t="s">
        <v>181</v>
      </c>
      <c r="F126" s="45">
        <v>652104</v>
      </c>
      <c r="G126" s="45">
        <v>9373045</v>
      </c>
      <c r="H126" s="45">
        <v>10.67</v>
      </c>
    </row>
    <row r="127" spans="1:8" ht="15" customHeight="1" x14ac:dyDescent="0.3">
      <c r="A127" s="45" t="s">
        <v>191</v>
      </c>
      <c r="B127" s="45" t="s">
        <v>184</v>
      </c>
      <c r="C127" s="45" t="s">
        <v>119</v>
      </c>
      <c r="D127" s="45" t="s">
        <v>164</v>
      </c>
      <c r="E127" s="45" t="s">
        <v>181</v>
      </c>
      <c r="F127" s="45">
        <v>651673</v>
      </c>
      <c r="G127" s="45">
        <v>9373383</v>
      </c>
      <c r="H127" s="45">
        <v>126.95</v>
      </c>
    </row>
    <row r="128" spans="1:8" ht="15" customHeight="1" x14ac:dyDescent="0.3">
      <c r="A128" s="45" t="s">
        <v>192</v>
      </c>
      <c r="B128" s="45" t="s">
        <v>184</v>
      </c>
      <c r="C128" s="45" t="s">
        <v>119</v>
      </c>
      <c r="D128" s="45" t="s">
        <v>164</v>
      </c>
      <c r="E128" s="45" t="s">
        <v>181</v>
      </c>
      <c r="F128" s="45">
        <v>649847</v>
      </c>
      <c r="G128" s="45">
        <v>9376260</v>
      </c>
      <c r="H128" s="45">
        <v>81.33</v>
      </c>
    </row>
  </sheetData>
  <printOptions horizontalCentered="1"/>
  <pageMargins left="0.75" right="0.75" top="1" bottom="1" header="0.511811023622047" footer="0.511811023622047"/>
  <pageSetup paperSize="9" scale="69" fitToHeight="2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9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J10" sqref="J10"/>
    </sheetView>
  </sheetViews>
  <sheetFormatPr baseColWidth="10" defaultColWidth="8.6640625" defaultRowHeight="14.4" x14ac:dyDescent="0.3"/>
  <cols>
    <col min="1" max="1" width="38" customWidth="1"/>
    <col min="2" max="3" width="22" customWidth="1"/>
    <col min="4" max="4" width="23.33203125" customWidth="1"/>
    <col min="5" max="5" width="14.21875" customWidth="1"/>
    <col min="6" max="6" width="17" customWidth="1"/>
  </cols>
  <sheetData>
    <row r="1" spans="1:6" ht="24" customHeight="1" x14ac:dyDescent="0.3">
      <c r="A1" s="165" t="s">
        <v>0</v>
      </c>
      <c r="B1" s="165"/>
      <c r="C1" s="165"/>
      <c r="D1" s="165"/>
      <c r="E1" s="165"/>
      <c r="F1" s="165"/>
    </row>
    <row r="2" spans="1:6" ht="30.6" customHeight="1" x14ac:dyDescent="0.3">
      <c r="A2" s="165" t="s">
        <v>209</v>
      </c>
      <c r="B2" s="165"/>
      <c r="C2" s="165"/>
      <c r="D2" s="165"/>
      <c r="E2" s="165"/>
      <c r="F2" s="165"/>
    </row>
    <row r="3" spans="1:6" ht="31.8" customHeight="1" x14ac:dyDescent="0.3">
      <c r="A3" s="165" t="s">
        <v>210</v>
      </c>
      <c r="B3" s="165"/>
      <c r="C3" s="165"/>
      <c r="D3" s="165"/>
      <c r="E3" s="165"/>
      <c r="F3" s="165"/>
    </row>
    <row r="4" spans="1:6" ht="24" customHeight="1" x14ac:dyDescent="0.3">
      <c r="A4" s="165" t="s">
        <v>211</v>
      </c>
      <c r="B4" s="165"/>
      <c r="C4" s="165"/>
      <c r="D4" s="165"/>
      <c r="E4" s="165"/>
      <c r="F4" s="165"/>
    </row>
    <row r="5" spans="1:6" ht="30" customHeight="1" x14ac:dyDescent="0.3">
      <c r="A5" s="166" t="s">
        <v>212</v>
      </c>
      <c r="B5" s="166"/>
      <c r="C5" s="166"/>
      <c r="D5" s="166"/>
      <c r="E5" s="166"/>
      <c r="F5" s="166"/>
    </row>
    <row r="6" spans="1:6" s="26" customFormat="1" ht="18" customHeight="1" thickBot="1" x14ac:dyDescent="0.35">
      <c r="A6" s="162" t="s">
        <v>517</v>
      </c>
      <c r="B6" s="162"/>
      <c r="C6" s="162"/>
      <c r="D6" s="162"/>
      <c r="E6" s="162"/>
      <c r="F6" s="162"/>
    </row>
    <row r="7" spans="1:6" s="7" customFormat="1" ht="18" customHeight="1" thickBot="1" x14ac:dyDescent="0.35">
      <c r="A7" s="150" t="s">
        <v>214</v>
      </c>
      <c r="B7" s="163"/>
      <c r="C7" s="163"/>
      <c r="D7" s="163"/>
      <c r="E7" s="163"/>
      <c r="F7" s="164"/>
    </row>
    <row r="8" spans="1:6" ht="33" customHeight="1" thickBot="1" x14ac:dyDescent="0.35">
      <c r="A8" s="13" t="s">
        <v>527</v>
      </c>
      <c r="B8" s="33"/>
      <c r="C8" s="13" t="s">
        <v>215</v>
      </c>
      <c r="D8" s="34"/>
      <c r="E8" s="13" t="s">
        <v>216</v>
      </c>
      <c r="F8" s="35"/>
    </row>
    <row r="9" spans="1:6" ht="33" customHeight="1" thickBot="1" x14ac:dyDescent="0.35">
      <c r="A9" s="13" t="s">
        <v>523</v>
      </c>
      <c r="B9" s="33"/>
      <c r="C9" s="13" t="s">
        <v>518</v>
      </c>
      <c r="D9" s="34"/>
      <c r="E9" s="13" t="s">
        <v>519</v>
      </c>
      <c r="F9" s="35"/>
    </row>
    <row r="10" spans="1:6" ht="33" customHeight="1" thickBot="1" x14ac:dyDescent="0.35">
      <c r="A10" s="13" t="s">
        <v>520</v>
      </c>
      <c r="B10" s="33" t="str">
        <f>IFERROR(VLOOKUP(#REF!,'Bloques V4'!$A$2:$H$128,3,FALSE()),"")</f>
        <v/>
      </c>
      <c r="C10" s="13" t="s">
        <v>521</v>
      </c>
      <c r="D10" s="34"/>
      <c r="E10" s="34"/>
      <c r="F10" s="35"/>
    </row>
    <row r="11" spans="1:6" ht="33" customHeight="1" thickBot="1" x14ac:dyDescent="0.35">
      <c r="A11" s="13" t="s">
        <v>217</v>
      </c>
      <c r="B11" s="33"/>
      <c r="C11" s="13" t="s">
        <v>218</v>
      </c>
      <c r="D11" s="34"/>
      <c r="E11" s="13" t="s">
        <v>522</v>
      </c>
      <c r="F11" s="35"/>
    </row>
    <row r="12" spans="1:6" ht="33" customHeight="1" thickBot="1" x14ac:dyDescent="0.35">
      <c r="A12" s="13" t="s">
        <v>220</v>
      </c>
      <c r="B12" s="40"/>
      <c r="C12" s="13" t="s">
        <v>221</v>
      </c>
      <c r="D12" s="34"/>
      <c r="E12" s="13" t="s">
        <v>219</v>
      </c>
      <c r="F12" s="35"/>
    </row>
    <row r="13" spans="1:6" s="7" customFormat="1" ht="18" customHeight="1" thickBot="1" x14ac:dyDescent="0.35">
      <c r="A13" s="150" t="s">
        <v>222</v>
      </c>
      <c r="B13" s="151"/>
      <c r="C13" s="151"/>
      <c r="D13" s="151"/>
      <c r="E13" s="151"/>
      <c r="F13" s="152"/>
    </row>
    <row r="14" spans="1:6" ht="30" customHeight="1" thickBot="1" x14ac:dyDescent="0.35">
      <c r="A14" s="14" t="s">
        <v>223</v>
      </c>
      <c r="B14" s="4" t="s">
        <v>224</v>
      </c>
      <c r="C14" s="5" t="s">
        <v>225</v>
      </c>
      <c r="D14" s="4" t="s">
        <v>226</v>
      </c>
      <c r="E14" s="156" t="s">
        <v>227</v>
      </c>
      <c r="F14" s="156" t="s">
        <v>228</v>
      </c>
    </row>
    <row r="15" spans="1:6" ht="30" customHeight="1" thickBot="1" x14ac:dyDescent="0.35">
      <c r="A15" s="153" t="s">
        <v>229</v>
      </c>
      <c r="B15" s="2" t="s">
        <v>230</v>
      </c>
      <c r="C15" s="8" t="s">
        <v>231</v>
      </c>
      <c r="D15" s="2" t="s">
        <v>232</v>
      </c>
      <c r="E15" s="157"/>
      <c r="F15" s="157"/>
    </row>
    <row r="16" spans="1:6" ht="30" customHeight="1" thickBot="1" x14ac:dyDescent="0.35">
      <c r="A16" s="154"/>
      <c r="B16" s="3" t="s">
        <v>233</v>
      </c>
      <c r="C16" s="11" t="s">
        <v>234</v>
      </c>
      <c r="D16" s="12" t="s">
        <v>235</v>
      </c>
      <c r="E16" s="158"/>
      <c r="F16" s="158"/>
    </row>
    <row r="17" spans="1:6" ht="30" customHeight="1" thickBot="1" x14ac:dyDescent="0.35">
      <c r="A17" s="153" t="s">
        <v>236</v>
      </c>
      <c r="B17" s="2" t="s">
        <v>237</v>
      </c>
      <c r="C17" s="8" t="s">
        <v>238</v>
      </c>
      <c r="D17" s="2" t="s">
        <v>239</v>
      </c>
      <c r="E17" s="9"/>
      <c r="F17" s="10"/>
    </row>
    <row r="18" spans="1:6" ht="30" customHeight="1" thickBot="1" x14ac:dyDescent="0.35">
      <c r="A18" s="155"/>
      <c r="B18" s="3" t="s">
        <v>240</v>
      </c>
      <c r="C18" s="11" t="s">
        <v>241</v>
      </c>
      <c r="D18" s="3" t="s">
        <v>242</v>
      </c>
      <c r="E18" s="38"/>
      <c r="F18" s="39"/>
    </row>
    <row r="19" spans="1:6" ht="30" customHeight="1" thickBot="1" x14ac:dyDescent="0.35">
      <c r="A19" s="154"/>
      <c r="B19" s="6" t="s">
        <v>243</v>
      </c>
      <c r="C19" s="36" t="s">
        <v>244</v>
      </c>
      <c r="D19" s="18" t="s">
        <v>245</v>
      </c>
      <c r="E19" s="18"/>
      <c r="F19" s="37"/>
    </row>
    <row r="20" spans="1:6" ht="30" customHeight="1" thickBot="1" x14ac:dyDescent="0.35">
      <c r="A20" s="153" t="s">
        <v>246</v>
      </c>
      <c r="B20" s="2" t="s">
        <v>247</v>
      </c>
      <c r="C20" s="8" t="s">
        <v>248</v>
      </c>
      <c r="D20" s="2" t="s">
        <v>249</v>
      </c>
      <c r="E20" s="9"/>
      <c r="F20" s="10"/>
    </row>
    <row r="21" spans="1:6" ht="30" customHeight="1" thickBot="1" x14ac:dyDescent="0.35">
      <c r="A21" s="155"/>
      <c r="B21" s="3" t="s">
        <v>250</v>
      </c>
      <c r="C21" s="11" t="s">
        <v>251</v>
      </c>
      <c r="D21" s="3" t="s">
        <v>252</v>
      </c>
      <c r="E21" s="38"/>
      <c r="F21" s="39"/>
    </row>
    <row r="22" spans="1:6" ht="30" customHeight="1" thickBot="1" x14ac:dyDescent="0.35">
      <c r="A22" s="154"/>
      <c r="B22" s="6" t="s">
        <v>253</v>
      </c>
      <c r="C22" s="36" t="s">
        <v>254</v>
      </c>
      <c r="D22" s="18" t="s">
        <v>255</v>
      </c>
      <c r="E22" s="18"/>
      <c r="F22" s="37"/>
    </row>
    <row r="23" spans="1:6" ht="30" customHeight="1" thickBot="1" x14ac:dyDescent="0.35">
      <c r="A23" s="153" t="s">
        <v>256</v>
      </c>
      <c r="B23" s="16" t="s">
        <v>257</v>
      </c>
      <c r="C23" s="17" t="s">
        <v>258</v>
      </c>
      <c r="D23" s="16" t="s">
        <v>259</v>
      </c>
      <c r="E23" s="15" t="s">
        <v>260</v>
      </c>
      <c r="F23" s="12" t="s">
        <v>261</v>
      </c>
    </row>
    <row r="24" spans="1:6" x14ac:dyDescent="0.3">
      <c r="A24" s="155"/>
      <c r="B24" s="156" t="s">
        <v>263</v>
      </c>
      <c r="C24" s="156" t="s">
        <v>262</v>
      </c>
      <c r="D24" s="156"/>
      <c r="E24" s="159"/>
      <c r="F24" s="161"/>
    </row>
    <row r="25" spans="1:6" ht="25.8" customHeight="1" thickBot="1" x14ac:dyDescent="0.35">
      <c r="A25" s="154"/>
      <c r="B25" s="158"/>
      <c r="C25" s="158"/>
      <c r="D25" s="158"/>
      <c r="E25" s="160"/>
      <c r="F25" s="160"/>
    </row>
    <row r="26" spans="1:6" ht="34.200000000000003" customHeight="1" thickBot="1" x14ac:dyDescent="0.35">
      <c r="A26" s="14" t="s">
        <v>264</v>
      </c>
      <c r="B26" s="130"/>
      <c r="C26" s="131"/>
      <c r="D26" s="131"/>
      <c r="E26" s="131"/>
      <c r="F26" s="132"/>
    </row>
    <row r="27" spans="1:6" ht="25.05" customHeight="1" thickBot="1" x14ac:dyDescent="0.35">
      <c r="A27" s="14" t="s">
        <v>265</v>
      </c>
      <c r="B27" s="133" t="s">
        <v>266</v>
      </c>
      <c r="C27" s="134"/>
      <c r="D27" s="133" t="s">
        <v>267</v>
      </c>
      <c r="E27" s="135"/>
      <c r="F27" s="134"/>
    </row>
    <row r="28" spans="1:6" ht="25.05" customHeight="1" thickBot="1" x14ac:dyDescent="0.35">
      <c r="A28" s="14" t="s">
        <v>268</v>
      </c>
      <c r="B28" s="133" t="s">
        <v>266</v>
      </c>
      <c r="C28" s="134"/>
      <c r="D28" s="133" t="s">
        <v>267</v>
      </c>
      <c r="E28" s="136"/>
      <c r="F28" s="137"/>
    </row>
    <row r="29" spans="1:6" ht="25.05" customHeight="1" thickBot="1" x14ac:dyDescent="0.35">
      <c r="A29" s="14" t="s">
        <v>269</v>
      </c>
      <c r="B29" s="133" t="s">
        <v>266</v>
      </c>
      <c r="C29" s="134"/>
      <c r="D29" s="133" t="s">
        <v>267</v>
      </c>
      <c r="E29" s="136"/>
      <c r="F29" s="137"/>
    </row>
    <row r="30" spans="1:6" ht="25.05" customHeight="1" thickBot="1" x14ac:dyDescent="0.35">
      <c r="A30" s="14" t="s">
        <v>270</v>
      </c>
      <c r="B30" s="136" t="s">
        <v>266</v>
      </c>
      <c r="C30" s="135"/>
      <c r="D30" s="133" t="s">
        <v>267</v>
      </c>
      <c r="E30" s="136"/>
      <c r="F30" s="137"/>
    </row>
    <row r="31" spans="1:6" ht="25.05" customHeight="1" thickBot="1" x14ac:dyDescent="0.35">
      <c r="A31" s="14" t="s">
        <v>271</v>
      </c>
      <c r="B31" s="136" t="s">
        <v>266</v>
      </c>
      <c r="C31" s="135"/>
      <c r="D31" s="133" t="s">
        <v>267</v>
      </c>
      <c r="E31" s="135"/>
      <c r="F31" s="134"/>
    </row>
    <row r="32" spans="1:6" s="1" customFormat="1" ht="15.75" customHeight="1" x14ac:dyDescent="0.3">
      <c r="A32" s="138" t="s">
        <v>272</v>
      </c>
      <c r="B32" s="141"/>
      <c r="C32" s="142"/>
      <c r="D32" s="142"/>
      <c r="E32" s="142"/>
      <c r="F32" s="143"/>
    </row>
    <row r="33" spans="1:6" s="1" customFormat="1" ht="15.75" customHeight="1" x14ac:dyDescent="0.3">
      <c r="A33" s="139"/>
      <c r="B33" s="144"/>
      <c r="C33" s="145"/>
      <c r="D33" s="145"/>
      <c r="E33" s="145"/>
      <c r="F33" s="146"/>
    </row>
    <row r="34" spans="1:6" s="1" customFormat="1" ht="15.75" customHeight="1" x14ac:dyDescent="0.3">
      <c r="A34" s="139"/>
      <c r="B34" s="144"/>
      <c r="C34" s="145"/>
      <c r="D34" s="145"/>
      <c r="E34" s="145"/>
      <c r="F34" s="146"/>
    </row>
    <row r="35" spans="1:6" s="1" customFormat="1" ht="15.75" customHeight="1" x14ac:dyDescent="0.3">
      <c r="A35" s="139"/>
      <c r="B35" s="144"/>
      <c r="C35" s="145"/>
      <c r="D35" s="145"/>
      <c r="E35" s="145"/>
      <c r="F35" s="146"/>
    </row>
    <row r="36" spans="1:6" ht="19.5" customHeight="1" x14ac:dyDescent="0.3">
      <c r="A36" s="139"/>
      <c r="B36" s="144"/>
      <c r="C36" s="145"/>
      <c r="D36" s="145"/>
      <c r="E36" s="145"/>
      <c r="F36" s="146"/>
    </row>
    <row r="37" spans="1:6" ht="19.5" customHeight="1" x14ac:dyDescent="0.3">
      <c r="A37" s="139"/>
      <c r="B37" s="144"/>
      <c r="C37" s="145"/>
      <c r="D37" s="145"/>
      <c r="E37" s="145"/>
      <c r="F37" s="146"/>
    </row>
    <row r="38" spans="1:6" ht="19.5" customHeight="1" x14ac:dyDescent="0.3">
      <c r="A38" s="139"/>
      <c r="B38" s="144"/>
      <c r="C38" s="145"/>
      <c r="D38" s="145"/>
      <c r="E38" s="145"/>
      <c r="F38" s="146"/>
    </row>
    <row r="39" spans="1:6" ht="19.5" customHeight="1" thickBot="1" x14ac:dyDescent="0.35">
      <c r="A39" s="140"/>
      <c r="B39" s="147"/>
      <c r="C39" s="148"/>
      <c r="D39" s="148"/>
      <c r="E39" s="148"/>
      <c r="F39" s="149"/>
    </row>
  </sheetData>
  <mergeCells count="32">
    <mergeCell ref="A6:F6"/>
    <mergeCell ref="A7:F7"/>
    <mergeCell ref="A1:F1"/>
    <mergeCell ref="A2:F2"/>
    <mergeCell ref="A3:F3"/>
    <mergeCell ref="A4:F4"/>
    <mergeCell ref="A5:F5"/>
    <mergeCell ref="A13:F13"/>
    <mergeCell ref="A15:A16"/>
    <mergeCell ref="A17:A19"/>
    <mergeCell ref="A20:A22"/>
    <mergeCell ref="A23:A25"/>
    <mergeCell ref="E14:E16"/>
    <mergeCell ref="F14:F16"/>
    <mergeCell ref="C24:C25"/>
    <mergeCell ref="D24:D25"/>
    <mergeCell ref="B24:B25"/>
    <mergeCell ref="E24:E25"/>
    <mergeCell ref="F24:F25"/>
    <mergeCell ref="A32:A39"/>
    <mergeCell ref="B32:F39"/>
    <mergeCell ref="B29:C29"/>
    <mergeCell ref="D29:F29"/>
    <mergeCell ref="B30:C30"/>
    <mergeCell ref="D30:F30"/>
    <mergeCell ref="B31:C31"/>
    <mergeCell ref="D31:F31"/>
    <mergeCell ref="B26:F26"/>
    <mergeCell ref="B27:C27"/>
    <mergeCell ref="D27:F27"/>
    <mergeCell ref="B28:C28"/>
    <mergeCell ref="D28:F28"/>
  </mergeCells>
  <printOptions horizontalCentered="1"/>
  <pageMargins left="0.25" right="0.25" top="0.5" bottom="0.5" header="0.511811023622047" footer="0.511811023622047"/>
  <pageSetup paperSize="9" scale="7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5535-3534-402B-8DD9-F33D4CA05F44}">
  <sheetPr>
    <pageSetUpPr fitToPage="1"/>
  </sheetPr>
  <dimension ref="A1:M37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A16" sqref="A16:M16"/>
    </sheetView>
  </sheetViews>
  <sheetFormatPr baseColWidth="10" defaultColWidth="8.6640625" defaultRowHeight="14.4" x14ac:dyDescent="0.3"/>
  <cols>
    <col min="1" max="1" width="23.33203125" customWidth="1"/>
    <col min="2" max="2" width="18.77734375" customWidth="1"/>
    <col min="3" max="3" width="24.109375" customWidth="1"/>
    <col min="4" max="4" width="19.88671875" customWidth="1"/>
    <col min="5" max="5" width="18.44140625" customWidth="1"/>
    <col min="6" max="6" width="19.5546875" customWidth="1"/>
    <col min="7" max="7" width="15.109375" customWidth="1"/>
    <col min="8" max="8" width="15.44140625" customWidth="1"/>
    <col min="9" max="9" width="12.5546875" customWidth="1"/>
    <col min="10" max="10" width="13.6640625" customWidth="1"/>
    <col min="11" max="11" width="23.6640625" customWidth="1"/>
    <col min="12" max="12" width="18" customWidth="1"/>
    <col min="13" max="13" width="17.88671875" customWidth="1"/>
  </cols>
  <sheetData>
    <row r="1" spans="1:13" ht="24" customHeight="1" thickBot="1" x14ac:dyDescent="0.35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13" ht="19.5" customHeight="1" thickBot="1" x14ac:dyDescent="0.35">
      <c r="A2" s="165" t="s">
        <v>209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</row>
    <row r="3" spans="1:13" ht="19.5" customHeight="1" thickBot="1" x14ac:dyDescent="0.35">
      <c r="A3" s="165" t="s">
        <v>210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</row>
    <row r="4" spans="1:13" ht="24" customHeight="1" thickBot="1" x14ac:dyDescent="0.35">
      <c r="A4" s="165" t="s">
        <v>273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</row>
    <row r="5" spans="1:13" s="23" customFormat="1" ht="18" customHeight="1" thickBot="1" x14ac:dyDescent="0.35">
      <c r="A5" s="219" t="s">
        <v>517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</row>
    <row r="6" spans="1:13" s="43" customFormat="1" ht="18" customHeight="1" x14ac:dyDescent="0.3">
      <c r="A6" s="202" t="s">
        <v>274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7" spans="1:13" s="45" customFormat="1" ht="25.05" customHeight="1" x14ac:dyDescent="0.3">
      <c r="A7" s="48" t="s">
        <v>527</v>
      </c>
      <c r="B7" s="49"/>
      <c r="C7" s="50" t="s">
        <v>526</v>
      </c>
      <c r="D7" s="212"/>
      <c r="E7" s="212"/>
      <c r="F7" s="50" t="s">
        <v>528</v>
      </c>
      <c r="G7" s="49"/>
      <c r="H7" s="51" t="s">
        <v>524</v>
      </c>
      <c r="I7" s="213"/>
      <c r="J7" s="214"/>
      <c r="K7" s="52" t="s">
        <v>521</v>
      </c>
      <c r="L7" s="215"/>
      <c r="M7" s="216"/>
    </row>
    <row r="8" spans="1:13" s="45" customFormat="1" ht="31.8" customHeight="1" x14ac:dyDescent="0.3">
      <c r="A8" s="48" t="s">
        <v>278</v>
      </c>
      <c r="B8" s="213"/>
      <c r="C8" s="214"/>
      <c r="D8" s="217" t="s">
        <v>529</v>
      </c>
      <c r="E8" s="218"/>
      <c r="F8" s="215"/>
      <c r="G8" s="216"/>
      <c r="H8" s="50" t="s">
        <v>320</v>
      </c>
      <c r="I8" s="213"/>
      <c r="J8" s="214"/>
      <c r="K8" s="50"/>
      <c r="L8" s="215"/>
      <c r="M8" s="216"/>
    </row>
    <row r="9" spans="1:13" s="43" customFormat="1" ht="25.2" customHeight="1" thickBot="1" x14ac:dyDescent="0.35">
      <c r="A9" s="201" t="s">
        <v>534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</row>
    <row r="10" spans="1:13" s="45" customFormat="1" ht="31.8" thickBot="1" x14ac:dyDescent="0.35">
      <c r="A10" s="46" t="s">
        <v>280</v>
      </c>
      <c r="B10" s="191" t="s">
        <v>266</v>
      </c>
      <c r="C10" s="196"/>
      <c r="D10" s="196"/>
      <c r="E10" s="196"/>
      <c r="F10" s="196"/>
      <c r="G10" s="197"/>
      <c r="H10" s="193" t="s">
        <v>267</v>
      </c>
      <c r="I10" s="196"/>
      <c r="J10" s="196"/>
      <c r="K10" s="196"/>
      <c r="L10" s="196"/>
      <c r="M10" s="197"/>
    </row>
    <row r="11" spans="1:13" s="45" customFormat="1" ht="37.799999999999997" customHeight="1" thickBot="1" x14ac:dyDescent="0.35">
      <c r="A11" s="46" t="s">
        <v>525</v>
      </c>
      <c r="B11" s="191" t="s">
        <v>266</v>
      </c>
      <c r="C11" s="196"/>
      <c r="D11" s="196"/>
      <c r="E11" s="196"/>
      <c r="F11" s="196"/>
      <c r="G11" s="197"/>
      <c r="H11" s="193" t="s">
        <v>267</v>
      </c>
      <c r="I11" s="196"/>
      <c r="J11" s="196"/>
      <c r="K11" s="196"/>
      <c r="L11" s="196"/>
      <c r="M11" s="197"/>
    </row>
    <row r="12" spans="1:13" s="45" customFormat="1" ht="31.8" thickBot="1" x14ac:dyDescent="0.35">
      <c r="A12" s="46" t="s">
        <v>281</v>
      </c>
      <c r="B12" s="191" t="s">
        <v>266</v>
      </c>
      <c r="C12" s="196"/>
      <c r="D12" s="196"/>
      <c r="E12" s="196"/>
      <c r="F12" s="196"/>
      <c r="G12" s="197"/>
      <c r="H12" s="193" t="s">
        <v>267</v>
      </c>
      <c r="I12" s="196"/>
      <c r="J12" s="196"/>
      <c r="K12" s="196"/>
      <c r="L12" s="196"/>
      <c r="M12" s="197"/>
    </row>
    <row r="13" spans="1:13" s="45" customFormat="1" ht="25.05" customHeight="1" thickBot="1" x14ac:dyDescent="0.35">
      <c r="A13" s="205" t="s">
        <v>282</v>
      </c>
      <c r="B13" s="191" t="s">
        <v>283</v>
      </c>
      <c r="C13" s="196"/>
      <c r="D13" s="196"/>
      <c r="E13" s="196"/>
      <c r="F13" s="191" t="s">
        <v>284</v>
      </c>
      <c r="G13" s="196"/>
      <c r="H13" s="196"/>
      <c r="I13" s="197"/>
      <c r="J13" s="191" t="s">
        <v>285</v>
      </c>
      <c r="K13" s="196"/>
      <c r="L13" s="196"/>
      <c r="M13" s="197"/>
    </row>
    <row r="14" spans="1:13" s="45" customFormat="1" ht="25.05" customHeight="1" thickBot="1" x14ac:dyDescent="0.35">
      <c r="A14" s="206"/>
      <c r="B14" s="207" t="s">
        <v>286</v>
      </c>
      <c r="C14" s="208"/>
      <c r="D14" s="208"/>
      <c r="E14" s="208"/>
      <c r="F14" s="209" t="s">
        <v>287</v>
      </c>
      <c r="G14" s="210"/>
      <c r="H14" s="210"/>
      <c r="I14" s="211"/>
      <c r="J14" s="209" t="s">
        <v>533</v>
      </c>
      <c r="K14" s="210"/>
      <c r="L14" s="210"/>
      <c r="M14" s="211"/>
    </row>
    <row r="15" spans="1:13" s="43" customFormat="1" ht="24" customHeight="1" thickBot="1" x14ac:dyDescent="0.35">
      <c r="A15" s="198" t="s">
        <v>288</v>
      </c>
      <c r="B15" s="199"/>
      <c r="C15" s="199"/>
      <c r="D15" s="199"/>
      <c r="E15" s="199"/>
      <c r="F15" s="198"/>
      <c r="G15" s="198"/>
      <c r="H15" s="198"/>
      <c r="I15" s="198"/>
      <c r="J15" s="198"/>
      <c r="K15" s="198"/>
      <c r="L15" s="198"/>
      <c r="M15" s="198"/>
    </row>
    <row r="16" spans="1:13" s="24" customFormat="1" ht="34.5" customHeight="1" thickBot="1" x14ac:dyDescent="0.35">
      <c r="A16" s="200" t="s">
        <v>532</v>
      </c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</row>
    <row r="17" spans="1:13" s="43" customFormat="1" ht="36" customHeight="1" thickBot="1" x14ac:dyDescent="0.35">
      <c r="A17" s="41" t="s">
        <v>290</v>
      </c>
      <c r="B17" s="42" t="s">
        <v>291</v>
      </c>
      <c r="C17" s="42" t="s">
        <v>292</v>
      </c>
      <c r="D17" s="42" t="s">
        <v>293</v>
      </c>
      <c r="E17" s="42" t="s">
        <v>294</v>
      </c>
      <c r="F17" s="42" t="s">
        <v>295</v>
      </c>
      <c r="G17" s="42" t="s">
        <v>296</v>
      </c>
      <c r="H17" s="42" t="s">
        <v>297</v>
      </c>
      <c r="I17" s="42" t="s">
        <v>298</v>
      </c>
      <c r="J17" s="42" t="s">
        <v>299</v>
      </c>
      <c r="K17" s="42" t="s">
        <v>300</v>
      </c>
      <c r="L17" s="179" t="s">
        <v>550</v>
      </c>
      <c r="M17" s="180"/>
    </row>
    <row r="18" spans="1:13" ht="30" customHeight="1" thickBot="1" x14ac:dyDescent="0.35">
      <c r="A18" s="30"/>
      <c r="B18" s="31"/>
      <c r="C18" s="30"/>
      <c r="D18" s="32"/>
      <c r="E18" s="30"/>
      <c r="F18" s="32"/>
      <c r="G18" s="30"/>
      <c r="H18" s="32"/>
      <c r="I18" s="30"/>
      <c r="J18" s="32"/>
      <c r="K18" s="30"/>
      <c r="L18" s="181"/>
      <c r="M18" s="182"/>
    </row>
    <row r="19" spans="1:13" ht="30" customHeight="1" thickBot="1" x14ac:dyDescent="0.35">
      <c r="A19" s="30"/>
      <c r="B19" s="31"/>
      <c r="C19" s="30"/>
      <c r="D19" s="32"/>
      <c r="E19" s="30"/>
      <c r="F19" s="32"/>
      <c r="G19" s="30"/>
      <c r="H19" s="32"/>
      <c r="I19" s="30"/>
      <c r="J19" s="32"/>
      <c r="K19" s="30"/>
      <c r="L19" s="181"/>
      <c r="M19" s="182"/>
    </row>
    <row r="20" spans="1:13" ht="30" customHeight="1" thickBot="1" x14ac:dyDescent="0.35">
      <c r="A20" s="30"/>
      <c r="B20" s="31"/>
      <c r="C20" s="30"/>
      <c r="D20" s="32"/>
      <c r="E20" s="30"/>
      <c r="F20" s="32"/>
      <c r="G20" s="30"/>
      <c r="H20" s="32"/>
      <c r="I20" s="30"/>
      <c r="J20" s="32"/>
      <c r="K20" s="30"/>
      <c r="L20" s="181"/>
      <c r="M20" s="182"/>
    </row>
    <row r="21" spans="1:13" ht="30" customHeight="1" thickBot="1" x14ac:dyDescent="0.35">
      <c r="A21" s="30"/>
      <c r="B21" s="31"/>
      <c r="C21" s="30"/>
      <c r="D21" s="32"/>
      <c r="E21" s="30"/>
      <c r="F21" s="32"/>
      <c r="G21" s="30"/>
      <c r="H21" s="32"/>
      <c r="I21" s="30"/>
      <c r="J21" s="32"/>
      <c r="K21" s="30"/>
      <c r="L21" s="181"/>
      <c r="M21" s="182"/>
    </row>
    <row r="22" spans="1:13" ht="30" customHeight="1" thickBot="1" x14ac:dyDescent="0.35">
      <c r="A22" s="30"/>
      <c r="B22" s="19"/>
      <c r="C22" s="15"/>
      <c r="D22" s="20"/>
      <c r="E22" s="15"/>
      <c r="F22" s="20"/>
      <c r="G22" s="15"/>
      <c r="H22" s="20"/>
      <c r="I22" s="15"/>
      <c r="J22" s="20"/>
      <c r="K22" s="15"/>
      <c r="L22" s="183"/>
      <c r="M22" s="184"/>
    </row>
    <row r="23" spans="1:13" ht="30" customHeight="1" thickBot="1" x14ac:dyDescent="0.35">
      <c r="A23" s="30"/>
      <c r="B23" s="19"/>
      <c r="C23" s="15"/>
      <c r="D23" s="20"/>
      <c r="E23" s="15"/>
      <c r="F23" s="20"/>
      <c r="G23" s="15"/>
      <c r="H23" s="20"/>
      <c r="I23" s="15"/>
      <c r="J23" s="20"/>
      <c r="K23" s="15"/>
      <c r="L23" s="183"/>
      <c r="M23" s="184"/>
    </row>
    <row r="24" spans="1:13" ht="30" customHeight="1" thickBot="1" x14ac:dyDescent="0.35">
      <c r="A24" s="30"/>
      <c r="B24" s="19"/>
      <c r="C24" s="15"/>
      <c r="D24" s="20"/>
      <c r="E24" s="15"/>
      <c r="F24" s="20"/>
      <c r="G24" s="15"/>
      <c r="H24" s="20"/>
      <c r="I24" s="15"/>
      <c r="J24" s="20"/>
      <c r="K24" s="15"/>
      <c r="L24" s="183"/>
      <c r="M24" s="184"/>
    </row>
    <row r="25" spans="1:13" ht="30" customHeight="1" thickBot="1" x14ac:dyDescent="0.35">
      <c r="A25" s="30"/>
      <c r="B25" s="19"/>
      <c r="C25" s="15"/>
      <c r="D25" s="20"/>
      <c r="E25" s="15"/>
      <c r="F25" s="20"/>
      <c r="G25" s="15"/>
      <c r="H25" s="20"/>
      <c r="I25" s="15"/>
      <c r="J25" s="20"/>
      <c r="K25" s="15"/>
      <c r="L25" s="183"/>
      <c r="M25" s="184"/>
    </row>
    <row r="26" spans="1:13" s="43" customFormat="1" ht="18" customHeight="1" thickBot="1" x14ac:dyDescent="0.35">
      <c r="A26" s="201" t="s">
        <v>301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</row>
    <row r="27" spans="1:13" s="45" customFormat="1" ht="25.05" customHeight="1" thickBot="1" x14ac:dyDescent="0.35">
      <c r="A27" s="205" t="s">
        <v>282</v>
      </c>
      <c r="B27" s="191" t="s">
        <v>283</v>
      </c>
      <c r="C27" s="196"/>
      <c r="D27" s="196"/>
      <c r="E27" s="196"/>
      <c r="F27" s="191" t="s">
        <v>284</v>
      </c>
      <c r="G27" s="196"/>
      <c r="H27" s="196"/>
      <c r="I27" s="197"/>
      <c r="J27" s="191" t="s">
        <v>285</v>
      </c>
      <c r="K27" s="196"/>
      <c r="L27" s="196"/>
      <c r="M27" s="197"/>
    </row>
    <row r="28" spans="1:13" s="45" customFormat="1" ht="25.05" customHeight="1" thickBot="1" x14ac:dyDescent="0.35">
      <c r="A28" s="206"/>
      <c r="B28" s="207" t="s">
        <v>536</v>
      </c>
      <c r="C28" s="208"/>
      <c r="D28" s="208"/>
      <c r="E28" s="208"/>
      <c r="F28" s="209" t="s">
        <v>537</v>
      </c>
      <c r="G28" s="210"/>
      <c r="H28" s="210"/>
      <c r="I28" s="211"/>
      <c r="J28" s="209" t="s">
        <v>538</v>
      </c>
      <c r="K28" s="210"/>
      <c r="L28" s="210"/>
      <c r="M28" s="211"/>
    </row>
    <row r="29" spans="1:13" s="45" customFormat="1" ht="37.200000000000003" customHeight="1" thickBot="1" x14ac:dyDescent="0.35">
      <c r="A29" s="46" t="s">
        <v>302</v>
      </c>
      <c r="B29" s="185"/>
      <c r="C29" s="186"/>
      <c r="D29" s="187"/>
      <c r="E29" s="188" t="s">
        <v>530</v>
      </c>
      <c r="F29" s="189"/>
      <c r="G29" s="190"/>
      <c r="H29" s="185"/>
      <c r="I29" s="186"/>
      <c r="J29" s="187"/>
      <c r="K29" s="203" t="s">
        <v>531</v>
      </c>
      <c r="L29" s="204"/>
      <c r="M29" s="47"/>
    </row>
    <row r="30" spans="1:13" s="45" customFormat="1" ht="34.799999999999997" customHeight="1" thickBot="1" x14ac:dyDescent="0.35">
      <c r="A30" s="46" t="s">
        <v>303</v>
      </c>
      <c r="B30" s="191" t="s">
        <v>304</v>
      </c>
      <c r="C30" s="197"/>
      <c r="D30" s="191" t="s">
        <v>305</v>
      </c>
      <c r="E30" s="197"/>
      <c r="F30" s="191" t="s">
        <v>306</v>
      </c>
      <c r="G30" s="197"/>
      <c r="H30" s="191" t="s">
        <v>307</v>
      </c>
      <c r="I30" s="197"/>
      <c r="J30" s="191" t="s">
        <v>308</v>
      </c>
      <c r="K30" s="197"/>
      <c r="L30" s="191"/>
      <c r="M30" s="197"/>
    </row>
    <row r="31" spans="1:13" s="45" customFormat="1" ht="30.6" customHeight="1" thickBot="1" x14ac:dyDescent="0.35">
      <c r="A31" s="46" t="s">
        <v>309</v>
      </c>
      <c r="B31" s="185"/>
      <c r="C31" s="186"/>
      <c r="D31" s="187"/>
      <c r="E31" s="188" t="s">
        <v>310</v>
      </c>
      <c r="F31" s="189"/>
      <c r="G31" s="190"/>
      <c r="H31" s="191" t="s">
        <v>266</v>
      </c>
      <c r="I31" s="192"/>
      <c r="J31" s="191" t="s">
        <v>267</v>
      </c>
      <c r="K31" s="193"/>
      <c r="L31" s="44"/>
      <c r="M31" s="44"/>
    </row>
    <row r="32" spans="1:13" s="45" customFormat="1" ht="25.95" customHeight="1" thickBot="1" x14ac:dyDescent="0.35">
      <c r="A32" s="46" t="s">
        <v>311</v>
      </c>
      <c r="B32" s="194" t="s">
        <v>312</v>
      </c>
      <c r="C32" s="195"/>
      <c r="D32" s="195"/>
      <c r="E32" s="191" t="s">
        <v>313</v>
      </c>
      <c r="F32" s="196"/>
      <c r="G32" s="197"/>
      <c r="H32" s="191" t="s">
        <v>314</v>
      </c>
      <c r="I32" s="196"/>
      <c r="J32" s="197"/>
      <c r="K32" s="191" t="s">
        <v>315</v>
      </c>
      <c r="L32" s="196"/>
      <c r="M32" s="197"/>
    </row>
    <row r="33" spans="1:13" s="45" customFormat="1" ht="15.75" customHeight="1" x14ac:dyDescent="0.3">
      <c r="A33" s="167" t="s">
        <v>272</v>
      </c>
      <c r="B33" s="170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2"/>
    </row>
    <row r="34" spans="1:13" s="45" customFormat="1" ht="19.5" customHeight="1" x14ac:dyDescent="0.3">
      <c r="A34" s="168"/>
      <c r="B34" s="173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5"/>
    </row>
    <row r="35" spans="1:13" s="45" customFormat="1" ht="19.5" customHeight="1" x14ac:dyDescent="0.3">
      <c r="A35" s="168"/>
      <c r="B35" s="173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5"/>
    </row>
    <row r="36" spans="1:13" ht="19.5" customHeight="1" thickBot="1" x14ac:dyDescent="0.35">
      <c r="A36" s="169"/>
      <c r="B36" s="176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8"/>
    </row>
    <row r="37" spans="1:13" x14ac:dyDescent="0.3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</sheetData>
  <mergeCells count="67">
    <mergeCell ref="A1:M1"/>
    <mergeCell ref="A2:M2"/>
    <mergeCell ref="A3:M3"/>
    <mergeCell ref="A4:M4"/>
    <mergeCell ref="A5:M5"/>
    <mergeCell ref="A6:M6"/>
    <mergeCell ref="D7:E7"/>
    <mergeCell ref="I7:J7"/>
    <mergeCell ref="L7:M7"/>
    <mergeCell ref="B10:G10"/>
    <mergeCell ref="H10:M10"/>
    <mergeCell ref="A9:M9"/>
    <mergeCell ref="L8:M8"/>
    <mergeCell ref="B8:C8"/>
    <mergeCell ref="D8:E8"/>
    <mergeCell ref="F8:G8"/>
    <mergeCell ref="I8:J8"/>
    <mergeCell ref="B11:G11"/>
    <mergeCell ref="H11:M11"/>
    <mergeCell ref="B12:G12"/>
    <mergeCell ref="H12:M12"/>
    <mergeCell ref="A13:A14"/>
    <mergeCell ref="B13:E13"/>
    <mergeCell ref="F13:I13"/>
    <mergeCell ref="J13:M13"/>
    <mergeCell ref="B14:E14"/>
    <mergeCell ref="F14:I14"/>
    <mergeCell ref="J14:M14"/>
    <mergeCell ref="A15:M15"/>
    <mergeCell ref="A16:M16"/>
    <mergeCell ref="A26:M26"/>
    <mergeCell ref="B29:D29"/>
    <mergeCell ref="E29:G29"/>
    <mergeCell ref="H29:J29"/>
    <mergeCell ref="K29:L29"/>
    <mergeCell ref="L25:M25"/>
    <mergeCell ref="A27:A28"/>
    <mergeCell ref="B27:E27"/>
    <mergeCell ref="F27:I27"/>
    <mergeCell ref="J27:M27"/>
    <mergeCell ref="B28:E28"/>
    <mergeCell ref="F28:I28"/>
    <mergeCell ref="J28:M28"/>
    <mergeCell ref="H32:J32"/>
    <mergeCell ref="K32:M32"/>
    <mergeCell ref="B30:C30"/>
    <mergeCell ref="D30:E30"/>
    <mergeCell ref="F30:G30"/>
    <mergeCell ref="H30:I30"/>
    <mergeCell ref="J30:K30"/>
    <mergeCell ref="L30:M30"/>
    <mergeCell ref="A33:A36"/>
    <mergeCell ref="B33:M36"/>
    <mergeCell ref="L17:M17"/>
    <mergeCell ref="L18:M18"/>
    <mergeCell ref="L19:M19"/>
    <mergeCell ref="L20:M20"/>
    <mergeCell ref="L21:M21"/>
    <mergeCell ref="L22:M22"/>
    <mergeCell ref="L23:M23"/>
    <mergeCell ref="L24:M24"/>
    <mergeCell ref="B31:D31"/>
    <mergeCell ref="E31:G31"/>
    <mergeCell ref="H31:I31"/>
    <mergeCell ref="J31:K31"/>
    <mergeCell ref="B32:D32"/>
    <mergeCell ref="E32:G32"/>
  </mergeCells>
  <printOptions horizontalCentered="1"/>
  <pageMargins left="0.25" right="0.25" top="0.1" bottom="0.1" header="0.511811023622047" footer="0.511811023622047"/>
  <pageSetup paperSize="9" scale="59" fitToHeight="2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5BCA-FDDE-456E-8E31-C703DBA2E6EE}">
  <sheetPr>
    <pageSetUpPr fitToPage="1"/>
  </sheetPr>
  <dimension ref="A1:I61"/>
  <sheetViews>
    <sheetView zoomScaleNormal="100" workbookViewId="0">
      <pane xSplit="1" ySplit="5" topLeftCell="B36" activePane="bottomRight" state="frozen"/>
      <selection pane="topRight" activeCell="B1" sqref="B1"/>
      <selection pane="bottomLeft" activeCell="A7" sqref="A7"/>
      <selection pane="bottomRight" activeCell="H34" sqref="H34:I34"/>
    </sheetView>
  </sheetViews>
  <sheetFormatPr baseColWidth="10" defaultColWidth="8.6640625" defaultRowHeight="14.4" x14ac:dyDescent="0.3"/>
  <cols>
    <col min="1" max="1" width="21.88671875" customWidth="1"/>
    <col min="2" max="2" width="18" customWidth="1"/>
    <col min="3" max="3" width="19.88671875" customWidth="1"/>
    <col min="4" max="4" width="18" customWidth="1"/>
    <col min="5" max="5" width="13.77734375" customWidth="1"/>
    <col min="6" max="6" width="10" customWidth="1"/>
    <col min="7" max="7" width="13.33203125" customWidth="1"/>
    <col min="8" max="8" width="17.44140625" customWidth="1"/>
    <col min="9" max="9" width="17.77734375" customWidth="1"/>
  </cols>
  <sheetData>
    <row r="1" spans="1:9" ht="24" customHeight="1" thickBot="1" x14ac:dyDescent="0.35">
      <c r="A1" s="267" t="s">
        <v>0</v>
      </c>
      <c r="B1" s="267"/>
      <c r="C1" s="267"/>
      <c r="D1" s="267"/>
      <c r="E1" s="267"/>
      <c r="F1" s="267"/>
      <c r="G1" s="267"/>
      <c r="H1" s="267"/>
      <c r="I1" s="267"/>
    </row>
    <row r="2" spans="1:9" ht="18" thickBot="1" x14ac:dyDescent="0.35">
      <c r="A2" s="268" t="s">
        <v>209</v>
      </c>
      <c r="B2" s="268"/>
      <c r="C2" s="268"/>
      <c r="D2" s="268"/>
      <c r="E2" s="268"/>
      <c r="F2" s="268"/>
      <c r="G2" s="268"/>
      <c r="H2" s="268"/>
      <c r="I2" s="268"/>
    </row>
    <row r="3" spans="1:9" ht="43.2" customHeight="1" thickBot="1" x14ac:dyDescent="0.35">
      <c r="A3" s="267" t="s">
        <v>210</v>
      </c>
      <c r="B3" s="267"/>
      <c r="C3" s="267"/>
      <c r="D3" s="267"/>
      <c r="E3" s="267"/>
      <c r="F3" s="267"/>
      <c r="G3" s="267"/>
      <c r="H3" s="267"/>
      <c r="I3" s="267"/>
    </row>
    <row r="4" spans="1:9" ht="18" thickBot="1" x14ac:dyDescent="0.35">
      <c r="A4" s="269" t="s">
        <v>316</v>
      </c>
      <c r="B4" s="269"/>
      <c r="C4" s="269"/>
      <c r="D4" s="269"/>
      <c r="E4" s="269"/>
      <c r="F4" s="269"/>
      <c r="G4" s="269"/>
      <c r="H4" s="269"/>
      <c r="I4" s="269"/>
    </row>
    <row r="5" spans="1:9" s="27" customFormat="1" ht="37.799999999999997" customHeight="1" thickBot="1" x14ac:dyDescent="0.35">
      <c r="A5" s="270" t="s">
        <v>213</v>
      </c>
      <c r="B5" s="270"/>
      <c r="C5" s="270"/>
      <c r="D5" s="270"/>
      <c r="E5" s="270"/>
      <c r="F5" s="270"/>
      <c r="G5" s="270"/>
      <c r="H5" s="270"/>
      <c r="I5" s="270"/>
    </row>
    <row r="6" spans="1:9" s="25" customFormat="1" ht="18" customHeight="1" thickBot="1" x14ac:dyDescent="0.35">
      <c r="A6" s="247" t="s">
        <v>274</v>
      </c>
      <c r="B6" s="247"/>
      <c r="C6" s="247"/>
      <c r="D6" s="247"/>
      <c r="E6" s="247"/>
      <c r="F6" s="247"/>
      <c r="G6" s="247"/>
      <c r="H6" s="247"/>
      <c r="I6" s="247"/>
    </row>
    <row r="7" spans="1:9" ht="25.95" customHeight="1" thickBot="1" x14ac:dyDescent="0.35">
      <c r="A7" s="53" t="s">
        <v>275</v>
      </c>
      <c r="B7" s="54"/>
      <c r="C7" s="55" t="s">
        <v>276</v>
      </c>
      <c r="D7" s="221"/>
      <c r="E7" s="221"/>
      <c r="F7" s="222"/>
      <c r="G7" s="223" t="s">
        <v>277</v>
      </c>
      <c r="H7" s="224"/>
      <c r="I7" s="56"/>
    </row>
    <row r="8" spans="1:9" ht="25.95" customHeight="1" thickBot="1" x14ac:dyDescent="0.35">
      <c r="A8" s="53" t="s">
        <v>524</v>
      </c>
      <c r="B8" s="54" t="str">
        <f>IFERROR(VLOOKUP(#REF!,'Bloques V4'!$A$2:$H$128,2,FALSE()),"")</f>
        <v/>
      </c>
      <c r="C8" s="55" t="s">
        <v>521</v>
      </c>
      <c r="D8" s="221"/>
      <c r="E8" s="221"/>
      <c r="F8" s="222"/>
      <c r="G8" s="223" t="s">
        <v>535</v>
      </c>
      <c r="H8" s="224"/>
      <c r="I8" s="56"/>
    </row>
    <row r="9" spans="1:9" ht="33.6" customHeight="1" thickBot="1" x14ac:dyDescent="0.35">
      <c r="A9" s="55" t="s">
        <v>317</v>
      </c>
      <c r="B9" s="54"/>
      <c r="C9" s="55" t="s">
        <v>320</v>
      </c>
      <c r="D9" s="221"/>
      <c r="E9" s="221"/>
      <c r="F9" s="222"/>
      <c r="G9" s="223" t="s">
        <v>321</v>
      </c>
      <c r="H9" s="224"/>
      <c r="I9" s="56"/>
    </row>
    <row r="10" spans="1:9" ht="33.6" customHeight="1" thickBot="1" x14ac:dyDescent="0.35">
      <c r="A10" s="53" t="s">
        <v>318</v>
      </c>
      <c r="B10" s="54"/>
      <c r="C10" s="55" t="s">
        <v>319</v>
      </c>
      <c r="D10" s="221"/>
      <c r="E10" s="221"/>
      <c r="F10" s="222"/>
      <c r="G10" s="223"/>
      <c r="H10" s="224"/>
      <c r="I10" s="56"/>
    </row>
    <row r="11" spans="1:9" s="25" customFormat="1" ht="18" customHeight="1" thickBot="1" x14ac:dyDescent="0.35">
      <c r="A11" s="247" t="s">
        <v>322</v>
      </c>
      <c r="B11" s="246"/>
      <c r="C11" s="246"/>
      <c r="D11" s="246"/>
      <c r="E11" s="246"/>
      <c r="F11" s="246"/>
      <c r="G11" s="246"/>
      <c r="H11" s="246"/>
      <c r="I11" s="246"/>
    </row>
    <row r="12" spans="1:9" ht="47.4" customHeight="1" thickBot="1" x14ac:dyDescent="0.35">
      <c r="A12" s="228" t="s">
        <v>323</v>
      </c>
      <c r="B12" s="233" t="s">
        <v>324</v>
      </c>
      <c r="C12" s="237"/>
      <c r="D12" s="233" t="s">
        <v>325</v>
      </c>
      <c r="E12" s="237"/>
      <c r="F12" s="238" t="s">
        <v>326</v>
      </c>
      <c r="G12" s="237"/>
      <c r="H12" s="249" t="s">
        <v>279</v>
      </c>
      <c r="I12" s="253"/>
    </row>
    <row r="13" spans="1:9" ht="35.4" customHeight="1" thickBot="1" x14ac:dyDescent="0.35">
      <c r="A13" s="229"/>
      <c r="B13" s="233" t="s">
        <v>327</v>
      </c>
      <c r="C13" s="237"/>
      <c r="D13" s="233" t="s">
        <v>328</v>
      </c>
      <c r="E13" s="237"/>
      <c r="F13" s="238" t="s">
        <v>329</v>
      </c>
      <c r="G13" s="237"/>
      <c r="H13" s="254"/>
      <c r="I13" s="255"/>
    </row>
    <row r="14" spans="1:9" ht="33.6" customHeight="1" thickBot="1" x14ac:dyDescent="0.35">
      <c r="A14" s="229"/>
      <c r="B14" s="233" t="s">
        <v>330</v>
      </c>
      <c r="C14" s="237"/>
      <c r="D14" s="233" t="s">
        <v>331</v>
      </c>
      <c r="E14" s="237"/>
      <c r="F14" s="238" t="s">
        <v>332</v>
      </c>
      <c r="G14" s="237"/>
      <c r="H14" s="254"/>
      <c r="I14" s="255"/>
    </row>
    <row r="15" spans="1:9" ht="33.6" customHeight="1" thickBot="1" x14ac:dyDescent="0.35">
      <c r="A15" s="229"/>
      <c r="B15" s="249" t="s">
        <v>333</v>
      </c>
      <c r="C15" s="237"/>
      <c r="D15" s="233" t="s">
        <v>334</v>
      </c>
      <c r="E15" s="237"/>
      <c r="F15" s="238" t="s">
        <v>335</v>
      </c>
      <c r="G15" s="237"/>
      <c r="H15" s="256"/>
      <c r="I15" s="257"/>
    </row>
    <row r="16" spans="1:9" ht="36" customHeight="1" thickBot="1" x14ac:dyDescent="0.35">
      <c r="A16" s="263" t="s">
        <v>336</v>
      </c>
      <c r="B16" s="264"/>
      <c r="C16" s="221"/>
      <c r="D16" s="221"/>
      <c r="E16" s="265"/>
      <c r="F16" s="266"/>
      <c r="G16" s="221"/>
      <c r="H16" s="221"/>
      <c r="I16" s="222"/>
    </row>
    <row r="17" spans="1:9" ht="34.799999999999997" customHeight="1" thickBot="1" x14ac:dyDescent="0.35">
      <c r="A17" s="229" t="s">
        <v>337</v>
      </c>
      <c r="B17" s="256" t="s">
        <v>338</v>
      </c>
      <c r="C17" s="237"/>
      <c r="D17" s="233" t="s">
        <v>339</v>
      </c>
      <c r="E17" s="237"/>
      <c r="F17" s="233" t="s">
        <v>340</v>
      </c>
      <c r="G17" s="238"/>
      <c r="H17" s="238"/>
      <c r="I17" s="234"/>
    </row>
    <row r="18" spans="1:9" ht="25.05" customHeight="1" thickBot="1" x14ac:dyDescent="0.35">
      <c r="A18" s="230"/>
      <c r="B18" s="233" t="s">
        <v>341</v>
      </c>
      <c r="C18" s="237"/>
      <c r="D18" s="261" t="s">
        <v>342</v>
      </c>
      <c r="E18" s="262"/>
      <c r="F18" s="233" t="s">
        <v>343</v>
      </c>
      <c r="G18" s="236"/>
      <c r="H18" s="236"/>
      <c r="I18" s="237"/>
    </row>
    <row r="19" spans="1:9" ht="25.05" customHeight="1" thickBot="1" x14ac:dyDescent="0.35">
      <c r="A19" s="228" t="s">
        <v>344</v>
      </c>
      <c r="B19" s="249" t="s">
        <v>345</v>
      </c>
      <c r="C19" s="250"/>
      <c r="D19" s="251" t="s">
        <v>346</v>
      </c>
      <c r="E19" s="252"/>
      <c r="F19" s="249" t="s">
        <v>347</v>
      </c>
      <c r="G19" s="250"/>
      <c r="H19" s="249" t="s">
        <v>279</v>
      </c>
      <c r="I19" s="253"/>
    </row>
    <row r="20" spans="1:9" ht="25.05" customHeight="1" thickBot="1" x14ac:dyDescent="0.35">
      <c r="A20" s="229"/>
      <c r="B20" s="233" t="s">
        <v>348</v>
      </c>
      <c r="C20" s="237"/>
      <c r="D20" s="238" t="s">
        <v>349</v>
      </c>
      <c r="E20" s="237"/>
      <c r="F20" s="249" t="s">
        <v>350</v>
      </c>
      <c r="G20" s="253"/>
      <c r="H20" s="254"/>
      <c r="I20" s="255"/>
    </row>
    <row r="21" spans="1:9" ht="25.05" customHeight="1" thickBot="1" x14ac:dyDescent="0.35">
      <c r="A21" s="230"/>
      <c r="B21" s="256" t="s">
        <v>351</v>
      </c>
      <c r="C21" s="258"/>
      <c r="D21" s="259" t="s">
        <v>352</v>
      </c>
      <c r="E21" s="260"/>
      <c r="F21" s="256"/>
      <c r="G21" s="257"/>
      <c r="H21" s="256"/>
      <c r="I21" s="257"/>
    </row>
    <row r="22" spans="1:9" s="25" customFormat="1" ht="18" customHeight="1" thickBot="1" x14ac:dyDescent="0.35">
      <c r="A22" s="246" t="s">
        <v>353</v>
      </c>
      <c r="B22" s="246"/>
      <c r="C22" s="246"/>
      <c r="D22" s="247"/>
      <c r="E22" s="247"/>
      <c r="F22" s="246"/>
      <c r="G22" s="246"/>
      <c r="H22" s="246"/>
      <c r="I22" s="246"/>
    </row>
    <row r="23" spans="1:9" ht="30.6" customHeight="1" thickBot="1" x14ac:dyDescent="0.35">
      <c r="A23" s="53" t="s">
        <v>354</v>
      </c>
      <c r="B23" s="57"/>
      <c r="C23" s="58" t="s">
        <v>355</v>
      </c>
      <c r="D23" s="57"/>
      <c r="E23" s="248" t="s">
        <v>356</v>
      </c>
      <c r="F23" s="248"/>
      <c r="G23" s="57"/>
      <c r="H23" s="58" t="s">
        <v>357</v>
      </c>
      <c r="I23" s="59"/>
    </row>
    <row r="24" spans="1:9" ht="49.8" customHeight="1" thickBot="1" x14ac:dyDescent="0.35">
      <c r="A24" s="60" t="s">
        <v>358</v>
      </c>
      <c r="B24" s="61"/>
      <c r="C24" s="62" t="s">
        <v>359</v>
      </c>
      <c r="D24" s="61"/>
      <c r="E24" s="225" t="s">
        <v>360</v>
      </c>
      <c r="F24" s="225"/>
      <c r="G24" s="61"/>
      <c r="H24" s="62" t="s">
        <v>361</v>
      </c>
      <c r="I24" s="63"/>
    </row>
    <row r="25" spans="1:9" ht="37.799999999999997" customHeight="1" thickBot="1" x14ac:dyDescent="0.35">
      <c r="A25" s="55" t="s">
        <v>362</v>
      </c>
      <c r="B25" s="233" t="s">
        <v>363</v>
      </c>
      <c r="C25" s="237"/>
      <c r="D25" s="233" t="s">
        <v>364</v>
      </c>
      <c r="E25" s="237"/>
      <c r="F25" s="233" t="s">
        <v>365</v>
      </c>
      <c r="G25" s="237"/>
      <c r="H25" s="238" t="s">
        <v>366</v>
      </c>
      <c r="I25" s="237"/>
    </row>
    <row r="26" spans="1:9" ht="25.05" customHeight="1" thickBot="1" x14ac:dyDescent="0.35">
      <c r="A26" s="228" t="s">
        <v>367</v>
      </c>
      <c r="B26" s="233" t="s">
        <v>368</v>
      </c>
      <c r="C26" s="236"/>
      <c r="D26" s="233" t="s">
        <v>369</v>
      </c>
      <c r="E26" s="237"/>
      <c r="F26" s="238" t="s">
        <v>370</v>
      </c>
      <c r="G26" s="237"/>
      <c r="H26" s="226"/>
      <c r="I26" s="227"/>
    </row>
    <row r="27" spans="1:9" ht="25.05" customHeight="1" thickBot="1" x14ac:dyDescent="0.35">
      <c r="A27" s="230"/>
      <c r="B27" s="233" t="s">
        <v>371</v>
      </c>
      <c r="C27" s="237"/>
      <c r="D27" s="233" t="s">
        <v>372</v>
      </c>
      <c r="E27" s="237"/>
      <c r="F27" s="238" t="s">
        <v>373</v>
      </c>
      <c r="G27" s="236"/>
      <c r="H27" s="236"/>
      <c r="I27" s="237"/>
    </row>
    <row r="28" spans="1:9" ht="25.05" customHeight="1" thickBot="1" x14ac:dyDescent="0.35">
      <c r="A28" s="55" t="s">
        <v>374</v>
      </c>
      <c r="B28" s="233" t="s">
        <v>266</v>
      </c>
      <c r="C28" s="236"/>
      <c r="D28" s="236"/>
      <c r="E28" s="237"/>
      <c r="F28" s="238" t="s">
        <v>267</v>
      </c>
      <c r="G28" s="236"/>
      <c r="H28" s="236"/>
      <c r="I28" s="237"/>
    </row>
    <row r="29" spans="1:9" ht="44.4" customHeight="1" thickBot="1" x14ac:dyDescent="0.35">
      <c r="A29" s="53" t="s">
        <v>375</v>
      </c>
      <c r="B29" s="64" t="s">
        <v>376</v>
      </c>
      <c r="C29" s="64" t="s">
        <v>377</v>
      </c>
      <c r="D29" s="64" t="s">
        <v>378</v>
      </c>
      <c r="E29" s="64" t="s">
        <v>379</v>
      </c>
      <c r="F29" s="238" t="s">
        <v>380</v>
      </c>
      <c r="G29" s="236"/>
      <c r="H29" s="236"/>
      <c r="I29" s="237"/>
    </row>
    <row r="30" spans="1:9" ht="34.799999999999997" customHeight="1" thickBot="1" x14ac:dyDescent="0.35">
      <c r="A30" s="65" t="s">
        <v>381</v>
      </c>
      <c r="B30" s="239"/>
      <c r="C30" s="240"/>
      <c r="D30" s="240"/>
      <c r="E30" s="240"/>
      <c r="F30" s="240"/>
      <c r="G30" s="240"/>
      <c r="H30" s="240"/>
      <c r="I30" s="241"/>
    </row>
    <row r="31" spans="1:9" ht="25.05" customHeight="1" thickBot="1" x14ac:dyDescent="0.35">
      <c r="A31" s="228" t="s">
        <v>382</v>
      </c>
      <c r="B31" s="231" t="s">
        <v>383</v>
      </c>
      <c r="C31" s="235"/>
      <c r="D31" s="232" t="s">
        <v>384</v>
      </c>
      <c r="E31" s="242"/>
      <c r="F31" s="231" t="s">
        <v>385</v>
      </c>
      <c r="G31" s="235"/>
      <c r="H31" s="226"/>
      <c r="I31" s="227"/>
    </row>
    <row r="32" spans="1:9" ht="33" customHeight="1" thickBot="1" x14ac:dyDescent="0.35">
      <c r="A32" s="229"/>
      <c r="B32" s="231" t="s">
        <v>386</v>
      </c>
      <c r="C32" s="235"/>
      <c r="D32" s="232" t="s">
        <v>387</v>
      </c>
      <c r="E32" s="242"/>
      <c r="F32" s="231" t="s">
        <v>388</v>
      </c>
      <c r="G32" s="235"/>
      <c r="H32" s="226"/>
      <c r="I32" s="227"/>
    </row>
    <row r="33" spans="1:9" ht="25.05" customHeight="1" thickBot="1" x14ac:dyDescent="0.35">
      <c r="A33" s="229"/>
      <c r="B33" s="231" t="s">
        <v>389</v>
      </c>
      <c r="C33" s="235"/>
      <c r="D33" s="232" t="s">
        <v>390</v>
      </c>
      <c r="E33" s="242"/>
      <c r="F33" s="231" t="s">
        <v>391</v>
      </c>
      <c r="G33" s="235"/>
      <c r="H33" s="226"/>
      <c r="I33" s="227"/>
    </row>
    <row r="34" spans="1:9" ht="25.05" customHeight="1" thickBot="1" x14ac:dyDescent="0.35">
      <c r="A34" s="230"/>
      <c r="B34" s="231" t="s">
        <v>392</v>
      </c>
      <c r="C34" s="235"/>
      <c r="D34" s="231" t="s">
        <v>393</v>
      </c>
      <c r="E34" s="232"/>
      <c r="F34" s="233"/>
      <c r="G34" s="234"/>
      <c r="H34" s="233"/>
      <c r="I34" s="234"/>
    </row>
    <row r="35" spans="1:9" s="26" customFormat="1" ht="18" customHeight="1" thickBot="1" x14ac:dyDescent="0.35">
      <c r="A35" s="243" t="s">
        <v>394</v>
      </c>
      <c r="B35" s="243"/>
      <c r="C35" s="243"/>
      <c r="D35" s="243"/>
      <c r="E35" s="243"/>
      <c r="F35" s="243"/>
      <c r="G35" s="243"/>
      <c r="H35" s="243"/>
      <c r="I35" s="243"/>
    </row>
    <row r="36" spans="1:9" s="28" customFormat="1" ht="54" customHeight="1" thickBot="1" x14ac:dyDescent="0.35">
      <c r="A36" s="244" t="s">
        <v>395</v>
      </c>
      <c r="B36" s="244"/>
      <c r="C36" s="244"/>
      <c r="D36" s="244"/>
      <c r="E36" s="244"/>
      <c r="F36" s="244"/>
      <c r="G36" s="244"/>
      <c r="H36" s="244"/>
      <c r="I36" s="244"/>
    </row>
    <row r="37" spans="1:9" s="29" customFormat="1" ht="31.5" customHeight="1" thickBot="1" x14ac:dyDescent="0.35">
      <c r="A37" s="66" t="s">
        <v>289</v>
      </c>
      <c r="B37" s="66" t="s">
        <v>396</v>
      </c>
      <c r="C37" s="66" t="s">
        <v>397</v>
      </c>
      <c r="D37" s="66" t="s">
        <v>398</v>
      </c>
      <c r="E37" s="66" t="s">
        <v>399</v>
      </c>
      <c r="F37" s="66" t="s">
        <v>400</v>
      </c>
      <c r="G37" s="66" t="s">
        <v>401</v>
      </c>
      <c r="H37" s="66" t="s">
        <v>402</v>
      </c>
      <c r="I37" s="66" t="s">
        <v>403</v>
      </c>
    </row>
    <row r="38" spans="1:9" s="22" customFormat="1" ht="33" customHeight="1" thickBot="1" x14ac:dyDescent="0.35">
      <c r="A38" s="67" t="s">
        <v>93</v>
      </c>
      <c r="B38" s="68"/>
      <c r="C38" s="68"/>
      <c r="D38" s="68"/>
      <c r="E38" s="68"/>
      <c r="F38" s="68"/>
      <c r="G38" s="68"/>
      <c r="H38" s="68"/>
      <c r="I38" s="68"/>
    </row>
    <row r="39" spans="1:9" s="22" customFormat="1" ht="33" customHeight="1" thickBot="1" x14ac:dyDescent="0.35">
      <c r="A39" s="67" t="s">
        <v>21</v>
      </c>
      <c r="B39" s="68"/>
      <c r="C39" s="68"/>
      <c r="D39" s="68"/>
      <c r="E39" s="68"/>
      <c r="F39" s="68"/>
      <c r="G39" s="68"/>
      <c r="H39" s="68"/>
      <c r="I39" s="68"/>
    </row>
    <row r="40" spans="1:9" s="22" customFormat="1" ht="33" customHeight="1" thickBot="1" x14ac:dyDescent="0.35">
      <c r="A40" s="66" t="s">
        <v>289</v>
      </c>
      <c r="B40" s="66" t="s">
        <v>396</v>
      </c>
      <c r="C40" s="66" t="s">
        <v>397</v>
      </c>
      <c r="D40" s="66" t="s">
        <v>398</v>
      </c>
      <c r="E40" s="66" t="s">
        <v>399</v>
      </c>
      <c r="F40" s="66" t="s">
        <v>400</v>
      </c>
      <c r="G40" s="66" t="s">
        <v>401</v>
      </c>
      <c r="H40" s="66" t="s">
        <v>402</v>
      </c>
      <c r="I40" s="66" t="s">
        <v>403</v>
      </c>
    </row>
    <row r="41" spans="1:9" s="22" customFormat="1" ht="33" customHeight="1" thickBot="1" x14ac:dyDescent="0.35">
      <c r="A41" s="67">
        <v>3</v>
      </c>
      <c r="B41" s="68"/>
      <c r="C41" s="68"/>
      <c r="D41" s="68"/>
      <c r="E41" s="68"/>
      <c r="F41" s="68"/>
      <c r="G41" s="68"/>
      <c r="H41" s="68"/>
      <c r="I41" s="68"/>
    </row>
    <row r="42" spans="1:9" s="22" customFormat="1" ht="33" customHeight="1" thickBot="1" x14ac:dyDescent="0.35">
      <c r="A42" s="67">
        <v>4</v>
      </c>
      <c r="B42" s="68"/>
      <c r="C42" s="68"/>
      <c r="D42" s="68"/>
      <c r="E42" s="68"/>
      <c r="F42" s="68"/>
      <c r="G42" s="68"/>
      <c r="H42" s="68"/>
      <c r="I42" s="68"/>
    </row>
    <row r="43" spans="1:9" s="22" customFormat="1" ht="33" customHeight="1" thickBot="1" x14ac:dyDescent="0.35">
      <c r="A43" s="67">
        <v>5</v>
      </c>
      <c r="B43" s="68"/>
      <c r="C43" s="68"/>
      <c r="D43" s="68"/>
      <c r="E43" s="68"/>
      <c r="F43" s="68"/>
      <c r="G43" s="68"/>
      <c r="H43" s="68"/>
      <c r="I43" s="68"/>
    </row>
    <row r="44" spans="1:9" s="22" customFormat="1" ht="33" customHeight="1" thickBot="1" x14ac:dyDescent="0.35">
      <c r="A44" s="67">
        <v>6</v>
      </c>
      <c r="B44" s="68"/>
      <c r="C44" s="68"/>
      <c r="D44" s="68"/>
      <c r="E44" s="68"/>
      <c r="F44" s="68"/>
      <c r="G44" s="68"/>
      <c r="H44" s="68"/>
      <c r="I44" s="68"/>
    </row>
    <row r="45" spans="1:9" s="22" customFormat="1" ht="33" customHeight="1" thickBot="1" x14ac:dyDescent="0.35">
      <c r="A45" s="67">
        <v>7</v>
      </c>
      <c r="B45" s="68"/>
      <c r="C45" s="68"/>
      <c r="D45" s="68"/>
      <c r="E45" s="68"/>
      <c r="F45" s="68"/>
      <c r="G45" s="68"/>
      <c r="H45" s="68"/>
      <c r="I45" s="68"/>
    </row>
    <row r="46" spans="1:9" s="22" customFormat="1" ht="33" customHeight="1" thickBot="1" x14ac:dyDescent="0.35">
      <c r="A46" s="67">
        <v>8</v>
      </c>
      <c r="B46" s="68"/>
      <c r="C46" s="68"/>
      <c r="D46" s="68"/>
      <c r="E46" s="68"/>
      <c r="F46" s="68"/>
      <c r="G46" s="68"/>
      <c r="H46" s="68"/>
      <c r="I46" s="68"/>
    </row>
    <row r="47" spans="1:9" s="22" customFormat="1" ht="33" customHeight="1" thickBot="1" x14ac:dyDescent="0.35">
      <c r="A47" s="67">
        <v>9</v>
      </c>
      <c r="B47" s="68"/>
      <c r="C47" s="68"/>
      <c r="D47" s="68"/>
      <c r="E47" s="68"/>
      <c r="F47" s="68"/>
      <c r="G47" s="68"/>
      <c r="H47" s="68"/>
      <c r="I47" s="68"/>
    </row>
    <row r="48" spans="1:9" s="22" customFormat="1" ht="33" customHeight="1" thickBot="1" x14ac:dyDescent="0.35">
      <c r="A48" s="67">
        <v>10</v>
      </c>
      <c r="B48" s="68"/>
      <c r="C48" s="68"/>
      <c r="D48" s="68"/>
      <c r="E48" s="68"/>
      <c r="F48" s="68"/>
      <c r="G48" s="68"/>
      <c r="H48" s="68"/>
      <c r="I48" s="68"/>
    </row>
    <row r="49" spans="1:9" s="25" customFormat="1" ht="18" customHeight="1" thickBot="1" x14ac:dyDescent="0.35">
      <c r="A49" s="243" t="s">
        <v>404</v>
      </c>
      <c r="B49" s="243"/>
      <c r="C49" s="243"/>
      <c r="D49" s="243"/>
      <c r="E49" s="243"/>
      <c r="F49" s="243"/>
      <c r="G49" s="243"/>
      <c r="H49" s="243"/>
      <c r="I49" s="243"/>
    </row>
    <row r="50" spans="1:9" s="26" customFormat="1" ht="33.6" customHeight="1" thickBot="1" x14ac:dyDescent="0.35">
      <c r="A50" s="245" t="s">
        <v>405</v>
      </c>
      <c r="B50" s="245"/>
      <c r="C50" s="245"/>
      <c r="D50" s="245"/>
      <c r="E50" s="245"/>
      <c r="F50" s="245"/>
      <c r="G50" s="245"/>
      <c r="H50" s="245"/>
      <c r="I50" s="245"/>
    </row>
    <row r="51" spans="1:9" s="25" customFormat="1" ht="43.2" customHeight="1" thickBot="1" x14ac:dyDescent="0.35">
      <c r="A51" s="69" t="s">
        <v>289</v>
      </c>
      <c r="B51" s="72" t="s">
        <v>406</v>
      </c>
      <c r="C51" s="72" t="s">
        <v>407</v>
      </c>
      <c r="D51" s="72" t="s">
        <v>408</v>
      </c>
      <c r="E51" s="72" t="s">
        <v>409</v>
      </c>
      <c r="F51" s="72" t="s">
        <v>410</v>
      </c>
      <c r="G51" s="72" t="s">
        <v>411</v>
      </c>
      <c r="H51" s="72" t="s">
        <v>412</v>
      </c>
      <c r="I51" s="72" t="s">
        <v>413</v>
      </c>
    </row>
    <row r="52" spans="1:9" s="22" customFormat="1" ht="33" customHeight="1" thickBot="1" x14ac:dyDescent="0.35">
      <c r="A52" s="70" t="s">
        <v>93</v>
      </c>
      <c r="B52" s="73"/>
      <c r="C52" s="73"/>
      <c r="D52" s="73"/>
      <c r="E52" s="73"/>
      <c r="F52" s="73"/>
      <c r="G52" s="73"/>
      <c r="H52" s="73"/>
      <c r="I52" s="73"/>
    </row>
    <row r="53" spans="1:9" s="22" customFormat="1" ht="33" customHeight="1" thickBot="1" x14ac:dyDescent="0.35">
      <c r="A53" s="71" t="s">
        <v>21</v>
      </c>
      <c r="B53" s="74"/>
      <c r="C53" s="74"/>
      <c r="D53" s="74"/>
      <c r="E53" s="74"/>
      <c r="F53" s="74"/>
      <c r="G53" s="74"/>
      <c r="H53" s="74"/>
      <c r="I53" s="74"/>
    </row>
    <row r="54" spans="1:9" s="22" customFormat="1" ht="33" customHeight="1" thickBot="1" x14ac:dyDescent="0.35">
      <c r="A54" s="71" t="s">
        <v>26</v>
      </c>
      <c r="B54" s="74"/>
      <c r="C54" s="74"/>
      <c r="D54" s="74"/>
      <c r="E54" s="74"/>
      <c r="F54" s="74"/>
      <c r="G54" s="74"/>
      <c r="H54" s="74"/>
      <c r="I54" s="74"/>
    </row>
    <row r="55" spans="1:9" s="22" customFormat="1" ht="33" customHeight="1" thickBot="1" x14ac:dyDescent="0.35">
      <c r="A55" s="71" t="s">
        <v>186</v>
      </c>
      <c r="B55" s="74"/>
      <c r="C55" s="74"/>
      <c r="D55" s="74"/>
      <c r="E55" s="74"/>
      <c r="F55" s="74"/>
      <c r="G55" s="74"/>
      <c r="H55" s="74"/>
      <c r="I55" s="74"/>
    </row>
    <row r="56" spans="1:9" s="22" customFormat="1" ht="33" customHeight="1" thickBot="1" x14ac:dyDescent="0.35">
      <c r="A56" s="71" t="s">
        <v>74</v>
      </c>
      <c r="B56" s="74"/>
      <c r="C56" s="74"/>
      <c r="D56" s="74"/>
      <c r="E56" s="74"/>
      <c r="F56" s="74"/>
      <c r="G56" s="74"/>
      <c r="H56" s="74"/>
      <c r="I56" s="74"/>
    </row>
    <row r="57" spans="1:9" s="22" customFormat="1" ht="33" customHeight="1" thickBot="1" x14ac:dyDescent="0.35">
      <c r="A57" s="71" t="s">
        <v>30</v>
      </c>
      <c r="B57" s="74"/>
      <c r="C57" s="74"/>
      <c r="D57" s="74"/>
      <c r="E57" s="74"/>
      <c r="F57" s="74"/>
      <c r="G57" s="74"/>
      <c r="H57" s="74"/>
      <c r="I57" s="74"/>
    </row>
    <row r="58" spans="1:9" s="22" customFormat="1" ht="33" customHeight="1" thickBot="1" x14ac:dyDescent="0.35">
      <c r="A58" s="71" t="s">
        <v>91</v>
      </c>
      <c r="B58" s="74"/>
      <c r="C58" s="74"/>
      <c r="D58" s="74"/>
      <c r="E58" s="74"/>
      <c r="F58" s="74"/>
      <c r="G58" s="74"/>
      <c r="H58" s="74"/>
      <c r="I58" s="74"/>
    </row>
    <row r="59" spans="1:9" s="22" customFormat="1" ht="33" customHeight="1" thickBot="1" x14ac:dyDescent="0.35">
      <c r="A59" s="71" t="s">
        <v>191</v>
      </c>
      <c r="B59" s="74"/>
      <c r="C59" s="74"/>
      <c r="D59" s="74"/>
      <c r="E59" s="74"/>
      <c r="F59" s="74"/>
      <c r="G59" s="74"/>
      <c r="H59" s="74"/>
      <c r="I59" s="74"/>
    </row>
    <row r="60" spans="1:9" s="22" customFormat="1" ht="33" customHeight="1" thickBot="1" x14ac:dyDescent="0.35">
      <c r="A60" s="71" t="s">
        <v>156</v>
      </c>
      <c r="B60" s="74"/>
      <c r="C60" s="74"/>
      <c r="D60" s="74"/>
      <c r="E60" s="74"/>
      <c r="F60" s="74"/>
      <c r="G60" s="74"/>
      <c r="H60" s="74"/>
      <c r="I60" s="74"/>
    </row>
    <row r="61" spans="1:9" s="22" customFormat="1" ht="33" customHeight="1" thickBot="1" x14ac:dyDescent="0.35">
      <c r="A61" s="71" t="s">
        <v>183</v>
      </c>
      <c r="B61" s="75"/>
      <c r="C61" s="75"/>
      <c r="D61" s="75"/>
      <c r="E61" s="75"/>
      <c r="F61" s="75"/>
      <c r="G61" s="75"/>
      <c r="H61" s="75"/>
      <c r="I61" s="75"/>
    </row>
  </sheetData>
  <mergeCells count="89">
    <mergeCell ref="H31:I31"/>
    <mergeCell ref="H32:I32"/>
    <mergeCell ref="H33:I33"/>
    <mergeCell ref="H34:I34"/>
    <mergeCell ref="A6:I6"/>
    <mergeCell ref="A11:I11"/>
    <mergeCell ref="A12:A15"/>
    <mergeCell ref="B12:C12"/>
    <mergeCell ref="D12:E12"/>
    <mergeCell ref="F12:G12"/>
    <mergeCell ref="H12:I15"/>
    <mergeCell ref="B13:C13"/>
    <mergeCell ref="D13:E13"/>
    <mergeCell ref="F13:G13"/>
    <mergeCell ref="B14:C14"/>
    <mergeCell ref="D14:E14"/>
    <mergeCell ref="A1:I1"/>
    <mergeCell ref="A2:I2"/>
    <mergeCell ref="A3:I3"/>
    <mergeCell ref="A4:I4"/>
    <mergeCell ref="A5:I5"/>
    <mergeCell ref="F14:G14"/>
    <mergeCell ref="B15:C15"/>
    <mergeCell ref="D15:E15"/>
    <mergeCell ref="F15:G15"/>
    <mergeCell ref="A17:A18"/>
    <mergeCell ref="B17:C17"/>
    <mergeCell ref="D17:E17"/>
    <mergeCell ref="F17:I17"/>
    <mergeCell ref="B18:C18"/>
    <mergeCell ref="D18:E18"/>
    <mergeCell ref="F18:I18"/>
    <mergeCell ref="A16:B16"/>
    <mergeCell ref="C16:E16"/>
    <mergeCell ref="F16:I16"/>
    <mergeCell ref="H19:I21"/>
    <mergeCell ref="B20:C20"/>
    <mergeCell ref="D20:E20"/>
    <mergeCell ref="F20:G21"/>
    <mergeCell ref="B21:C21"/>
    <mergeCell ref="D21:E21"/>
    <mergeCell ref="D27:E27"/>
    <mergeCell ref="F27:I27"/>
    <mergeCell ref="B25:C25"/>
    <mergeCell ref="D25:E25"/>
    <mergeCell ref="F25:G25"/>
    <mergeCell ref="H25:I25"/>
    <mergeCell ref="A35:I35"/>
    <mergeCell ref="A36:I36"/>
    <mergeCell ref="A49:I49"/>
    <mergeCell ref="A50:I50"/>
    <mergeCell ref="B32:C32"/>
    <mergeCell ref="D32:E32"/>
    <mergeCell ref="F32:G32"/>
    <mergeCell ref="B33:C33"/>
    <mergeCell ref="D33:E33"/>
    <mergeCell ref="F33:G33"/>
    <mergeCell ref="A31:A34"/>
    <mergeCell ref="D34:E34"/>
    <mergeCell ref="F34:G34"/>
    <mergeCell ref="A26:A27"/>
    <mergeCell ref="B34:C34"/>
    <mergeCell ref="B28:E28"/>
    <mergeCell ref="F28:I28"/>
    <mergeCell ref="F29:I29"/>
    <mergeCell ref="B30:I30"/>
    <mergeCell ref="B31:C31"/>
    <mergeCell ref="D31:E31"/>
    <mergeCell ref="F31:G31"/>
    <mergeCell ref="B26:C26"/>
    <mergeCell ref="D26:E26"/>
    <mergeCell ref="F26:G26"/>
    <mergeCell ref="B27:C27"/>
    <mergeCell ref="D7:F7"/>
    <mergeCell ref="G7:H7"/>
    <mergeCell ref="G9:H9"/>
    <mergeCell ref="E24:F24"/>
    <mergeCell ref="H26:I26"/>
    <mergeCell ref="G10:H10"/>
    <mergeCell ref="D8:F8"/>
    <mergeCell ref="G8:H8"/>
    <mergeCell ref="D9:F9"/>
    <mergeCell ref="D10:F10"/>
    <mergeCell ref="A22:I22"/>
    <mergeCell ref="E23:F23"/>
    <mergeCell ref="A19:A21"/>
    <mergeCell ref="B19:C19"/>
    <mergeCell ref="D19:E19"/>
    <mergeCell ref="F19:G19"/>
  </mergeCells>
  <printOptions horizontalCentered="1"/>
  <pageMargins left="0.25" right="0.25" top="0.25" bottom="0.25" header="0.511811023622047" footer="0.511811023622047"/>
  <pageSetup paperSize="9" scale="66" fitToHeight="2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D35A-581F-4969-A79B-88BE16292395}">
  <sheetPr>
    <pageSetUpPr fitToPage="1"/>
  </sheetPr>
  <dimension ref="A1:G50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I42" sqref="I42"/>
    </sheetView>
  </sheetViews>
  <sheetFormatPr baseColWidth="10" defaultColWidth="8.6640625" defaultRowHeight="14.4" x14ac:dyDescent="0.3"/>
  <cols>
    <col min="1" max="1" width="15" customWidth="1"/>
    <col min="2" max="2" width="28" customWidth="1"/>
    <col min="3" max="3" width="16" customWidth="1"/>
    <col min="4" max="4" width="15.6640625" customWidth="1"/>
    <col min="5" max="5" width="14" customWidth="1"/>
    <col min="6" max="6" width="25.44140625" customWidth="1"/>
    <col min="7" max="7" width="30" customWidth="1"/>
  </cols>
  <sheetData>
    <row r="1" spans="1:7" ht="24" customHeight="1" thickBot="1" x14ac:dyDescent="0.35">
      <c r="A1" s="267" t="s">
        <v>0</v>
      </c>
      <c r="B1" s="267"/>
      <c r="C1" s="267"/>
      <c r="D1" s="267"/>
      <c r="E1" s="267"/>
      <c r="F1" s="267"/>
      <c r="G1" s="267"/>
    </row>
    <row r="2" spans="1:7" ht="34.200000000000003" customHeight="1" thickBot="1" x14ac:dyDescent="0.35">
      <c r="A2" s="268" t="s">
        <v>542</v>
      </c>
      <c r="B2" s="268"/>
      <c r="C2" s="268"/>
      <c r="D2" s="268"/>
      <c r="E2" s="268"/>
      <c r="F2" s="268"/>
      <c r="G2" s="268"/>
    </row>
    <row r="3" spans="1:7" ht="38.4" customHeight="1" thickBot="1" x14ac:dyDescent="0.35">
      <c r="A3" s="267" t="s">
        <v>210</v>
      </c>
      <c r="B3" s="267"/>
      <c r="C3" s="267"/>
      <c r="D3" s="267"/>
      <c r="E3" s="267"/>
      <c r="F3" s="267"/>
      <c r="G3" s="267"/>
    </row>
    <row r="4" spans="1:7" ht="24" customHeight="1" thickBot="1" x14ac:dyDescent="0.35">
      <c r="A4" s="269" t="s">
        <v>415</v>
      </c>
      <c r="B4" s="269"/>
      <c r="C4" s="269"/>
      <c r="D4" s="269"/>
      <c r="E4" s="269"/>
      <c r="F4" s="269"/>
      <c r="G4" s="269"/>
    </row>
    <row r="5" spans="1:7" ht="30" customHeight="1" thickBot="1" x14ac:dyDescent="0.35">
      <c r="A5" s="294" t="s">
        <v>416</v>
      </c>
      <c r="B5" s="294"/>
      <c r="C5" s="294"/>
      <c r="D5" s="294"/>
      <c r="E5" s="294"/>
      <c r="F5" s="294"/>
      <c r="G5" s="294"/>
    </row>
    <row r="6" spans="1:7" s="94" customFormat="1" ht="25.8" customHeight="1" thickBot="1" x14ac:dyDescent="0.35">
      <c r="A6" s="295" t="s">
        <v>543</v>
      </c>
      <c r="B6" s="295"/>
      <c r="C6" s="295"/>
      <c r="D6" s="295"/>
      <c r="E6" s="295"/>
      <c r="F6" s="295"/>
      <c r="G6" s="295"/>
    </row>
    <row r="7" spans="1:7" s="45" customFormat="1" ht="18" customHeight="1" thickBot="1" x14ac:dyDescent="0.35">
      <c r="A7" s="296" t="s">
        <v>274</v>
      </c>
      <c r="B7" s="297"/>
      <c r="C7" s="297"/>
      <c r="D7" s="297"/>
      <c r="E7" s="297"/>
      <c r="F7" s="297"/>
      <c r="G7" s="298"/>
    </row>
    <row r="8" spans="1:7" s="45" customFormat="1" ht="18" customHeight="1" thickBot="1" x14ac:dyDescent="0.35">
      <c r="A8" s="97" t="s">
        <v>275</v>
      </c>
      <c r="B8" s="77"/>
      <c r="C8" s="299" t="s">
        <v>276</v>
      </c>
      <c r="D8" s="299"/>
      <c r="E8" s="300"/>
      <c r="F8" s="301"/>
      <c r="G8" s="302"/>
    </row>
    <row r="9" spans="1:7" s="45" customFormat="1" ht="30.6" customHeight="1" thickBot="1" x14ac:dyDescent="0.35">
      <c r="A9" s="98" t="s">
        <v>277</v>
      </c>
      <c r="B9" s="76"/>
      <c r="C9" s="303" t="s">
        <v>539</v>
      </c>
      <c r="D9" s="303"/>
      <c r="E9" s="300"/>
      <c r="F9" s="304"/>
      <c r="G9" s="99" t="s">
        <v>540</v>
      </c>
    </row>
    <row r="10" spans="1:7" s="45" customFormat="1" ht="18" customHeight="1" thickBot="1" x14ac:dyDescent="0.35">
      <c r="A10" s="285" t="s">
        <v>417</v>
      </c>
      <c r="B10" s="243"/>
      <c r="C10" s="286"/>
      <c r="D10" s="286"/>
      <c r="E10" s="243"/>
      <c r="F10" s="243"/>
      <c r="G10" s="293"/>
    </row>
    <row r="11" spans="1:7" s="45" customFormat="1" ht="33.6" customHeight="1" thickBot="1" x14ac:dyDescent="0.35">
      <c r="A11" s="283" t="s">
        <v>418</v>
      </c>
      <c r="B11" s="244"/>
      <c r="C11" s="244"/>
      <c r="D11" s="244"/>
      <c r="E11" s="244"/>
      <c r="F11" s="244"/>
      <c r="G11" s="284"/>
    </row>
    <row r="12" spans="1:7" s="45" customFormat="1" ht="31.8" thickBot="1" x14ac:dyDescent="0.35">
      <c r="A12" s="100" t="s">
        <v>289</v>
      </c>
      <c r="B12" s="79" t="s">
        <v>419</v>
      </c>
      <c r="C12" s="79" t="s">
        <v>420</v>
      </c>
      <c r="D12" s="79" t="s">
        <v>421</v>
      </c>
      <c r="E12" s="79" t="s">
        <v>422</v>
      </c>
      <c r="F12" s="79" t="s">
        <v>423</v>
      </c>
      <c r="G12" s="101" t="s">
        <v>424</v>
      </c>
    </row>
    <row r="13" spans="1:7" s="45" customFormat="1" ht="30" customHeight="1" thickBot="1" x14ac:dyDescent="0.35">
      <c r="A13" s="102" t="s">
        <v>93</v>
      </c>
      <c r="B13" s="80" t="s">
        <v>193</v>
      </c>
      <c r="C13" s="80"/>
      <c r="D13" s="80"/>
      <c r="E13" s="80"/>
      <c r="F13" s="80"/>
      <c r="G13" s="103"/>
    </row>
    <row r="14" spans="1:7" s="45" customFormat="1" ht="30" customHeight="1" thickBot="1" x14ac:dyDescent="0.35">
      <c r="A14" s="102" t="s">
        <v>21</v>
      </c>
      <c r="B14" s="80" t="s">
        <v>194</v>
      </c>
      <c r="C14" s="80"/>
      <c r="D14" s="80"/>
      <c r="E14" s="80"/>
      <c r="F14" s="80"/>
      <c r="G14" s="103"/>
    </row>
    <row r="15" spans="1:7" s="45" customFormat="1" ht="25.8" customHeight="1" thickBot="1" x14ac:dyDescent="0.35">
      <c r="A15" s="102" t="s">
        <v>26</v>
      </c>
      <c r="B15" s="80" t="s">
        <v>195</v>
      </c>
      <c r="C15" s="80"/>
      <c r="D15" s="80"/>
      <c r="E15" s="80"/>
      <c r="F15" s="80"/>
      <c r="G15" s="103"/>
    </row>
    <row r="16" spans="1:7" s="45" customFormat="1" ht="27" customHeight="1" thickBot="1" x14ac:dyDescent="0.35">
      <c r="A16" s="102" t="s">
        <v>186</v>
      </c>
      <c r="B16" s="80" t="s">
        <v>196</v>
      </c>
      <c r="C16" s="80"/>
      <c r="D16" s="80"/>
      <c r="E16" s="80"/>
      <c r="F16" s="80"/>
      <c r="G16" s="103"/>
    </row>
    <row r="17" spans="1:7" s="45" customFormat="1" ht="30" customHeight="1" thickBot="1" x14ac:dyDescent="0.35">
      <c r="A17" s="102" t="s">
        <v>74</v>
      </c>
      <c r="B17" s="80" t="s">
        <v>197</v>
      </c>
      <c r="C17" s="80"/>
      <c r="D17" s="80"/>
      <c r="E17" s="80"/>
      <c r="F17" s="80"/>
      <c r="G17" s="103"/>
    </row>
    <row r="18" spans="1:7" s="45" customFormat="1" ht="30" customHeight="1" thickBot="1" x14ac:dyDescent="0.35">
      <c r="A18" s="102" t="s">
        <v>30</v>
      </c>
      <c r="B18" s="80" t="s">
        <v>198</v>
      </c>
      <c r="C18" s="80"/>
      <c r="D18" s="80"/>
      <c r="E18" s="80"/>
      <c r="F18" s="80"/>
      <c r="G18" s="103"/>
    </row>
    <row r="19" spans="1:7" s="45" customFormat="1" ht="30" customHeight="1" thickBot="1" x14ac:dyDescent="0.35">
      <c r="A19" s="102" t="s">
        <v>91</v>
      </c>
      <c r="B19" s="80" t="s">
        <v>199</v>
      </c>
      <c r="C19" s="80"/>
      <c r="D19" s="80"/>
      <c r="E19" s="80"/>
      <c r="F19" s="80"/>
      <c r="G19" s="103"/>
    </row>
    <row r="20" spans="1:7" s="45" customFormat="1" ht="30" customHeight="1" thickBot="1" x14ac:dyDescent="0.35">
      <c r="A20" s="102" t="s">
        <v>191</v>
      </c>
      <c r="B20" s="80" t="s">
        <v>200</v>
      </c>
      <c r="C20" s="80"/>
      <c r="D20" s="80"/>
      <c r="E20" s="80"/>
      <c r="F20" s="80"/>
      <c r="G20" s="103"/>
    </row>
    <row r="21" spans="1:7" s="45" customFormat="1" ht="30" customHeight="1" thickBot="1" x14ac:dyDescent="0.35">
      <c r="A21" s="102" t="s">
        <v>156</v>
      </c>
      <c r="B21" s="80" t="s">
        <v>202</v>
      </c>
      <c r="C21" s="80"/>
      <c r="D21" s="80"/>
      <c r="E21" s="80"/>
      <c r="F21" s="80"/>
      <c r="G21" s="103"/>
    </row>
    <row r="22" spans="1:7" s="45" customFormat="1" ht="30" customHeight="1" thickBot="1" x14ac:dyDescent="0.35">
      <c r="A22" s="102" t="s">
        <v>183</v>
      </c>
      <c r="B22" s="80" t="s">
        <v>203</v>
      </c>
      <c r="C22" s="80"/>
      <c r="D22" s="80"/>
      <c r="E22" s="80"/>
      <c r="F22" s="80"/>
      <c r="G22" s="103"/>
    </row>
    <row r="23" spans="1:7" s="45" customFormat="1" ht="30" customHeight="1" thickBot="1" x14ac:dyDescent="0.35">
      <c r="A23" s="102" t="s">
        <v>47</v>
      </c>
      <c r="B23" s="80" t="s">
        <v>204</v>
      </c>
      <c r="C23" s="80"/>
      <c r="D23" s="80"/>
      <c r="E23" s="80"/>
      <c r="F23" s="80"/>
      <c r="G23" s="103"/>
    </row>
    <row r="24" spans="1:7" s="45" customFormat="1" ht="30" customHeight="1" thickBot="1" x14ac:dyDescent="0.35">
      <c r="A24" s="102" t="s">
        <v>40</v>
      </c>
      <c r="B24" s="80" t="s">
        <v>205</v>
      </c>
      <c r="C24" s="80"/>
      <c r="D24" s="80"/>
      <c r="E24" s="80"/>
      <c r="F24" s="80"/>
      <c r="G24" s="103"/>
    </row>
    <row r="25" spans="1:7" s="45" customFormat="1" ht="30" customHeight="1" thickBot="1" x14ac:dyDescent="0.35">
      <c r="A25" s="102" t="s">
        <v>45</v>
      </c>
      <c r="B25" s="80" t="s">
        <v>206</v>
      </c>
      <c r="C25" s="80"/>
      <c r="D25" s="80"/>
      <c r="E25" s="80"/>
      <c r="F25" s="80"/>
      <c r="G25" s="103"/>
    </row>
    <row r="26" spans="1:7" s="45" customFormat="1" ht="30" customHeight="1" thickBot="1" x14ac:dyDescent="0.35">
      <c r="A26" s="102" t="s">
        <v>61</v>
      </c>
      <c r="B26" s="80" t="s">
        <v>207</v>
      </c>
      <c r="C26" s="80"/>
      <c r="D26" s="80"/>
      <c r="E26" s="80"/>
      <c r="F26" s="80"/>
      <c r="G26" s="103"/>
    </row>
    <row r="27" spans="1:7" s="45" customFormat="1" ht="30" customHeight="1" thickBot="1" x14ac:dyDescent="0.35">
      <c r="A27" s="102" t="s">
        <v>49</v>
      </c>
      <c r="B27" s="80" t="s">
        <v>208</v>
      </c>
      <c r="C27" s="80"/>
      <c r="D27" s="80"/>
      <c r="E27" s="80"/>
      <c r="F27" s="80"/>
      <c r="G27" s="103"/>
    </row>
    <row r="28" spans="1:7" s="45" customFormat="1" ht="25.8" customHeight="1" thickBot="1" x14ac:dyDescent="0.35">
      <c r="A28" s="102" t="s">
        <v>185</v>
      </c>
      <c r="B28" s="80" t="s">
        <v>201</v>
      </c>
      <c r="C28" s="80"/>
      <c r="D28" s="80"/>
      <c r="E28" s="80"/>
      <c r="F28" s="80"/>
      <c r="G28" s="103"/>
    </row>
    <row r="29" spans="1:7" s="45" customFormat="1" ht="21" customHeight="1" thickBot="1" x14ac:dyDescent="0.35">
      <c r="A29" s="285" t="s">
        <v>425</v>
      </c>
      <c r="B29" s="243"/>
      <c r="C29" s="243"/>
      <c r="D29" s="286"/>
      <c r="E29" s="286"/>
      <c r="F29" s="286"/>
      <c r="G29" s="287"/>
    </row>
    <row r="30" spans="1:7" s="45" customFormat="1" ht="31.8" customHeight="1" thickBot="1" x14ac:dyDescent="0.35">
      <c r="A30" s="288" t="s">
        <v>426</v>
      </c>
      <c r="B30" s="289"/>
      <c r="C30" s="289"/>
      <c r="D30" s="289"/>
      <c r="E30" s="289"/>
      <c r="F30" s="289"/>
      <c r="G30" s="290"/>
    </row>
    <row r="31" spans="1:7" s="45" customFormat="1" ht="27.75" customHeight="1" thickBot="1" x14ac:dyDescent="0.35">
      <c r="A31" s="104" t="s">
        <v>289</v>
      </c>
      <c r="B31" s="79" t="s">
        <v>414</v>
      </c>
      <c r="C31" s="81" t="s">
        <v>427</v>
      </c>
      <c r="D31" s="79" t="s">
        <v>428</v>
      </c>
      <c r="E31" s="81" t="s">
        <v>429</v>
      </c>
      <c r="F31" s="79" t="s">
        <v>430</v>
      </c>
      <c r="G31" s="105" t="s">
        <v>431</v>
      </c>
    </row>
    <row r="32" spans="1:7" s="45" customFormat="1" ht="30.6" thickBot="1" x14ac:dyDescent="0.35">
      <c r="A32" s="106" t="s">
        <v>93</v>
      </c>
      <c r="B32" s="82" t="s">
        <v>432</v>
      </c>
      <c r="C32" s="93" t="s">
        <v>433</v>
      </c>
      <c r="D32" s="82"/>
      <c r="E32" s="83"/>
      <c r="F32" s="82" t="s">
        <v>434</v>
      </c>
      <c r="G32" s="107"/>
    </row>
    <row r="33" spans="1:7" s="45" customFormat="1" ht="30.6" thickBot="1" x14ac:dyDescent="0.35">
      <c r="A33" s="106" t="s">
        <v>21</v>
      </c>
      <c r="B33" s="82" t="s">
        <v>435</v>
      </c>
      <c r="C33" s="93" t="s">
        <v>433</v>
      </c>
      <c r="D33" s="82"/>
      <c r="E33" s="83"/>
      <c r="F33" s="82" t="s">
        <v>436</v>
      </c>
      <c r="G33" s="107"/>
    </row>
    <row r="34" spans="1:7" s="45" customFormat="1" ht="30.6" thickBot="1" x14ac:dyDescent="0.35">
      <c r="A34" s="106" t="s">
        <v>26</v>
      </c>
      <c r="B34" s="82" t="s">
        <v>437</v>
      </c>
      <c r="C34" s="93" t="s">
        <v>438</v>
      </c>
      <c r="D34" s="82"/>
      <c r="E34" s="83"/>
      <c r="F34" s="82" t="s">
        <v>439</v>
      </c>
      <c r="G34" s="107"/>
    </row>
    <row r="35" spans="1:7" s="45" customFormat="1" ht="30.6" thickBot="1" x14ac:dyDescent="0.35">
      <c r="A35" s="106" t="s">
        <v>186</v>
      </c>
      <c r="B35" s="82" t="s">
        <v>440</v>
      </c>
      <c r="C35" s="93" t="s">
        <v>441</v>
      </c>
      <c r="D35" s="82"/>
      <c r="E35" s="83"/>
      <c r="F35" s="82" t="s">
        <v>442</v>
      </c>
      <c r="G35" s="107"/>
    </row>
    <row r="36" spans="1:7" s="45" customFormat="1" ht="30.6" thickBot="1" x14ac:dyDescent="0.35">
      <c r="A36" s="106" t="s">
        <v>74</v>
      </c>
      <c r="B36" s="82" t="s">
        <v>443</v>
      </c>
      <c r="C36" s="93" t="s">
        <v>444</v>
      </c>
      <c r="D36" s="82"/>
      <c r="E36" s="83"/>
      <c r="F36" s="82" t="s">
        <v>445</v>
      </c>
      <c r="G36" s="107"/>
    </row>
    <row r="37" spans="1:7" s="45" customFormat="1" ht="30.6" thickBot="1" x14ac:dyDescent="0.35">
      <c r="A37" s="106" t="s">
        <v>30</v>
      </c>
      <c r="B37" s="82" t="s">
        <v>446</v>
      </c>
      <c r="C37" s="93" t="s">
        <v>289</v>
      </c>
      <c r="D37" s="82"/>
      <c r="E37" s="83"/>
      <c r="F37" s="82" t="s">
        <v>447</v>
      </c>
      <c r="G37" s="107"/>
    </row>
    <row r="38" spans="1:7" s="45" customFormat="1" ht="30.6" thickBot="1" x14ac:dyDescent="0.35">
      <c r="A38" s="106" t="s">
        <v>91</v>
      </c>
      <c r="B38" s="82" t="s">
        <v>448</v>
      </c>
      <c r="C38" s="93" t="s">
        <v>433</v>
      </c>
      <c r="D38" s="82"/>
      <c r="E38" s="83"/>
      <c r="F38" s="82" t="s">
        <v>449</v>
      </c>
      <c r="G38" s="107"/>
    </row>
    <row r="39" spans="1:7" s="45" customFormat="1" ht="30.6" thickBot="1" x14ac:dyDescent="0.35">
      <c r="A39" s="106" t="s">
        <v>191</v>
      </c>
      <c r="B39" s="82" t="s">
        <v>450</v>
      </c>
      <c r="C39" s="93" t="s">
        <v>451</v>
      </c>
      <c r="D39" s="82"/>
      <c r="E39" s="83"/>
      <c r="F39" s="82" t="s">
        <v>452</v>
      </c>
      <c r="G39" s="107"/>
    </row>
    <row r="40" spans="1:7" s="45" customFormat="1" ht="18" customHeight="1" thickBot="1" x14ac:dyDescent="0.35">
      <c r="A40" s="291" t="s">
        <v>453</v>
      </c>
      <c r="B40" s="246"/>
      <c r="C40" s="246"/>
      <c r="D40" s="246"/>
      <c r="E40" s="246"/>
      <c r="F40" s="246"/>
      <c r="G40" s="292"/>
    </row>
    <row r="41" spans="1:7" s="45" customFormat="1" ht="30.6" customHeight="1" thickBot="1" x14ac:dyDescent="0.35">
      <c r="A41" s="271" t="s">
        <v>541</v>
      </c>
      <c r="B41" s="272"/>
      <c r="C41" s="84"/>
      <c r="D41" s="85"/>
      <c r="E41" s="85"/>
      <c r="F41" s="85"/>
      <c r="G41" s="86"/>
    </row>
    <row r="42" spans="1:7" s="45" customFormat="1" ht="37.799999999999997" customHeight="1" thickBot="1" x14ac:dyDescent="0.35">
      <c r="A42" s="271" t="s">
        <v>454</v>
      </c>
      <c r="B42" s="272"/>
      <c r="C42" s="87"/>
      <c r="D42" s="88"/>
      <c r="E42" s="88"/>
      <c r="F42" s="88"/>
      <c r="G42" s="89"/>
    </row>
    <row r="43" spans="1:7" s="45" customFormat="1" ht="30.6" thickBot="1" x14ac:dyDescent="0.35">
      <c r="A43" s="281" t="s">
        <v>455</v>
      </c>
      <c r="B43" s="282"/>
      <c r="C43" s="95" t="s">
        <v>456</v>
      </c>
      <c r="D43" s="92" t="s">
        <v>457</v>
      </c>
      <c r="E43" s="92" t="s">
        <v>458</v>
      </c>
      <c r="F43" s="92" t="s">
        <v>459</v>
      </c>
      <c r="G43" s="278" t="s">
        <v>460</v>
      </c>
    </row>
    <row r="44" spans="1:7" s="45" customFormat="1" ht="45.6" thickBot="1" x14ac:dyDescent="0.35">
      <c r="A44" s="281" t="s">
        <v>461</v>
      </c>
      <c r="B44" s="282"/>
      <c r="C44" s="96" t="s">
        <v>462</v>
      </c>
      <c r="D44" s="90" t="s">
        <v>463</v>
      </c>
      <c r="E44" s="90" t="s">
        <v>464</v>
      </c>
      <c r="F44" s="91" t="s">
        <v>465</v>
      </c>
      <c r="G44" s="279"/>
    </row>
    <row r="45" spans="1:7" s="45" customFormat="1" ht="30.6" customHeight="1" thickBot="1" x14ac:dyDescent="0.35">
      <c r="A45" s="281" t="s">
        <v>466</v>
      </c>
      <c r="B45" s="282"/>
      <c r="C45" s="108" t="s">
        <v>312</v>
      </c>
      <c r="D45" s="109" t="s">
        <v>313</v>
      </c>
      <c r="E45" s="109" t="s">
        <v>314</v>
      </c>
      <c r="F45" s="110" t="s">
        <v>315</v>
      </c>
      <c r="G45" s="280"/>
    </row>
    <row r="46" spans="1:7" s="45" customFormat="1" ht="49.2" customHeight="1" thickBot="1" x14ac:dyDescent="0.35">
      <c r="A46" s="274" t="s">
        <v>272</v>
      </c>
      <c r="B46" s="275"/>
      <c r="C46" s="275"/>
      <c r="D46" s="275"/>
      <c r="E46" s="275"/>
      <c r="F46" s="275"/>
      <c r="G46" s="276"/>
    </row>
    <row r="47" spans="1:7" ht="19.5" customHeight="1" x14ac:dyDescent="0.3">
      <c r="A47" s="277"/>
      <c r="B47" s="277"/>
      <c r="C47" s="277"/>
      <c r="D47" s="277"/>
      <c r="E47" s="277"/>
      <c r="F47" s="277"/>
      <c r="G47" s="277"/>
    </row>
    <row r="48" spans="1:7" ht="19.5" customHeight="1" x14ac:dyDescent="0.3">
      <c r="A48" s="273"/>
      <c r="B48" s="273"/>
      <c r="C48" s="273"/>
      <c r="D48" s="273"/>
      <c r="E48" s="273"/>
      <c r="F48" s="273"/>
      <c r="G48" s="273"/>
    </row>
    <row r="49" spans="1:7" ht="19.5" customHeight="1" x14ac:dyDescent="0.3">
      <c r="A49" s="273"/>
      <c r="B49" s="273"/>
      <c r="C49" s="273"/>
      <c r="D49" s="273"/>
      <c r="E49" s="273"/>
      <c r="F49" s="273"/>
      <c r="G49" s="273"/>
    </row>
    <row r="50" spans="1:7" ht="19.5" customHeight="1" x14ac:dyDescent="0.3">
      <c r="A50" s="273"/>
      <c r="B50" s="273"/>
      <c r="C50" s="273"/>
      <c r="D50" s="273"/>
      <c r="E50" s="273"/>
      <c r="F50" s="273"/>
      <c r="G50" s="273"/>
    </row>
  </sheetData>
  <mergeCells count="27">
    <mergeCell ref="A10:G10"/>
    <mergeCell ref="A1:G1"/>
    <mergeCell ref="A2:G2"/>
    <mergeCell ref="A3:G3"/>
    <mergeCell ref="A4:G4"/>
    <mergeCell ref="A5:G5"/>
    <mergeCell ref="A6:G6"/>
    <mergeCell ref="A7:G7"/>
    <mergeCell ref="C8:D8"/>
    <mergeCell ref="E8:G8"/>
    <mergeCell ref="C9:D9"/>
    <mergeCell ref="E9:F9"/>
    <mergeCell ref="A11:G11"/>
    <mergeCell ref="A29:G29"/>
    <mergeCell ref="A30:G30"/>
    <mergeCell ref="A40:G40"/>
    <mergeCell ref="A41:B41"/>
    <mergeCell ref="A42:B42"/>
    <mergeCell ref="A49:G49"/>
    <mergeCell ref="A50:G50"/>
    <mergeCell ref="A46:G46"/>
    <mergeCell ref="A47:G47"/>
    <mergeCell ref="A48:G48"/>
    <mergeCell ref="G43:G45"/>
    <mergeCell ref="A43:B43"/>
    <mergeCell ref="A44:B44"/>
    <mergeCell ref="A45:B45"/>
  </mergeCells>
  <phoneticPr fontId="24" type="noConversion"/>
  <pageMargins left="0.75" right="0.75" top="0.1" bottom="0.1" header="0.511811023622047" footer="0.511811023622047"/>
  <pageSetup paperSize="9" scale="60" fitToHeight="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97"/>
  <sheetViews>
    <sheetView zoomScaleNormal="100" workbookViewId="0">
      <pane xSplit="1" ySplit="6" topLeftCell="B36" activePane="bottomRight" state="frozen"/>
      <selection pane="topRight" activeCell="B1" sqref="B1"/>
      <selection pane="bottomLeft" activeCell="A7" sqref="A7"/>
      <selection pane="bottomRight" activeCell="F36" sqref="F36:G39"/>
    </sheetView>
  </sheetViews>
  <sheetFormatPr baseColWidth="10" defaultColWidth="8.6640625" defaultRowHeight="14.4" x14ac:dyDescent="0.3"/>
  <cols>
    <col min="1" max="1" width="23.88671875" customWidth="1"/>
    <col min="2" max="2" width="21.21875" customWidth="1"/>
    <col min="3" max="3" width="22.88671875" customWidth="1"/>
    <col min="4" max="4" width="22.33203125" customWidth="1"/>
    <col min="5" max="5" width="20.21875" customWidth="1"/>
    <col min="6" max="6" width="16" customWidth="1"/>
    <col min="7" max="7" width="16.88671875" customWidth="1"/>
    <col min="8" max="8" width="30.5546875" customWidth="1"/>
  </cols>
  <sheetData>
    <row r="1" spans="1:8" ht="24" customHeight="1" thickBot="1" x14ac:dyDescent="0.35">
      <c r="A1" s="267" t="s">
        <v>0</v>
      </c>
      <c r="B1" s="267"/>
      <c r="C1" s="267"/>
      <c r="D1" s="267"/>
      <c r="E1" s="267"/>
      <c r="F1" s="267"/>
      <c r="G1" s="267"/>
      <c r="H1" s="267"/>
    </row>
    <row r="2" spans="1:8" ht="32.4" customHeight="1" thickBot="1" x14ac:dyDescent="0.35">
      <c r="A2" s="268" t="s">
        <v>209</v>
      </c>
      <c r="B2" s="268"/>
      <c r="C2" s="268"/>
      <c r="D2" s="268"/>
      <c r="E2" s="268"/>
      <c r="F2" s="268"/>
      <c r="G2" s="268"/>
      <c r="H2" s="268"/>
    </row>
    <row r="3" spans="1:8" ht="33" customHeight="1" thickBot="1" x14ac:dyDescent="0.35">
      <c r="A3" s="267" t="s">
        <v>210</v>
      </c>
      <c r="B3" s="267"/>
      <c r="C3" s="267"/>
      <c r="D3" s="267"/>
      <c r="E3" s="267"/>
      <c r="F3" s="267"/>
      <c r="G3" s="267"/>
      <c r="H3" s="267"/>
    </row>
    <row r="4" spans="1:8" ht="24" customHeight="1" thickBot="1" x14ac:dyDescent="0.35">
      <c r="A4" s="269" t="s">
        <v>467</v>
      </c>
      <c r="B4" s="269"/>
      <c r="C4" s="269"/>
      <c r="D4" s="269"/>
      <c r="E4" s="269"/>
      <c r="F4" s="269"/>
      <c r="G4" s="269"/>
      <c r="H4" s="269"/>
    </row>
    <row r="5" spans="1:8" ht="30" customHeight="1" thickBot="1" x14ac:dyDescent="0.35">
      <c r="A5" s="294" t="s">
        <v>468</v>
      </c>
      <c r="B5" s="294"/>
      <c r="C5" s="294"/>
      <c r="D5" s="294"/>
      <c r="E5" s="294"/>
      <c r="F5" s="294"/>
      <c r="G5" s="294"/>
      <c r="H5" s="294"/>
    </row>
    <row r="6" spans="1:8" ht="24.6" customHeight="1" thickBot="1" x14ac:dyDescent="0.35">
      <c r="A6" s="335" t="s">
        <v>549</v>
      </c>
      <c r="B6" s="336"/>
      <c r="C6" s="336"/>
      <c r="D6" s="336"/>
      <c r="E6" s="336"/>
      <c r="F6" s="336"/>
      <c r="G6" s="336"/>
      <c r="H6" s="336"/>
    </row>
    <row r="7" spans="1:8" s="45" customFormat="1" ht="36" customHeight="1" thickBot="1" x14ac:dyDescent="0.35">
      <c r="A7" s="337" t="s">
        <v>274</v>
      </c>
      <c r="B7" s="338"/>
      <c r="C7" s="338"/>
      <c r="D7" s="338"/>
      <c r="E7" s="338"/>
      <c r="F7" s="338"/>
      <c r="G7" s="338"/>
      <c r="H7" s="339"/>
    </row>
    <row r="8" spans="1:8" s="45" customFormat="1" ht="36" customHeight="1" thickBot="1" x14ac:dyDescent="0.35">
      <c r="A8" s="76" t="s">
        <v>527</v>
      </c>
      <c r="B8" s="77"/>
      <c r="C8" s="118" t="s">
        <v>276</v>
      </c>
      <c r="D8" s="300"/>
      <c r="E8" s="301"/>
      <c r="F8" s="304"/>
      <c r="G8" s="76" t="s">
        <v>277</v>
      </c>
      <c r="H8" s="77"/>
    </row>
    <row r="9" spans="1:8" s="45" customFormat="1" ht="36" customHeight="1" thickBot="1" x14ac:dyDescent="0.35">
      <c r="A9" s="78" t="s">
        <v>519</v>
      </c>
      <c r="B9" s="305" t="str">
        <f>IFERROR(VLOOKUP(#REF!,'Bloques V4'!$A$2:$H$128,2,FALSE()),"")</f>
        <v/>
      </c>
      <c r="C9" s="305"/>
      <c r="D9" s="306" t="s">
        <v>521</v>
      </c>
      <c r="E9" s="307"/>
      <c r="F9" s="308"/>
      <c r="G9" s="309"/>
      <c r="H9" s="310"/>
    </row>
    <row r="10" spans="1:8" s="45" customFormat="1" ht="36" customHeight="1" thickBot="1" x14ac:dyDescent="0.35">
      <c r="A10" s="243" t="s">
        <v>469</v>
      </c>
      <c r="B10" s="243"/>
      <c r="C10" s="243"/>
      <c r="D10" s="243"/>
      <c r="E10" s="243"/>
      <c r="F10" s="243"/>
      <c r="G10" s="243"/>
      <c r="H10" s="243"/>
    </row>
    <row r="11" spans="1:8" s="45" customFormat="1" ht="49.2" customHeight="1" thickBot="1" x14ac:dyDescent="0.35">
      <c r="A11" s="334" t="s">
        <v>470</v>
      </c>
      <c r="B11" s="334"/>
      <c r="C11" s="334"/>
      <c r="D11" s="334"/>
      <c r="E11" s="334"/>
      <c r="F11" s="334"/>
      <c r="G11" s="334"/>
      <c r="H11" s="334"/>
    </row>
    <row r="12" spans="1:8" s="45" customFormat="1" ht="36" customHeight="1" thickBot="1" x14ac:dyDescent="0.35">
      <c r="A12" s="79" t="s">
        <v>289</v>
      </c>
      <c r="B12" s="79" t="s">
        <v>471</v>
      </c>
      <c r="C12" s="79" t="s">
        <v>409</v>
      </c>
      <c r="D12" s="79" t="s">
        <v>410</v>
      </c>
      <c r="E12" s="79" t="s">
        <v>472</v>
      </c>
      <c r="F12" s="79" t="s">
        <v>473</v>
      </c>
      <c r="G12" s="79" t="s">
        <v>474</v>
      </c>
      <c r="H12" s="79" t="s">
        <v>475</v>
      </c>
    </row>
    <row r="13" spans="1:8" s="45" customFormat="1" ht="36" customHeight="1" thickBot="1" x14ac:dyDescent="0.35">
      <c r="A13" s="111" t="s">
        <v>93</v>
      </c>
      <c r="B13" s="82"/>
      <c r="C13" s="82"/>
      <c r="D13" s="82"/>
      <c r="E13" s="82"/>
      <c r="F13" s="82"/>
      <c r="G13" s="82"/>
      <c r="H13" s="82"/>
    </row>
    <row r="14" spans="1:8" s="45" customFormat="1" ht="36" customHeight="1" thickBot="1" x14ac:dyDescent="0.35">
      <c r="A14" s="111" t="s">
        <v>21</v>
      </c>
      <c r="B14" s="82"/>
      <c r="C14" s="82"/>
      <c r="D14" s="82"/>
      <c r="E14" s="82"/>
      <c r="F14" s="82"/>
      <c r="G14" s="82"/>
      <c r="H14" s="82"/>
    </row>
    <row r="15" spans="1:8" s="45" customFormat="1" ht="36" customHeight="1" thickBot="1" x14ac:dyDescent="0.35">
      <c r="A15" s="111" t="s">
        <v>26</v>
      </c>
      <c r="B15" s="82"/>
      <c r="C15" s="82"/>
      <c r="D15" s="82"/>
      <c r="E15" s="82"/>
      <c r="F15" s="82"/>
      <c r="G15" s="82"/>
      <c r="H15" s="82"/>
    </row>
    <row r="16" spans="1:8" s="45" customFormat="1" ht="36" customHeight="1" thickBot="1" x14ac:dyDescent="0.35">
      <c r="A16" s="111" t="s">
        <v>186</v>
      </c>
      <c r="B16" s="82"/>
      <c r="C16" s="82"/>
      <c r="D16" s="82"/>
      <c r="E16" s="82"/>
      <c r="F16" s="82"/>
      <c r="G16" s="82"/>
      <c r="H16" s="82"/>
    </row>
    <row r="17" spans="1:8" s="45" customFormat="1" ht="36" customHeight="1" thickBot="1" x14ac:dyDescent="0.35">
      <c r="A17" s="111" t="s">
        <v>74</v>
      </c>
      <c r="B17" s="82"/>
      <c r="C17" s="82"/>
      <c r="D17" s="82"/>
      <c r="E17" s="82"/>
      <c r="F17" s="82"/>
      <c r="G17" s="82"/>
      <c r="H17" s="82"/>
    </row>
    <row r="18" spans="1:8" s="45" customFormat="1" ht="36" customHeight="1" thickBot="1" x14ac:dyDescent="0.35">
      <c r="A18" s="111" t="s">
        <v>30</v>
      </c>
      <c r="B18" s="82"/>
      <c r="C18" s="82"/>
      <c r="D18" s="82"/>
      <c r="E18" s="82"/>
      <c r="F18" s="82"/>
      <c r="G18" s="82"/>
      <c r="H18" s="82"/>
    </row>
    <row r="19" spans="1:8" s="45" customFormat="1" ht="36" customHeight="1" thickBot="1" x14ac:dyDescent="0.35">
      <c r="A19" s="111" t="s">
        <v>91</v>
      </c>
      <c r="B19" s="82"/>
      <c r="C19" s="82"/>
      <c r="D19" s="82"/>
      <c r="E19" s="82"/>
      <c r="F19" s="82"/>
      <c r="G19" s="82"/>
      <c r="H19" s="82"/>
    </row>
    <row r="20" spans="1:8" s="45" customFormat="1" ht="36" customHeight="1" thickBot="1" x14ac:dyDescent="0.35">
      <c r="A20" s="111" t="s">
        <v>191</v>
      </c>
      <c r="B20" s="82"/>
      <c r="C20" s="82"/>
      <c r="D20" s="82"/>
      <c r="E20" s="82"/>
      <c r="F20" s="82"/>
      <c r="G20" s="82"/>
      <c r="H20" s="82"/>
    </row>
    <row r="21" spans="1:8" s="45" customFormat="1" ht="36" customHeight="1" x14ac:dyDescent="0.3">
      <c r="A21" s="247" t="s">
        <v>476</v>
      </c>
      <c r="B21" s="247"/>
      <c r="C21" s="247"/>
      <c r="D21" s="247"/>
      <c r="E21" s="247"/>
      <c r="F21" s="247"/>
      <c r="G21" s="247"/>
      <c r="H21" s="247"/>
    </row>
    <row r="22" spans="1:8" s="45" customFormat="1" ht="30" customHeight="1" x14ac:dyDescent="0.3">
      <c r="A22" s="348" t="s">
        <v>477</v>
      </c>
      <c r="B22" s="348"/>
      <c r="C22" s="348"/>
      <c r="D22" s="115" t="s">
        <v>266</v>
      </c>
      <c r="E22" s="332" t="s">
        <v>267</v>
      </c>
      <c r="F22" s="332"/>
      <c r="G22" s="340"/>
      <c r="H22" s="341"/>
    </row>
    <row r="23" spans="1:8" s="45" customFormat="1" ht="30" customHeight="1" x14ac:dyDescent="0.3">
      <c r="A23" s="348" t="s">
        <v>478</v>
      </c>
      <c r="B23" s="348"/>
      <c r="C23" s="348"/>
      <c r="D23" s="115" t="s">
        <v>266</v>
      </c>
      <c r="E23" s="332" t="s">
        <v>267</v>
      </c>
      <c r="F23" s="332"/>
      <c r="G23" s="332"/>
      <c r="H23" s="332"/>
    </row>
    <row r="24" spans="1:8" s="45" customFormat="1" ht="30" customHeight="1" x14ac:dyDescent="0.3">
      <c r="A24" s="348" t="s">
        <v>479</v>
      </c>
      <c r="B24" s="348"/>
      <c r="C24" s="348"/>
      <c r="D24" s="115" t="s">
        <v>266</v>
      </c>
      <c r="E24" s="332" t="s">
        <v>267</v>
      </c>
      <c r="F24" s="332"/>
      <c r="G24" s="332"/>
      <c r="H24" s="332"/>
    </row>
    <row r="25" spans="1:8" s="45" customFormat="1" ht="30" customHeight="1" x14ac:dyDescent="0.3">
      <c r="A25" s="342" t="s">
        <v>480</v>
      </c>
      <c r="B25" s="343"/>
      <c r="C25" s="344"/>
      <c r="D25" s="123"/>
      <c r="E25" s="327" t="s">
        <v>481</v>
      </c>
      <c r="F25" s="327"/>
      <c r="G25" s="340"/>
      <c r="H25" s="341"/>
    </row>
    <row r="26" spans="1:8" s="45" customFormat="1" ht="30" customHeight="1" x14ac:dyDescent="0.3">
      <c r="A26" s="348" t="s">
        <v>482</v>
      </c>
      <c r="B26" s="348"/>
      <c r="C26" s="348"/>
      <c r="D26" s="115" t="s">
        <v>266</v>
      </c>
      <c r="E26" s="332" t="s">
        <v>267</v>
      </c>
      <c r="F26" s="332"/>
      <c r="G26" s="340"/>
      <c r="H26" s="341"/>
    </row>
    <row r="27" spans="1:8" s="45" customFormat="1" ht="30" customHeight="1" x14ac:dyDescent="0.3">
      <c r="A27" s="348" t="s">
        <v>483</v>
      </c>
      <c r="B27" s="348"/>
      <c r="C27" s="348"/>
      <c r="D27" s="331"/>
      <c r="E27" s="331"/>
      <c r="F27" s="331"/>
      <c r="G27" s="331"/>
      <c r="H27" s="331"/>
    </row>
    <row r="28" spans="1:8" s="45" customFormat="1" ht="36" customHeight="1" x14ac:dyDescent="0.3">
      <c r="A28" s="333" t="s">
        <v>484</v>
      </c>
      <c r="B28" s="333"/>
      <c r="C28" s="333"/>
      <c r="D28" s="333"/>
      <c r="E28" s="333"/>
      <c r="F28" s="333"/>
      <c r="G28" s="333"/>
      <c r="H28" s="333"/>
    </row>
    <row r="29" spans="1:8" s="45" customFormat="1" ht="36" customHeight="1" x14ac:dyDescent="0.3">
      <c r="A29" s="327" t="s">
        <v>485</v>
      </c>
      <c r="B29" s="327"/>
      <c r="C29" s="327"/>
      <c r="D29" s="325" t="s">
        <v>486</v>
      </c>
      <c r="E29" s="326"/>
      <c r="F29" s="325" t="s">
        <v>487</v>
      </c>
      <c r="G29" s="326"/>
      <c r="H29" s="114" t="s">
        <v>488</v>
      </c>
    </row>
    <row r="30" spans="1:8" s="45" customFormat="1" ht="36" customHeight="1" x14ac:dyDescent="0.3">
      <c r="A30" s="327"/>
      <c r="B30" s="327"/>
      <c r="C30" s="327"/>
      <c r="D30" s="325" t="s">
        <v>489</v>
      </c>
      <c r="E30" s="326"/>
      <c r="F30" s="325" t="s">
        <v>490</v>
      </c>
      <c r="G30" s="326"/>
      <c r="H30" s="114" t="s">
        <v>491</v>
      </c>
    </row>
    <row r="31" spans="1:8" s="45" customFormat="1" ht="29.4" customHeight="1" x14ac:dyDescent="0.3">
      <c r="A31" s="327" t="s">
        <v>492</v>
      </c>
      <c r="B31" s="327"/>
      <c r="C31" s="327"/>
      <c r="D31" s="331"/>
      <c r="E31" s="331"/>
      <c r="F31" s="331"/>
      <c r="G31" s="331"/>
      <c r="H31" s="331"/>
    </row>
    <row r="32" spans="1:8" s="45" customFormat="1" ht="45.6" customHeight="1" thickBot="1" x14ac:dyDescent="0.35">
      <c r="A32" s="78" t="s">
        <v>493</v>
      </c>
      <c r="B32" s="116" t="s">
        <v>494</v>
      </c>
      <c r="C32" s="116" t="s">
        <v>495</v>
      </c>
      <c r="D32" s="116" t="s">
        <v>496</v>
      </c>
      <c r="E32" s="116" t="s">
        <v>497</v>
      </c>
      <c r="F32" s="116" t="s">
        <v>498</v>
      </c>
      <c r="G32" s="116" t="s">
        <v>499</v>
      </c>
      <c r="H32" s="117" t="s">
        <v>500</v>
      </c>
    </row>
    <row r="33" spans="1:8" s="45" customFormat="1" ht="36" customHeight="1" thickBot="1" x14ac:dyDescent="0.35">
      <c r="A33" s="76" t="s">
        <v>501</v>
      </c>
      <c r="B33" s="328" t="s">
        <v>502</v>
      </c>
      <c r="C33" s="329"/>
      <c r="D33" s="330" t="s">
        <v>503</v>
      </c>
      <c r="E33" s="329"/>
      <c r="F33" s="330" t="s">
        <v>504</v>
      </c>
      <c r="G33" s="329"/>
      <c r="H33" s="113"/>
    </row>
    <row r="34" spans="1:8" s="45" customFormat="1" ht="36" customHeight="1" thickBot="1" x14ac:dyDescent="0.35">
      <c r="A34" s="76" t="s">
        <v>505</v>
      </c>
      <c r="B34" s="328" t="s">
        <v>502</v>
      </c>
      <c r="C34" s="329"/>
      <c r="D34" s="330" t="s">
        <v>503</v>
      </c>
      <c r="E34" s="329"/>
      <c r="F34" s="330" t="s">
        <v>504</v>
      </c>
      <c r="G34" s="329"/>
      <c r="H34" s="113"/>
    </row>
    <row r="35" spans="1:8" s="45" customFormat="1" ht="36" customHeight="1" thickBot="1" x14ac:dyDescent="0.35">
      <c r="A35" s="76" t="s">
        <v>506</v>
      </c>
      <c r="B35" s="311"/>
      <c r="C35" s="312"/>
      <c r="D35" s="313" t="s">
        <v>507</v>
      </c>
      <c r="E35" s="314"/>
      <c r="F35" s="315"/>
      <c r="G35" s="314"/>
      <c r="H35" s="113"/>
    </row>
    <row r="36" spans="1:8" s="45" customFormat="1" ht="36" customHeight="1" thickBot="1" x14ac:dyDescent="0.35">
      <c r="A36" s="76" t="s">
        <v>508</v>
      </c>
      <c r="B36" s="124" t="s">
        <v>509</v>
      </c>
      <c r="C36" s="124" t="s">
        <v>510</v>
      </c>
      <c r="D36" s="112" t="s">
        <v>511</v>
      </c>
      <c r="E36" s="125" t="s">
        <v>512</v>
      </c>
      <c r="F36" s="319" t="s">
        <v>513</v>
      </c>
      <c r="G36" s="320"/>
      <c r="H36" s="119" t="s">
        <v>544</v>
      </c>
    </row>
    <row r="37" spans="1:8" s="45" customFormat="1" ht="36" customHeight="1" thickBot="1" x14ac:dyDescent="0.35">
      <c r="A37" s="316" t="s">
        <v>514</v>
      </c>
      <c r="B37" s="317"/>
      <c r="C37" s="112" t="s">
        <v>266</v>
      </c>
      <c r="D37" s="112" t="s">
        <v>267</v>
      </c>
      <c r="E37" s="126"/>
      <c r="F37" s="321"/>
      <c r="G37" s="322"/>
      <c r="H37" s="119" t="s">
        <v>545</v>
      </c>
    </row>
    <row r="38" spans="1:8" s="45" customFormat="1" ht="49.2" customHeight="1" thickBot="1" x14ac:dyDescent="0.35">
      <c r="A38" s="316" t="s">
        <v>515</v>
      </c>
      <c r="B38" s="317"/>
      <c r="C38" s="127" t="s">
        <v>266</v>
      </c>
      <c r="D38" s="127" t="s">
        <v>267</v>
      </c>
      <c r="E38" s="128"/>
      <c r="F38" s="321"/>
      <c r="G38" s="322"/>
      <c r="H38" s="119" t="s">
        <v>546</v>
      </c>
    </row>
    <row r="39" spans="1:8" s="45" customFormat="1" ht="48" customHeight="1" thickBot="1" x14ac:dyDescent="0.35">
      <c r="A39" s="316" t="s">
        <v>516</v>
      </c>
      <c r="B39" s="318"/>
      <c r="C39" s="345"/>
      <c r="D39" s="346"/>
      <c r="E39" s="347"/>
      <c r="F39" s="323"/>
      <c r="G39" s="324"/>
      <c r="H39" s="119" t="s">
        <v>547</v>
      </c>
    </row>
    <row r="40" spans="1:8" s="45" customFormat="1" ht="36" customHeight="1" thickBot="1" x14ac:dyDescent="0.35">
      <c r="A40" s="120" t="s">
        <v>272</v>
      </c>
      <c r="B40" s="121"/>
      <c r="C40" s="122"/>
      <c r="D40" s="122"/>
      <c r="E40" s="122"/>
      <c r="F40" s="122"/>
      <c r="G40" s="122"/>
      <c r="H40" s="113" t="s">
        <v>548</v>
      </c>
    </row>
    <row r="41" spans="1:8" ht="19.5" customHeight="1" x14ac:dyDescent="0.3">
      <c r="A41" s="277"/>
      <c r="B41" s="277"/>
      <c r="C41" s="277"/>
      <c r="D41" s="277"/>
      <c r="E41" s="277"/>
      <c r="F41" s="277"/>
      <c r="G41" s="277"/>
      <c r="H41" s="277"/>
    </row>
    <row r="42" spans="1:8" ht="19.5" customHeight="1" x14ac:dyDescent="0.3">
      <c r="A42" s="273"/>
      <c r="B42" s="273"/>
      <c r="C42" s="273"/>
      <c r="D42" s="273"/>
      <c r="E42" s="273"/>
      <c r="F42" s="273"/>
      <c r="G42" s="273"/>
      <c r="H42" s="273"/>
    </row>
    <row r="43" spans="1:8" ht="19.5" customHeight="1" x14ac:dyDescent="0.3">
      <c r="A43" s="273"/>
      <c r="B43" s="273"/>
      <c r="C43" s="273"/>
      <c r="D43" s="273"/>
      <c r="E43" s="273"/>
      <c r="F43" s="273"/>
      <c r="G43" s="273"/>
      <c r="H43" s="273"/>
    </row>
    <row r="44" spans="1:8" ht="19.5" customHeight="1" x14ac:dyDescent="0.3">
      <c r="A44" s="273"/>
      <c r="B44" s="273"/>
      <c r="C44" s="273"/>
      <c r="D44" s="273"/>
      <c r="E44" s="273"/>
      <c r="F44" s="273"/>
      <c r="G44" s="273"/>
      <c r="H44" s="273"/>
    </row>
    <row r="45" spans="1:8" x14ac:dyDescent="0.3">
      <c r="A45" s="25"/>
      <c r="B45" s="25"/>
      <c r="C45" s="25"/>
      <c r="D45" s="25"/>
      <c r="E45" s="25"/>
      <c r="F45" s="25"/>
      <c r="G45" s="25"/>
      <c r="H45" s="25"/>
    </row>
    <row r="46" spans="1:8" x14ac:dyDescent="0.3">
      <c r="A46" s="25"/>
      <c r="B46" s="25"/>
      <c r="C46" s="25"/>
      <c r="D46" s="25"/>
      <c r="E46" s="25"/>
      <c r="F46" s="25"/>
      <c r="G46" s="25"/>
      <c r="H46" s="25"/>
    </row>
    <row r="47" spans="1:8" x14ac:dyDescent="0.3">
      <c r="A47" s="25"/>
      <c r="B47" s="25"/>
      <c r="C47" s="25"/>
      <c r="D47" s="25"/>
      <c r="E47" s="25"/>
      <c r="F47" s="25"/>
      <c r="G47" s="25"/>
      <c r="H47" s="25"/>
    </row>
    <row r="48" spans="1:8" x14ac:dyDescent="0.3">
      <c r="A48" s="25"/>
      <c r="B48" s="25"/>
      <c r="C48" s="25"/>
      <c r="D48" s="25"/>
      <c r="E48" s="25"/>
      <c r="F48" s="25"/>
      <c r="G48" s="25"/>
      <c r="H48" s="25"/>
    </row>
    <row r="49" spans="1:8" x14ac:dyDescent="0.3">
      <c r="A49" s="25"/>
      <c r="B49" s="25"/>
      <c r="C49" s="25"/>
      <c r="D49" s="25"/>
      <c r="E49" s="25"/>
      <c r="F49" s="25"/>
      <c r="G49" s="25"/>
      <c r="H49" s="25"/>
    </row>
    <row r="50" spans="1:8" x14ac:dyDescent="0.3">
      <c r="A50" s="25"/>
      <c r="B50" s="25"/>
      <c r="C50" s="25"/>
      <c r="D50" s="25"/>
      <c r="E50" s="25"/>
      <c r="F50" s="25"/>
      <c r="G50" s="25"/>
      <c r="H50" s="25"/>
    </row>
    <row r="51" spans="1:8" x14ac:dyDescent="0.3">
      <c r="A51" s="25"/>
      <c r="B51" s="25"/>
      <c r="C51" s="25"/>
      <c r="D51" s="25"/>
      <c r="E51" s="25"/>
      <c r="F51" s="25"/>
      <c r="G51" s="25"/>
      <c r="H51" s="25"/>
    </row>
    <row r="52" spans="1:8" x14ac:dyDescent="0.3">
      <c r="A52" s="25"/>
      <c r="B52" s="25"/>
      <c r="C52" s="25"/>
      <c r="D52" s="25"/>
      <c r="E52" s="25"/>
      <c r="F52" s="25"/>
      <c r="G52" s="25"/>
      <c r="H52" s="25"/>
    </row>
    <row r="53" spans="1:8" x14ac:dyDescent="0.3">
      <c r="A53" s="25"/>
      <c r="B53" s="25"/>
      <c r="C53" s="25"/>
      <c r="D53" s="25"/>
      <c r="E53" s="25"/>
      <c r="F53" s="25"/>
      <c r="G53" s="25"/>
      <c r="H53" s="25"/>
    </row>
    <row r="54" spans="1:8" x14ac:dyDescent="0.3">
      <c r="A54" s="25"/>
      <c r="B54" s="25"/>
      <c r="C54" s="25"/>
      <c r="D54" s="25"/>
      <c r="E54" s="25"/>
      <c r="F54" s="25"/>
      <c r="G54" s="25"/>
      <c r="H54" s="25"/>
    </row>
    <row r="55" spans="1:8" x14ac:dyDescent="0.3">
      <c r="A55" s="25"/>
      <c r="B55" s="25"/>
      <c r="C55" s="25"/>
      <c r="D55" s="25"/>
      <c r="E55" s="25"/>
      <c r="F55" s="25"/>
      <c r="G55" s="25"/>
      <c r="H55" s="25"/>
    </row>
    <row r="56" spans="1:8" x14ac:dyDescent="0.3">
      <c r="A56" s="25"/>
      <c r="B56" s="25"/>
      <c r="C56" s="25"/>
      <c r="D56" s="25"/>
      <c r="E56" s="25"/>
      <c r="F56" s="25"/>
      <c r="G56" s="25"/>
      <c r="H56" s="25"/>
    </row>
    <row r="57" spans="1:8" x14ac:dyDescent="0.3">
      <c r="A57" s="25"/>
      <c r="B57" s="25"/>
      <c r="C57" s="25"/>
      <c r="D57" s="25"/>
      <c r="E57" s="25"/>
      <c r="F57" s="25"/>
      <c r="G57" s="25"/>
      <c r="H57" s="25"/>
    </row>
    <row r="58" spans="1:8" x14ac:dyDescent="0.3">
      <c r="A58" s="25"/>
      <c r="B58" s="25"/>
      <c r="C58" s="25"/>
      <c r="D58" s="25"/>
      <c r="E58" s="25"/>
      <c r="F58" s="25"/>
      <c r="G58" s="25"/>
      <c r="H58" s="25"/>
    </row>
    <row r="59" spans="1:8" x14ac:dyDescent="0.3">
      <c r="A59" s="25"/>
      <c r="B59" s="25"/>
      <c r="C59" s="25"/>
      <c r="D59" s="25"/>
      <c r="E59" s="25"/>
      <c r="F59" s="25"/>
      <c r="G59" s="25"/>
      <c r="H59" s="25"/>
    </row>
    <row r="60" spans="1:8" x14ac:dyDescent="0.3">
      <c r="A60" s="25"/>
      <c r="B60" s="25"/>
      <c r="C60" s="25"/>
      <c r="D60" s="25"/>
      <c r="E60" s="25"/>
      <c r="F60" s="25"/>
      <c r="G60" s="25"/>
      <c r="H60" s="25"/>
    </row>
    <row r="61" spans="1:8" x14ac:dyDescent="0.3">
      <c r="A61" s="25"/>
      <c r="B61" s="25"/>
      <c r="C61" s="25"/>
      <c r="D61" s="25"/>
      <c r="E61" s="25"/>
      <c r="F61" s="25"/>
      <c r="G61" s="25"/>
      <c r="H61" s="25"/>
    </row>
    <row r="62" spans="1:8" x14ac:dyDescent="0.3">
      <c r="A62" s="25"/>
      <c r="B62" s="25"/>
      <c r="C62" s="25"/>
      <c r="D62" s="25"/>
      <c r="E62" s="25"/>
      <c r="F62" s="25"/>
      <c r="G62" s="25"/>
      <c r="H62" s="25"/>
    </row>
    <row r="63" spans="1:8" x14ac:dyDescent="0.3">
      <c r="A63" s="25"/>
      <c r="B63" s="25"/>
      <c r="C63" s="25"/>
      <c r="D63" s="25"/>
      <c r="E63" s="25"/>
      <c r="F63" s="25"/>
      <c r="G63" s="25"/>
      <c r="H63" s="25"/>
    </row>
    <row r="64" spans="1:8" x14ac:dyDescent="0.3">
      <c r="A64" s="25"/>
      <c r="B64" s="25"/>
      <c r="C64" s="25"/>
      <c r="D64" s="25"/>
      <c r="E64" s="25"/>
      <c r="F64" s="25"/>
      <c r="G64" s="25"/>
      <c r="H64" s="25"/>
    </row>
    <row r="65" spans="1:8" x14ac:dyDescent="0.3">
      <c r="A65" s="25"/>
      <c r="B65" s="25"/>
      <c r="C65" s="25"/>
      <c r="D65" s="25"/>
      <c r="E65" s="25"/>
      <c r="F65" s="25"/>
      <c r="G65" s="25"/>
      <c r="H65" s="25"/>
    </row>
    <row r="66" spans="1:8" x14ac:dyDescent="0.3">
      <c r="A66" s="25"/>
      <c r="B66" s="25"/>
      <c r="C66" s="25"/>
      <c r="D66" s="25"/>
      <c r="E66" s="25"/>
      <c r="F66" s="25"/>
      <c r="G66" s="25"/>
      <c r="H66" s="25"/>
    </row>
    <row r="67" spans="1:8" x14ac:dyDescent="0.3">
      <c r="A67" s="25"/>
      <c r="B67" s="25"/>
      <c r="C67" s="25"/>
      <c r="D67" s="25"/>
      <c r="E67" s="25"/>
      <c r="F67" s="25"/>
      <c r="G67" s="25"/>
      <c r="H67" s="25"/>
    </row>
    <row r="68" spans="1:8" x14ac:dyDescent="0.3">
      <c r="A68" s="25"/>
      <c r="B68" s="25"/>
      <c r="C68" s="25"/>
      <c r="D68" s="25"/>
      <c r="E68" s="25"/>
      <c r="F68" s="25"/>
      <c r="G68" s="25"/>
      <c r="H68" s="25"/>
    </row>
    <row r="69" spans="1:8" x14ac:dyDescent="0.3">
      <c r="A69" s="25"/>
      <c r="B69" s="25"/>
      <c r="C69" s="25"/>
      <c r="D69" s="25"/>
      <c r="E69" s="25"/>
      <c r="F69" s="25"/>
      <c r="G69" s="25"/>
      <c r="H69" s="25"/>
    </row>
    <row r="70" spans="1:8" x14ac:dyDescent="0.3">
      <c r="A70" s="25"/>
      <c r="B70" s="25"/>
      <c r="C70" s="25"/>
      <c r="D70" s="25"/>
      <c r="E70" s="25"/>
      <c r="F70" s="25"/>
      <c r="G70" s="25"/>
      <c r="H70" s="25"/>
    </row>
    <row r="71" spans="1:8" x14ac:dyDescent="0.3">
      <c r="A71" s="25"/>
      <c r="B71" s="25"/>
      <c r="C71" s="25"/>
      <c r="D71" s="25"/>
      <c r="E71" s="25"/>
      <c r="F71" s="25"/>
      <c r="G71" s="25"/>
      <c r="H71" s="25"/>
    </row>
    <row r="72" spans="1:8" x14ac:dyDescent="0.3">
      <c r="A72" s="25"/>
      <c r="B72" s="25"/>
      <c r="C72" s="25"/>
      <c r="D72" s="25"/>
      <c r="E72" s="25"/>
      <c r="F72" s="25"/>
      <c r="G72" s="25"/>
      <c r="H72" s="25"/>
    </row>
    <row r="73" spans="1:8" x14ac:dyDescent="0.3">
      <c r="A73" s="25"/>
      <c r="B73" s="25"/>
      <c r="C73" s="25"/>
      <c r="D73" s="25"/>
      <c r="E73" s="25"/>
      <c r="F73" s="25"/>
      <c r="G73" s="25"/>
      <c r="H73" s="25"/>
    </row>
    <row r="74" spans="1:8" x14ac:dyDescent="0.3">
      <c r="A74" s="25"/>
      <c r="B74" s="25"/>
      <c r="C74" s="25"/>
      <c r="D74" s="25"/>
      <c r="E74" s="25"/>
      <c r="F74" s="25"/>
      <c r="G74" s="25"/>
      <c r="H74" s="25"/>
    </row>
    <row r="75" spans="1:8" x14ac:dyDescent="0.3">
      <c r="A75" s="25"/>
      <c r="B75" s="25"/>
      <c r="C75" s="25"/>
      <c r="D75" s="25"/>
      <c r="E75" s="25"/>
      <c r="F75" s="25"/>
      <c r="G75" s="25"/>
      <c r="H75" s="25"/>
    </row>
    <row r="76" spans="1:8" x14ac:dyDescent="0.3">
      <c r="A76" s="25"/>
      <c r="B76" s="25"/>
      <c r="C76" s="25"/>
      <c r="D76" s="25"/>
      <c r="E76" s="25"/>
      <c r="F76" s="25"/>
      <c r="G76" s="25"/>
      <c r="H76" s="25"/>
    </row>
    <row r="77" spans="1:8" x14ac:dyDescent="0.3">
      <c r="A77" s="25"/>
      <c r="B77" s="25"/>
      <c r="C77" s="25"/>
      <c r="D77" s="25"/>
      <c r="E77" s="25"/>
      <c r="F77" s="25"/>
      <c r="G77" s="25"/>
      <c r="H77" s="25"/>
    </row>
    <row r="78" spans="1:8" x14ac:dyDescent="0.3">
      <c r="A78" s="25"/>
      <c r="B78" s="25"/>
      <c r="C78" s="25"/>
      <c r="D78" s="25"/>
      <c r="E78" s="25"/>
      <c r="F78" s="25"/>
      <c r="G78" s="25"/>
      <c r="H78" s="25"/>
    </row>
    <row r="79" spans="1:8" x14ac:dyDescent="0.3">
      <c r="A79" s="25"/>
      <c r="B79" s="25"/>
      <c r="C79" s="25"/>
      <c r="D79" s="25"/>
      <c r="E79" s="25"/>
      <c r="F79" s="25"/>
      <c r="G79" s="25"/>
      <c r="H79" s="25"/>
    </row>
    <row r="80" spans="1:8" x14ac:dyDescent="0.3">
      <c r="A80" s="25"/>
      <c r="B80" s="25"/>
      <c r="C80" s="25"/>
      <c r="D80" s="25"/>
      <c r="E80" s="25"/>
      <c r="F80" s="25"/>
      <c r="G80" s="25"/>
      <c r="H80" s="25"/>
    </row>
    <row r="81" spans="1:8" x14ac:dyDescent="0.3">
      <c r="A81" s="25"/>
      <c r="B81" s="25"/>
      <c r="C81" s="25"/>
      <c r="D81" s="25"/>
      <c r="E81" s="25"/>
      <c r="F81" s="25"/>
      <c r="G81" s="25"/>
      <c r="H81" s="25"/>
    </row>
    <row r="82" spans="1:8" x14ac:dyDescent="0.3">
      <c r="A82" s="25"/>
      <c r="B82" s="25"/>
      <c r="C82" s="25"/>
      <c r="D82" s="25"/>
      <c r="E82" s="25"/>
      <c r="F82" s="25"/>
      <c r="G82" s="25"/>
      <c r="H82" s="25"/>
    </row>
    <row r="83" spans="1:8" x14ac:dyDescent="0.3">
      <c r="A83" s="25"/>
      <c r="B83" s="25"/>
      <c r="C83" s="25"/>
      <c r="D83" s="25"/>
      <c r="E83" s="25"/>
      <c r="F83" s="25"/>
      <c r="G83" s="25"/>
      <c r="H83" s="25"/>
    </row>
    <row r="84" spans="1:8" x14ac:dyDescent="0.3">
      <c r="A84" s="25"/>
      <c r="B84" s="25"/>
      <c r="C84" s="25"/>
      <c r="D84" s="25"/>
      <c r="E84" s="25"/>
      <c r="F84" s="25"/>
      <c r="G84" s="25"/>
      <c r="H84" s="25"/>
    </row>
    <row r="85" spans="1:8" x14ac:dyDescent="0.3">
      <c r="A85" s="25"/>
      <c r="B85" s="25"/>
      <c r="C85" s="25"/>
      <c r="D85" s="25"/>
      <c r="E85" s="25"/>
      <c r="F85" s="25"/>
      <c r="G85" s="25"/>
      <c r="H85" s="25"/>
    </row>
    <row r="86" spans="1:8" x14ac:dyDescent="0.3">
      <c r="A86" s="25"/>
      <c r="B86" s="25"/>
      <c r="C86" s="25"/>
      <c r="D86" s="25"/>
      <c r="E86" s="25"/>
      <c r="F86" s="25"/>
      <c r="G86" s="25"/>
      <c r="H86" s="25"/>
    </row>
    <row r="87" spans="1:8" x14ac:dyDescent="0.3">
      <c r="A87" s="25"/>
      <c r="B87" s="25"/>
      <c r="C87" s="25"/>
      <c r="D87" s="25"/>
      <c r="E87" s="25"/>
      <c r="F87" s="25"/>
      <c r="G87" s="25"/>
      <c r="H87" s="25"/>
    </row>
    <row r="88" spans="1:8" x14ac:dyDescent="0.3">
      <c r="A88" s="25"/>
      <c r="B88" s="25"/>
      <c r="C88" s="25"/>
      <c r="D88" s="25"/>
      <c r="E88" s="25"/>
      <c r="F88" s="25"/>
      <c r="G88" s="25"/>
      <c r="H88" s="25"/>
    </row>
    <row r="89" spans="1:8" x14ac:dyDescent="0.3">
      <c r="A89" s="25"/>
      <c r="B89" s="25"/>
      <c r="C89" s="25"/>
      <c r="D89" s="25"/>
      <c r="E89" s="25"/>
      <c r="F89" s="25"/>
      <c r="G89" s="25"/>
      <c r="H89" s="25"/>
    </row>
    <row r="90" spans="1:8" x14ac:dyDescent="0.3">
      <c r="A90" s="25"/>
      <c r="B90" s="25"/>
      <c r="C90" s="25"/>
      <c r="D90" s="25"/>
      <c r="E90" s="25"/>
      <c r="F90" s="25"/>
      <c r="G90" s="25"/>
      <c r="H90" s="25"/>
    </row>
    <row r="91" spans="1:8" x14ac:dyDescent="0.3">
      <c r="A91" s="25"/>
      <c r="B91" s="25"/>
      <c r="C91" s="25"/>
      <c r="D91" s="25"/>
      <c r="E91" s="25"/>
      <c r="F91" s="25"/>
      <c r="G91" s="25"/>
      <c r="H91" s="25"/>
    </row>
    <row r="92" spans="1:8" x14ac:dyDescent="0.3">
      <c r="A92" s="25"/>
      <c r="B92" s="25"/>
      <c r="C92" s="25"/>
      <c r="D92" s="25"/>
      <c r="E92" s="25"/>
      <c r="F92" s="25"/>
      <c r="G92" s="25"/>
      <c r="H92" s="25"/>
    </row>
    <row r="93" spans="1:8" x14ac:dyDescent="0.3">
      <c r="A93" s="25"/>
      <c r="B93" s="25"/>
      <c r="C93" s="25"/>
      <c r="D93" s="25"/>
      <c r="E93" s="25"/>
      <c r="F93" s="25"/>
      <c r="G93" s="25"/>
      <c r="H93" s="25"/>
    </row>
    <row r="94" spans="1:8" x14ac:dyDescent="0.3">
      <c r="A94" s="25"/>
      <c r="B94" s="25"/>
      <c r="C94" s="25"/>
      <c r="D94" s="25"/>
      <c r="E94" s="25"/>
      <c r="F94" s="25"/>
      <c r="G94" s="25"/>
      <c r="H94" s="25"/>
    </row>
    <row r="95" spans="1:8" x14ac:dyDescent="0.3">
      <c r="A95" s="25"/>
      <c r="B95" s="25"/>
      <c r="C95" s="25"/>
      <c r="D95" s="25"/>
      <c r="E95" s="25"/>
      <c r="F95" s="25"/>
      <c r="G95" s="25"/>
      <c r="H95" s="25"/>
    </row>
    <row r="96" spans="1:8" x14ac:dyDescent="0.3">
      <c r="A96" s="25"/>
      <c r="B96" s="25"/>
      <c r="C96" s="25"/>
      <c r="D96" s="25"/>
      <c r="E96" s="25"/>
      <c r="F96" s="25"/>
      <c r="G96" s="25"/>
      <c r="H96" s="25"/>
    </row>
    <row r="97" spans="1:8" x14ac:dyDescent="0.3">
      <c r="A97" s="25"/>
      <c r="B97" s="25"/>
      <c r="C97" s="25"/>
      <c r="D97" s="25"/>
      <c r="E97" s="25"/>
      <c r="F97" s="25"/>
      <c r="G97" s="25"/>
      <c r="H97" s="25"/>
    </row>
  </sheetData>
  <mergeCells count="57">
    <mergeCell ref="G22:H22"/>
    <mergeCell ref="G25:H25"/>
    <mergeCell ref="G26:H26"/>
    <mergeCell ref="A25:C25"/>
    <mergeCell ref="C39:E39"/>
    <mergeCell ref="E26:F26"/>
    <mergeCell ref="A26:C26"/>
    <mergeCell ref="A27:C27"/>
    <mergeCell ref="E25:F25"/>
    <mergeCell ref="D27:H27"/>
    <mergeCell ref="G23:H23"/>
    <mergeCell ref="G24:H24"/>
    <mergeCell ref="A22:C22"/>
    <mergeCell ref="A23:C23"/>
    <mergeCell ref="A24:C24"/>
    <mergeCell ref="E22:F22"/>
    <mergeCell ref="A1:H1"/>
    <mergeCell ref="A2:H2"/>
    <mergeCell ref="A3:H3"/>
    <mergeCell ref="A4:H4"/>
    <mergeCell ref="A5:H5"/>
    <mergeCell ref="A10:H10"/>
    <mergeCell ref="A11:H11"/>
    <mergeCell ref="A21:H21"/>
    <mergeCell ref="A6:H6"/>
    <mergeCell ref="A7:H7"/>
    <mergeCell ref="E23:F23"/>
    <mergeCell ref="E24:F24"/>
    <mergeCell ref="A28:H28"/>
    <mergeCell ref="D29:E29"/>
    <mergeCell ref="F29:G29"/>
    <mergeCell ref="F30:G30"/>
    <mergeCell ref="A29:C30"/>
    <mergeCell ref="B34:C34"/>
    <mergeCell ref="D34:E34"/>
    <mergeCell ref="F34:G34"/>
    <mergeCell ref="B33:C33"/>
    <mergeCell ref="D33:E33"/>
    <mergeCell ref="F33:G33"/>
    <mergeCell ref="A31:C31"/>
    <mergeCell ref="D31:H31"/>
    <mergeCell ref="A42:H42"/>
    <mergeCell ref="A43:H43"/>
    <mergeCell ref="A44:H44"/>
    <mergeCell ref="D8:F8"/>
    <mergeCell ref="B9:C9"/>
    <mergeCell ref="D9:E9"/>
    <mergeCell ref="F9:H9"/>
    <mergeCell ref="B35:C35"/>
    <mergeCell ref="D35:E35"/>
    <mergeCell ref="F35:G35"/>
    <mergeCell ref="A37:B37"/>
    <mergeCell ref="A38:B38"/>
    <mergeCell ref="A39:B39"/>
    <mergeCell ref="F36:G39"/>
    <mergeCell ref="A41:H41"/>
    <mergeCell ref="D30:E30"/>
  </mergeCells>
  <printOptions horizontalCentered="1"/>
  <pageMargins left="0.25" right="0.25" top="0.25" bottom="0.25" header="0.511811023622047" footer="0.511811023622047"/>
  <pageSetup paperSize="9" scale="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Bloques V4</vt:lpstr>
      <vt:lpstr>F-DT-01</vt:lpstr>
      <vt:lpstr>F-DT-02 (2)</vt:lpstr>
      <vt:lpstr>F-DT-03 (2)</vt:lpstr>
      <vt:lpstr>F-DT-04 (2)</vt:lpstr>
      <vt:lpstr>F-DT-05</vt:lpstr>
      <vt:lpstr>'F-DT-01'!Área_de_impresión</vt:lpstr>
      <vt:lpstr>'F-DT-02 (2)'!Área_de_impresión</vt:lpstr>
      <vt:lpstr>'F-DT-03 (2)'!Área_de_impresión</vt:lpstr>
      <vt:lpstr>'F-DT-04 (2)'!Área_de_impresión</vt:lpstr>
      <vt:lpstr>'F-DT-05'!Área_de_impresión</vt:lpstr>
      <vt:lpstr>'Bloques V4'!Títulos_a_imprimir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cp:lastPrinted>2026-04-24T20:39:38Z</cp:lastPrinted>
  <dcterms:created xsi:type="dcterms:W3CDTF">2026-04-20T14:55:10Z</dcterms:created>
  <dcterms:modified xsi:type="dcterms:W3CDTF">2026-04-24T20:43:12Z</dcterms:modified>
  <dc:language>en-US</dc:language>
</cp:coreProperties>
</file>