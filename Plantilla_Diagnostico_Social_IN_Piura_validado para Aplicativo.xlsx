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01_PROYECTO_IN_PIURA\REPORTES Y PLANTILLAS IN PIURA\PLANTILLAS DE DIAGNOSTICO\PLANTILLAS DT_DS_EE_CON_VALIDACION\"/>
    </mc:Choice>
  </mc:AlternateContent>
  <xr:revisionPtr revIDLastSave="0" documentId="8_{A37896C7-B071-424C-BA92-9F99337C4D01}" xr6:coauthVersionLast="47" xr6:coauthVersionMax="47" xr10:uidLastSave="{00000000-0000-0000-0000-000000000000}"/>
  <bookViews>
    <workbookView xWindow="-108" yWindow="-108" windowWidth="23256" windowHeight="12456" tabRatio="500" activeTab="8" xr2:uid="{00000000-000D-0000-FFFF-FFFF00000000}"/>
  </bookViews>
  <sheets>
    <sheet name="0. PORTADA" sheetId="1" r:id="rId1"/>
    <sheet name="F-DS-01" sheetId="2" r:id="rId2"/>
    <sheet name="F-DS-02" sheetId="3" r:id="rId3"/>
    <sheet name="F-DS-03" sheetId="4" r:id="rId4"/>
    <sheet name="F-DS-04" sheetId="5" r:id="rId5"/>
    <sheet name="F-DS-05" sheetId="6" r:id="rId6"/>
    <sheet name="F-DS-06" sheetId="7" r:id="rId7"/>
    <sheet name="F-DS-07" sheetId="8" r:id="rId8"/>
    <sheet name="_Codigos" sheetId="9" r:id="rId9"/>
    <sheet name="_Datos" sheetId="10" state="hidden" r:id="rId10"/>
    <sheet name="_Listas" sheetId="11" state="hidden" r:id="rId11"/>
  </sheets>
  <definedNames>
    <definedName name="_xlnm.Print_Area" localSheetId="8">_Codigos!$A$1:$N$43</definedName>
    <definedName name="_xlnm.Print_Area" localSheetId="1">'F-DS-01'!$A$1:$N$138</definedName>
    <definedName name="_xlnm.Print_Area" localSheetId="3">'F-DS-03'!$A$1:$N$120</definedName>
    <definedName name="_xlnm.Print_Area" localSheetId="6">'F-DS-06'!$A$1:$N$69</definedName>
    <definedName name="_xlnm.Print_Area" localSheetId="7">'F-DS-07'!$A$1:$N$65</definedName>
    <definedName name="_xlnm.Print_Titles" localSheetId="2">'F-DS-02'!$15:$15</definedName>
    <definedName name="_xlnm.Print_Titles" localSheetId="4">'F-DS-04'!$34:$34</definedName>
    <definedName name="_xlnm.Print_Titles" localSheetId="6">'F-DS-06'!$13:$14</definedName>
    <definedName name="_xlnm.Print_Titles" localSheetId="7">'F-DS-07'!$26:$26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8" l="1"/>
  <c r="L8" i="7"/>
  <c r="H8" i="7"/>
  <c r="M8" i="6"/>
  <c r="H8" i="6"/>
  <c r="L8" i="5"/>
  <c r="I9" i="2"/>
  <c r="M8" i="4"/>
  <c r="H8" i="4"/>
</calcChain>
</file>

<file path=xl/sharedStrings.xml><?xml version="1.0" encoding="utf-8"?>
<sst xmlns="http://schemas.openxmlformats.org/spreadsheetml/2006/main" count="2055" uniqueCount="1011">
  <si>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</si>
  <si>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</si>
  <si>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</si>
  <si>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F-DS-03: ENTREVISTA SEMIESTRUCTURADA A AUTORIDADES / LÍDERES</t>
  </si>
  <si>
    <t>Guía de entrevista individual con autoridades municipales, comunales, ronderas y líderes.  Marque con «X» en las casillas; registre respuestas textuales en los bloques de líneas.</t>
  </si>
  <si>
    <t>1. DATOS GENERALES</t>
  </si>
  <si>
    <t>Fecha *</t>
  </si>
  <si>
    <t>Responsable *</t>
  </si>
  <si>
    <t>Código Bloque *</t>
  </si>
  <si>
    <t>Microcuenca</t>
  </si>
  <si>
    <t>Distrito</t>
  </si>
  <si>
    <t>2. DATOS DEL ENTREVISTADO/A</t>
  </si>
  <si>
    <t>Nombres y apellidos completos *</t>
  </si>
  <si>
    <t>DNI</t>
  </si>
  <si>
    <t>Edad</t>
  </si>
  <si>
    <t>Género (M/F)</t>
  </si>
  <si>
    <t>Cargo / Rol en la comunidad *</t>
  </si>
  <si>
    <t>Institución / Organización</t>
  </si>
  <si>
    <t>Años en el cargo</t>
  </si>
  <si>
    <t>Teléfono</t>
  </si>
  <si>
    <t>Correo</t>
  </si>
  <si>
    <t>Lugar de la entrevista</t>
  </si>
  <si>
    <t>Duración (min)</t>
  </si>
  <si>
    <t>¿Consiente que la entrevista sea grabada?</t>
  </si>
  <si>
    <t>Sí</t>
  </si>
  <si>
    <t>No</t>
  </si>
  <si>
    <t>▼</t>
  </si>
  <si>
    <t>¿Consiente uso de nombre en el informe?</t>
  </si>
  <si>
    <t>¿Consiente toma de fotografías?</t>
  </si>
  <si>
    <t>3. PERCEPCIÓN DEL TERRITORIO Y DE LOS RECURSOS NATURALES</t>
  </si>
  <si>
    <t>3.1  ¿Cuáles son los principales recursos naturales de la zona y qué importancia tienen para la vida de su comunidad?</t>
  </si>
  <si>
    <t>3.2  En los últimos 10-15 años, ¿ha observado cambios en la disponibilidad de agua, bosque, suelo? Describa.</t>
  </si>
  <si>
    <t>3.3  ¿Cuáles son los principales problemas ambientales actuales (deforestación, erosión, sequías, contaminación, cárcavas, huaicos)?</t>
  </si>
  <si>
    <t>3.4  ¿Qué zonas del territorio considera más importantes para conservar y por qué?</t>
  </si>
  <si>
    <t>4. ACTIVIDADES PRODUCTIVAS Y MEDIOS DE VIDA</t>
  </si>
  <si>
    <t>4.1  ¿Cuáles son las actividades económicas más importantes de la comunidad y quiénes se dedican a cada una (hombres/mujeres)?</t>
  </si>
  <si>
    <t>4.2  ¿Cómo se abastecen de agua para riego y consumo? ¿Hay déficit en alguna época del año? ¿Hay conflictos por el agua?</t>
  </si>
  <si>
    <t>4.3  ¿Utilizan productos del bosque? ¿Cuáles? ¿Quiénes? ¿Con qué frecuencia?</t>
  </si>
  <si>
    <t>4.4  ¿Existen cadenas productivas organizadas o asociaciones de productores en la zona?</t>
  </si>
  <si>
    <t>5. ORGANIZACIÓN, GOBERNANZA Y RELACIÓN CON EL ESTADO</t>
  </si>
  <si>
    <t>5.1  ¿Qué organizaciones existen en la comunidad y cuál es su rol en la toma de decisiones sobre el territorio?</t>
  </si>
  <si>
    <t>5.2  ¿Cómo se toman las decisiones sobre el uso de recursos comunales (agua, bosque, pastos)?</t>
  </si>
  <si>
    <t>5.3  ¿Cómo ha sido la relación histórica con el Estado y con proyectos de inversión externos (incluidos los mineros)?</t>
  </si>
  <si>
    <t>6. EXPECTATIVAS FRENTE AL PROYECTO IN PIURA</t>
  </si>
  <si>
    <t>6.1  ¿Ha oído hablar del proyecto IN Piura antes de esta entrevista? (marcar)</t>
  </si>
  <si>
    <t>Sí, conozco bien el proyecto</t>
  </si>
  <si>
    <t>Sí, he oído algo general</t>
  </si>
  <si>
    <t>No he oído nada</t>
  </si>
  <si>
    <t>Lo confundo con otros proyectos</t>
  </si>
  <si>
    <t xml:space="preserve">→  Describa qué sabe:  </t>
  </si>
  <si>
    <t>6.2  ¿Qué beneficios percibe si el proyecto se ejecuta en la zona?</t>
  </si>
  <si>
    <t>6.3  ¿Qué preocupaciones o temores tiene frente al proyecto?</t>
  </si>
  <si>
    <t>6.4  ¿Qué condiciones considera indispensables para que la comunidad acepte participar activamente?</t>
  </si>
  <si>
    <t>6.5  ¿Cómo debería ANIN relacionarse con las rondas y las autoridades comunales durante todo el proyecto?</t>
  </si>
  <si>
    <t>6.6  ¿Hay antecedentes de conflictos por proyectos externos (mineros, hidrocarburos, infraestructura) que ANIN deba tener en cuenta?</t>
  </si>
  <si>
    <t>7. CIERRE Y OBSERVACIONES DEL ENTREVISTADOR/A</t>
  </si>
  <si>
    <t>_________________________________________</t>
  </si>
  <si>
    <t>Firma / Huella del entrevistado/a
Nombre / DNI</t>
  </si>
  <si>
    <t>Firma del entrevistador/a
Nombre / DNI</t>
  </si>
  <si>
    <t>AUTORIDAD NACIONAL DE INFRAESTRUCTURA — ANIN
DIME — Dirección de Intervenciones Multisectoriales y de Emergencia
SESDI — Subdirección de Estudios de Inversión</t>
  </si>
  <si>
    <t>PLANTILLA DE DIAGNÓSTICO SOCIAL — VERSIÓN 3 (V3)
Formatos con casillas de verificación [  ] para llenado manual en campo</t>
  </si>
  <si>
    <t>Formatos de registro rápido para caracterización social, mapeo de actores, conflictos, percepción de peligros y consentimiento previo informado</t>
  </si>
  <si>
    <t>1. PROYECTO DE INVERSIÓN PÚBLICA</t>
  </si>
  <si>
    <t>CUI</t>
  </si>
  <si>
    <t>2669244</t>
  </si>
  <si>
    <t>Nombre del proyecto</t>
  </si>
  <si>
    <t>Recuperación de los servicios de regulación de riesgos naturales y regulación hídrica de ecosistemas forestales degradados — Cuenca Alta del Río Piura</t>
  </si>
  <si>
    <t>Ámbito territorial</t>
  </si>
  <si>
    <t>3 provincias: Morropón, Huancabamba, Ayabaca  |  15 distritos  |  14 zonas operativas (Z01–Z14)</t>
  </si>
  <si>
    <t>Bloques preliminares</t>
  </si>
  <si>
    <t>127 bloques (V6)  |  ~14,207 hectáreas de intervención directa</t>
  </si>
  <si>
    <t>Contexto social crítico</t>
  </si>
  <si>
    <t>Territorio con antecedentes de conflicto minero (Río Blanco 2007+); rondas campesinas con control territorial; comunidades altoandinas dispersas; acceso vehicular restringido en ≥40% del ámbito</t>
  </si>
  <si>
    <t>Sistema de coordenadas</t>
  </si>
  <si>
    <t>UTM WGS84 Zona 17S</t>
  </si>
  <si>
    <t>Fase</t>
  </si>
  <si>
    <t>Preinversión — Estudio de Perfil — Validación en campo</t>
  </si>
  <si>
    <t>Instrumento</t>
  </si>
  <si>
    <t>F-DS — Plantilla de Diagnóstico Social — V3 con casillas [  ] X</t>
  </si>
  <si>
    <t>Alimenta entregables</t>
  </si>
  <si>
    <t>E2 (Diagnóstico de población afectada), E5 (Gestión), E8 (Riesgos del proyecto), E9 (Plan de involucramiento)</t>
  </si>
  <si>
    <t>Versión / Fecha</t>
  </si>
  <si>
    <t>V3 — Abril 2026 — Adaptación para llenado manual en campo</t>
  </si>
  <si>
    <t>2. ESTRUCTURA DEL INSTRUMENTO (7 FORMATOS)</t>
  </si>
  <si>
    <t>Código</t>
  </si>
  <si>
    <t>Nombre del formato</t>
  </si>
  <si>
    <t>Mecanismo de llenado</t>
  </si>
  <si>
    <t>Objetivo / Propósito</t>
  </si>
  <si>
    <t>F-DS-01</t>
  </si>
  <si>
    <t>Diagnóstico Socioeconómico del CP/Comunidad</t>
  </si>
  <si>
    <t>Casillas [ ] para opciones + campos numéricos + observaciones</t>
  </si>
  <si>
    <t>Caracterización demográfica, organización comunal, tenencia de la tierra, servicios básicos, actividades económicas y programas sociales</t>
  </si>
  <si>
    <t>F-DS-02</t>
  </si>
  <si>
    <t>Mapeo y Análisis de Actores Clave</t>
  </si>
  <si>
    <t>Tabla con códigos de 1-2 letras (leyenda en hoja _Codigos)</t>
  </si>
  <si>
    <t>Directorio de actores por nivel territorial, análisis Influencia × Interés (PMBOK), síntesis de actores críticos</t>
  </si>
  <si>
    <t>F-DS-03</t>
  </si>
  <si>
    <t>Entrevista Semiestructurada a Autoridades/Líderes</t>
  </si>
  <si>
    <t>Campos de texto libre + casillas [ ] para consentimientos</t>
  </si>
  <si>
    <t>Percepción territorial, actividades productivas, gobernanza, expectativas frente al proyecto</t>
  </si>
  <si>
    <t>F-DS-04</t>
  </si>
  <si>
    <t>Acta de Taller Participativo</t>
  </si>
  <si>
    <t>Listas de asistentes + casillas [ ] para idioma/metodología</t>
  </si>
  <si>
    <t>Registro formal con asistencia desagregada por sexo, agenda, acuerdos y compromisos</t>
  </si>
  <si>
    <t>F-DS-05</t>
  </si>
  <si>
    <t>Identificación de Conflictos Socioambientales y Oportunidades</t>
  </si>
  <si>
    <t>Tabla con códigos + casillas [ ] para contexto Río Blanco</t>
  </si>
  <si>
    <t>Inventario de conflictos vigentes/latentes con escala y antigüedad + oportunidades de articulación</t>
  </si>
  <si>
    <t>F-DS-06</t>
  </si>
  <si>
    <t>Percepción Local de Peligros y Cambio Climático</t>
  </si>
  <si>
    <t>Grilla de casillas [ ] para 12 peligros + 8 cambios climáticos</t>
  </si>
  <si>
    <t>Percepción local de peligros geológicos/hidrometeorológicos y cambios observados últimos 10-15 años</t>
  </si>
  <si>
    <t>F-DS-07</t>
  </si>
  <si>
    <t>Disposición a Participar y Consentimiento Previo Informado</t>
  </si>
  <si>
    <t>Casillas [ ] para puntos explicados + nivel de disposición</t>
  </si>
  <si>
    <t>Evaluación formal de disposición del titular o asamblea comunal a participar — base para acuerdos formales</t>
  </si>
  <si>
    <t>3. PROTOCOLO DE APLICACIÓN EN TERRENO</t>
  </si>
  <si>
    <t>1. SECUENCIALIDAD OBLIGATORIA: Ningún equipo técnico ingresa a una zona sin que la avanzada social (Salida 1 — Acercamiento institucional) se haya completado y se cuente con autorización previa de la autoridad comunal.</t>
  </si>
  <si>
    <t>2. CONSENTIMIENTO PREVIO INFORMADO: Antes de aplicar cualquier formato, el facilitador/a debe explicar en lenguaje sencillo qué es ANIN, qué es el proyecto, qué NO es (NO es proyecto minero ni extractivo) y solicitar consentimiento explícito.</t>
  </si>
  <si>
    <t>3. DIFERENCIACIÓN DEL PROYECTO: Ante consultas, diferenciar explícitamente el proyecto de cualquier actividad extractiva o minera. Mencionar el marco normativo (Invierte.pe) y el financiamiento público.</t>
  </si>
  <si>
    <t>4. RESPETO A LA GOBERNANZA LOCAL: Presentación formal a la Junta Directiva Comunal y al Presidente de Ronda antes de cualquier entrevista individual o registro de campo.</t>
  </si>
  <si>
    <t>5. SENSIBILIDAD CULTURAL: Mantener un tono de escucha activa. Usar términos locales cuando el entrevistado/a los emplee. Respetar silencios. No apresurar respuestas.</t>
  </si>
  <si>
    <t>6. REGISTRO FOTOGRÁFICO Y DE AUDIO: Requiere consentimiento explícito y por separado, incluso si se consintió la entrevista. Registrar en F-DS-03 (grabación) y F-DS-07 (fotografía del predio).</t>
  </si>
  <si>
    <t>7. GÉNERO: Procurar que las reuniones y entrevistas integren a mujeres y hombres. Desagregar asistencia por sexo en F-DS-04. Identificar percepciones diferenciadas de peligros en F-DS-06.</t>
  </si>
  <si>
    <t>8. CONFIDENCIALIDAD: La información sensible (conflictos, situación de tenencia) se maneja con discreción y no se divulga fuera del equipo técnico de ANIN-SESDI.</t>
  </si>
  <si>
    <t>9. LLENADO DE CASILLAS [ ]: Marcar únicamente con una "X" clara dentro del cuadro. Para opciones excluyentes (Sí/No), marcar SOLO UNA. Para opciones múltiples (peligros observados), marcar todas las que apliquen.</t>
  </si>
  <si>
    <t>10. DIGITALIZACIÓN POSTERIOR: Toda ficha llenada en campo debe digitalizarse dentro de los 5 días posteriores a la salida. Escanear el original con firmas y archivar en expediente del bloque.</t>
  </si>
  <si>
    <t>Elaborado por:</t>
  </si>
  <si>
    <t>Revisado / V°B°:</t>
  </si>
  <si>
    <t>Ing. Héctor Salomón Cahuas Miller — Consultor Técnico</t>
  </si>
  <si>
    <t>Ing. Wilber Hinojosa Medina — Ejecutivo SESDI</t>
  </si>
  <si>
    <t>F-DS-01: DIAGNÓSTICO SOCIOECONÓMICO DEL CENTRO POBLADO / COMUNIDAD</t>
  </si>
  <si>
    <t>Caracterización demográfica, organizacional, de servicios básicos y actividades económicas del CP/Comunidad asociado al bloque de intervención.  Marque con «X» dentro de los cuadros [  ] las opciones aplicables. Los campos marcados con (*) son obligatorios.</t>
  </si>
  <si>
    <t>1. DATOS GENERALES Y LOCALIZACIÓN</t>
  </si>
  <si>
    <t>Fecha (DD-MM-AAAA) *</t>
  </si>
  <si>
    <t>Ficha N° (correlativo)</t>
  </si>
  <si>
    <t>Responsable  *</t>
  </si>
  <si>
    <t>Código del Bloque *</t>
  </si>
  <si>
    <t>Código de Microcuenca</t>
  </si>
  <si>
    <t>Provincia (auto)</t>
  </si>
  <si>
    <t>Centro poblado / Caserío *</t>
  </si>
  <si>
    <t>UBIGEO INEI</t>
  </si>
  <si>
    <t>Comunidad Campesina asociada (si aplica)</t>
  </si>
  <si>
    <t>Coord. UTM del lugar de registro</t>
  </si>
  <si>
    <t>ESTE</t>
  </si>
  <si>
    <t>NORTE</t>
  </si>
  <si>
    <t>msnm</t>
  </si>
  <si>
    <t>2. DATOS DEMOGRÁFICOS</t>
  </si>
  <si>
    <t>2.1  Tipo de organización territorial (marcar con una X donde corresponda)</t>
  </si>
  <si>
    <t>Comunidad Campesina reconocida (con título)</t>
  </si>
  <si>
    <t>Comunidad Campesina sin título</t>
  </si>
  <si>
    <t>Caserío / Anexo</t>
  </si>
  <si>
    <t>Centro poblado menor</t>
  </si>
  <si>
    <t>Centro poblado mayor</t>
  </si>
  <si>
    <t>Capital de distrito</t>
  </si>
  <si>
    <t>Sector rural / Paraje</t>
  </si>
  <si>
    <t>No organizada formalmente</t>
  </si>
  <si>
    <t>Nombre oficial completo (CP/CC/Anexo)</t>
  </si>
  <si>
    <t>Año fundación</t>
  </si>
  <si>
    <t>2.2  Datos numéricos demográficos (anotar cantidades)</t>
  </si>
  <si>
    <t>N° total de familias / viviendas *</t>
  </si>
  <si>
    <t>Población total estimada (hab.) *</t>
  </si>
  <si>
    <t>Población hombres</t>
  </si>
  <si>
    <t>Población mujeres</t>
  </si>
  <si>
    <t>Población &lt; 18 años</t>
  </si>
  <si>
    <t>Población &gt; 65 años</t>
  </si>
  <si>
    <t>Población autoidentificada originaria</t>
  </si>
  <si>
    <t>2.3  Idioma predominante (marcar uno)</t>
  </si>
  <si>
    <t>Español</t>
  </si>
  <si>
    <t>Quechua (Cañaris)</t>
  </si>
  <si>
    <t>Quechua (Chachapoyas)</t>
  </si>
  <si>
    <t>Bilingüe español-quechua</t>
  </si>
  <si>
    <t>Otro (especificar en observ.)</t>
  </si>
  <si>
    <t>2.4  Nivel educativo predominante (marcar uno)</t>
  </si>
  <si>
    <t>Sin instrucción</t>
  </si>
  <si>
    <t>Primaria incompleta</t>
  </si>
  <si>
    <t>Primaria completa</t>
  </si>
  <si>
    <t>Secundaria incompleta</t>
  </si>
  <si>
    <t>Secundaria completa</t>
  </si>
  <si>
    <t>Superior técnico</t>
  </si>
  <si>
    <t>Superior universitario</t>
  </si>
  <si>
    <t>2.5  Tasa de migración juvenil percibida (marcar una)</t>
  </si>
  <si>
    <t>Alta</t>
  </si>
  <si>
    <t>Media</t>
  </si>
  <si>
    <t>Baja</t>
  </si>
  <si>
    <t>2.6  Destino principal de migración (marcar el principal)</t>
  </si>
  <si>
    <t>Ciudad de Piura</t>
  </si>
  <si>
    <t>Chulucanas / Morropón</t>
  </si>
  <si>
    <t>Huancabamba / Ayabaca</t>
  </si>
  <si>
    <t>Lima / Callao</t>
  </si>
  <si>
    <t>Lambayeque / Chiclayo</t>
  </si>
  <si>
    <t>Trujillo / La Libertad</t>
  </si>
  <si>
    <t>Ecuador</t>
  </si>
  <si>
    <t>Selva</t>
  </si>
  <si>
    <t>Otros:</t>
  </si>
  <si>
    <t>3. ORGANIZACIÓN COMUNAL Y GOBERNANZA LOCAL</t>
  </si>
  <si>
    <t>¿Junta Directiva Comunal vigente?</t>
  </si>
  <si>
    <t>Fin de mandato (AAAA)</t>
  </si>
  <si>
    <t>Presidente/a de Junta (nombre)</t>
  </si>
  <si>
    <t>¿Existe Ronda Campesina activa? *</t>
  </si>
  <si>
    <t>Teléfono Pres. Ronda</t>
  </si>
  <si>
    <t>Presidente/a de Ronda (nombre)</t>
  </si>
  <si>
    <t>Autoridad adicional (Tnte Gobernador, Agente Municipal — nombres)</t>
  </si>
  <si>
    <t>3.1  Periodicidad de asambleas comunales (marcar una)</t>
  </si>
  <si>
    <t>Semanal</t>
  </si>
  <si>
    <t>Quincenal</t>
  </si>
  <si>
    <t>Mensual</t>
  </si>
  <si>
    <t>Bimensual</t>
  </si>
  <si>
    <t>Trimestral</t>
  </si>
  <si>
    <t>Solo por convocatoria</t>
  </si>
  <si>
    <t>No se realizan</t>
  </si>
  <si>
    <t>¿Existe reglamento interno?</t>
  </si>
  <si>
    <t>N/A</t>
  </si>
  <si>
    <t>¿Comité de RRNN?</t>
  </si>
  <si>
    <t>Nombre del comité (si existe)</t>
  </si>
  <si>
    <t>4. TENENCIA DE LA TIERRA</t>
  </si>
  <si>
    <t>4.1  Régimen predominante de tenencia (marcar uno)</t>
  </si>
  <si>
    <t>Comunal (tierras comunales)</t>
  </si>
  <si>
    <t>Individual titulada (COFOPRI/SUNARP)</t>
  </si>
  <si>
    <t>Individual en trámite</t>
  </si>
  <si>
    <t>Individual sin titular / Posesión</t>
  </si>
  <si>
    <t>Mixto (comunal + individual)</t>
  </si>
  <si>
    <t>Estatal</t>
  </si>
  <si>
    <t>Otro</t>
  </si>
  <si>
    <t>N° aprox. de predios individuales en el bloque</t>
  </si>
  <si>
    <t>% tierras tituladas</t>
  </si>
  <si>
    <t>¿Conflictos de linderos registrados?</t>
  </si>
  <si>
    <t>¿Bloque se superpone a tierras comunales?</t>
  </si>
  <si>
    <t>4.2  Organismo responsable del registro (marcar el principal)</t>
  </si>
  <si>
    <t>COFOPRI</t>
  </si>
  <si>
    <t>Dirección Regional de Agricultura</t>
  </si>
  <si>
    <t>SUNARP</t>
  </si>
  <si>
    <t>Comunidad (autónomo)</t>
  </si>
  <si>
    <t>Sin registro</t>
  </si>
  <si>
    <t>5. SERVICIOS BÁSICOS E INFRAESTRUCTURA SOCIAL</t>
  </si>
  <si>
    <t>5.1  Agua para consumo humano (marcar la fuente principal)</t>
  </si>
  <si>
    <t>Red pública domiciliaria</t>
  </si>
  <si>
    <t>Pilón público</t>
  </si>
  <si>
    <t>JASS / Sistema local</t>
  </si>
  <si>
    <t>Manantial / Quebrada directa</t>
  </si>
  <si>
    <t>Cisterna / Camión</t>
  </si>
  <si>
    <t>Acarreo (cántaros)*</t>
  </si>
  <si>
    <t>Sin acceso formal</t>
  </si>
  <si>
    <t>Cobertura de agua potable (%)</t>
  </si>
  <si>
    <t>Pago mensual por consumo S/</t>
  </si>
  <si>
    <t>(*) Tiempo de acarreo/N° de viajes x día</t>
  </si>
  <si>
    <t>5.2  Saneamiento (marcar el predominante)</t>
  </si>
  <si>
    <t>Red pública (alcantarillado)</t>
  </si>
  <si>
    <t>Letrina con arrastre</t>
  </si>
  <si>
    <t>Letrina seca</t>
  </si>
  <si>
    <t>Pozo séptico</t>
  </si>
  <si>
    <t>Biodigestor</t>
  </si>
  <si>
    <t>Sin saneamiento (campo abierto)</t>
  </si>
  <si>
    <t>5.3  Energía eléctrica (marcar el tipo predominante)</t>
  </si>
  <si>
    <t>Red pública</t>
  </si>
  <si>
    <t>Panel solar domiciliario</t>
  </si>
  <si>
    <t>Grupo electrógeno comunal</t>
  </si>
  <si>
    <t>Minihidroeléctrica</t>
  </si>
  <si>
    <t>Sin electrificación</t>
  </si>
  <si>
    <t>Cobertura de energía eléctrica (%)</t>
  </si>
  <si>
    <t>5.4  Telecomunicaciones (marcar una)</t>
  </si>
  <si>
    <t>Celular + Internet</t>
  </si>
  <si>
    <t>Solo celular</t>
  </si>
  <si>
    <t>Parcial intermitente</t>
  </si>
  <si>
    <t>Sin cobertura</t>
  </si>
  <si>
    <t>Operador celular dominante</t>
  </si>
  <si>
    <t>Movistar</t>
  </si>
  <si>
    <t>Claro</t>
  </si>
  <si>
    <t>Entel</t>
  </si>
  <si>
    <t>Bitel</t>
  </si>
  <si>
    <t xml:space="preserve">Otros: </t>
  </si>
  <si>
    <t>5.5  Institución educativa más cercana — niveles disponibles (marcar los aplicables)</t>
  </si>
  <si>
    <t>Solo inicial</t>
  </si>
  <si>
    <t>Inicial + Primaria</t>
  </si>
  <si>
    <t>Primaria</t>
  </si>
  <si>
    <t>Primaria + Secundaria</t>
  </si>
  <si>
    <t>Secundaria</t>
  </si>
  <si>
    <t>Superior</t>
  </si>
  <si>
    <t>No hay IE</t>
  </si>
  <si>
    <t>Nombre  de la IE principal</t>
  </si>
  <si>
    <t>Distancia al Centro Poblado (Km)</t>
  </si>
  <si>
    <t>5.6  Establecimiento de salud — categoría (marcar una)</t>
  </si>
  <si>
    <t>I-1</t>
  </si>
  <si>
    <t>I-2</t>
  </si>
  <si>
    <t>I-3</t>
  </si>
  <si>
    <t>I-4</t>
  </si>
  <si>
    <t>II-1</t>
  </si>
  <si>
    <t>II-2</t>
  </si>
  <si>
    <t>III</t>
  </si>
  <si>
    <t>No hay</t>
  </si>
  <si>
    <t>Nombre del EESS más cercano</t>
  </si>
  <si>
    <t>Distancia (km)</t>
  </si>
  <si>
    <t>¿Existe local comunal?</t>
  </si>
  <si>
    <t>Estado del local comunal (marcar uno)</t>
  </si>
  <si>
    <t>Bueno</t>
  </si>
  <si>
    <t>Regular</t>
  </si>
  <si>
    <t>Malo</t>
  </si>
  <si>
    <t>6. ACTIVIDADES ECONÓMICAS Y MEDIOS DE VIDA</t>
  </si>
  <si>
    <t>Registrar hasta 8 actividades económicas principales. Marcar con «X» en la columna de destino predominante. La columna "Código de actividad" se llena con el código del catálogo (ver bloque inferior). AC = Autoconsumo</t>
  </si>
  <si>
    <t>N°</t>
  </si>
  <si>
    <t>Cód.</t>
  </si>
  <si>
    <t>Actividad / Rubro</t>
  </si>
  <si>
    <t>N° fam.</t>
  </si>
  <si>
    <t>Productos principales</t>
  </si>
  <si>
    <t>100% AC</t>
  </si>
  <si>
    <t>&gt;70% AC</t>
  </si>
  <si>
    <t>Mixto</t>
  </si>
  <si>
    <t>&gt;70% Merc.</t>
  </si>
  <si>
    <t>100% Merc.</t>
  </si>
  <si>
    <t>Ingreso
(S/./mes)</t>
  </si>
  <si>
    <t>6.1  Catálogo de actividades económicas (usar el código en la tabla anterior)</t>
  </si>
  <si>
    <t>A01</t>
  </si>
  <si>
    <t>Agricultura de secano</t>
  </si>
  <si>
    <t>A02</t>
  </si>
  <si>
    <t>Agricultura bajo riego</t>
  </si>
  <si>
    <t>A03</t>
  </si>
  <si>
    <t>Ganadería vacuna</t>
  </si>
  <si>
    <t>A04</t>
  </si>
  <si>
    <t>Ganadería caprina/ovina</t>
  </si>
  <si>
    <t>A05</t>
  </si>
  <si>
    <t>Ganadería porcina</t>
  </si>
  <si>
    <t>A06</t>
  </si>
  <si>
    <t>Ganadería menor (aves, cuyes)</t>
  </si>
  <si>
    <t>A07</t>
  </si>
  <si>
    <t>Apicultura</t>
  </si>
  <si>
    <t>A08</t>
  </si>
  <si>
    <t>Forestería / Extracción de leña</t>
  </si>
  <si>
    <t>A09</t>
  </si>
  <si>
    <t>Carbón vegetal (producción)</t>
  </si>
  <si>
    <t>A10</t>
  </si>
  <si>
    <t>Artesanía</t>
  </si>
  <si>
    <t>A11</t>
  </si>
  <si>
    <t>Turismo / Servicios</t>
  </si>
  <si>
    <t>A12</t>
  </si>
  <si>
    <t>Comercio local</t>
  </si>
  <si>
    <t>A13</t>
  </si>
  <si>
    <t>Trabajo asalariado externo</t>
  </si>
  <si>
    <t>A14</t>
  </si>
  <si>
    <t>Pesca artesanal (ríos/reservorios)</t>
  </si>
  <si>
    <t>A15</t>
  </si>
  <si>
    <t>Minería artesanal / informal</t>
  </si>
  <si>
    <t>A16</t>
  </si>
  <si>
    <t>Jornalero agrícola</t>
  </si>
  <si>
    <t>A17</t>
  </si>
  <si>
    <t>7. PROGRAMAS SOCIALES Y PRESENCIA INSTITUCIONAL</t>
  </si>
  <si>
    <t>Beneficiarios JUNTOS (N° familias)</t>
  </si>
  <si>
    <t>Beneficiarios Pensión 65 (N° personas)</t>
  </si>
  <si>
    <t>Beneficiarios Qali Warma (IIEE atendidas)</t>
  </si>
  <si>
    <t>Beneficiarios Beca 18 (N° personas)</t>
  </si>
  <si>
    <t>Beneficiarios de Otros Programas (N° personas) Especificar</t>
  </si>
  <si>
    <t>¿Proyectos AGRORURAL activos?</t>
  </si>
  <si>
    <t>¿Proyectos PRODERN / FONCODES?</t>
  </si>
  <si>
    <t>¿Otros Proyectos? (especificar)</t>
  </si>
  <si>
    <t>¿Plan de Desarrollo Concertado vigente?</t>
  </si>
  <si>
    <t>¿ONGs operando en la zona?</t>
  </si>
  <si>
    <t>Nombre de ONGs (si aplica)</t>
  </si>
  <si>
    <t>7.1  Percepción de presencia estatal (marcar una)</t>
  </si>
  <si>
    <t>OBSERVACIONES Y FIRMAS</t>
  </si>
  <si>
    <t>Autoridad comunal / Informante principal
(Firma / Nombre / DNI)</t>
  </si>
  <si>
    <t>Responsable AIN
(Firma / Nombre / DNI)</t>
  </si>
  <si>
    <t>F-DS-02: MAPEO Y ANÁLISIS DE ACTORES CLAVE</t>
  </si>
  <si>
    <t>Directorio e identificación de actores institucionales y sociales relevantes para el proyecto, con análisis de influencia.  Usar los CÓDIGOS de la hoja «_Codigos» — p.ej. GL=GobLocal, A=Alto, F=A favor.</t>
  </si>
  <si>
    <t>Fecha (dd-mm-aaaa) *</t>
  </si>
  <si>
    <t xml:space="preserve">Código Microcuenca </t>
  </si>
  <si>
    <t>Provincia</t>
  </si>
  <si>
    <t>Centro poblado / comunidad de referencia</t>
  </si>
  <si>
    <t>2. LEYENDA RÁPIDA DE CÓDIGOS (ver hoja _Codigos para detalle completo)</t>
  </si>
  <si>
    <t>TIPO: GN=GobNac | GR=GobReg | GL=GobLocal | CC=ComCampesina | RC=Ronda | JU=JuntaAgua | JS=JASS | CG=CompCuenca | ON=ONG | AC=Universidad | EP=Empresa | AP=Gremio | IR=Religiosa | LI=Líder | MC=Medios</t>
  </si>
  <si>
    <t>INF / INT: A=Alto | M=Medio | B=Bajo</t>
  </si>
  <si>
    <t>POS: F=A favor | N=Neutral | R=Reticente | C=En contra | ND=No determ.    |    NIV: N=Nacional | R=Regional | P=Prov. | D=Distr. | C=Comunal | F=Familiar</t>
  </si>
  <si>
    <t>3. REGISTRO DE ACTORES IDENTIFICADOS</t>
  </si>
  <si>
    <t>Registre todos los actores relevantes para la zona del bloque: desde gobierno nacional hasta líderes comunales. Usar códigos de la leyenda.</t>
  </si>
  <si>
    <t>Nombre del actor /
Organización</t>
  </si>
  <si>
    <t>Tipo</t>
  </si>
  <si>
    <t>Rol / Función específica frente al proyecto</t>
  </si>
  <si>
    <t>Infl.</t>
  </si>
  <si>
    <t>Inter.</t>
  </si>
  <si>
    <t>Pos.</t>
  </si>
  <si>
    <t>Niv.</t>
  </si>
  <si>
    <t>Correo / Contacto</t>
  </si>
  <si>
    <t>Observaciones / Historial</t>
  </si>
  <si>
    <t>4. METODOLOGÍA PMBOK — MATRIZ INFLUENCIA × INTERÉS</t>
  </si>
  <si>
    <t>CUADRANTE 1 — ALTA INFLUENCIA + ALTO INTERÉS</t>
  </si>
  <si>
    <t>«GESTIONAR DE CERCA»: co-diseño del proyecto, reuniones frecuentes, inclusión en mesa de diálogo.</t>
  </si>
  <si>
    <t>CUADRANTE 2 — ALTA INFLUENCIA + BAJO INTERÉS</t>
  </si>
  <si>
    <t>«MANTENER SATISFECHOS»: mantener informados sin saturar; involucrar cuando se requiera validación técnica/política.</t>
  </si>
  <si>
    <t>CUADRANTE 3 — BAJA INFLUENCIA + ALTO INTERÉS</t>
  </si>
  <si>
    <t>«MANTENER INFORMADOS»: comunicaciones periódicas, escucha activa, canalizar aportes.</t>
  </si>
  <si>
    <t>CUADRANTE 4 — BAJA INFLUENCIA + BAJO INTERÉS</t>
  </si>
  <si>
    <t>«MONITOREAR»: mínimo esfuerzo, seguimiento para detectar cambios de posición.</t>
  </si>
  <si>
    <t>5. ACTORES CRÍTICOS PRIORITARIOS (síntesis)</t>
  </si>
  <si>
    <t>Actor más influyente a favor</t>
  </si>
  <si>
    <t>Actor más influyente en contra / reticente</t>
  </si>
  <si>
    <t>Actor clave en la toma de decisiones comunales</t>
  </si>
  <si>
    <t>Actor clave para coordinar acceso (Ronda)</t>
  </si>
  <si>
    <t>Plataforma / Mesa existente que podría servir de vehículo</t>
  </si>
  <si>
    <t>Validado por autoridad comunal (Firma / Nombre / DNI)</t>
  </si>
  <si>
    <t>Facilitador/a SESDI (Firma / Nombre / DNI)</t>
  </si>
  <si>
    <t>F-DS-04: ACTA DE TALLER PARTICIPATIVO</t>
  </si>
  <si>
    <t>Registro formal con convocatoria, asistencia desagregada por sexo, agenda y acuerdos.  Marque con «X» las casillas aplicables; complete las listas con letra legible.</t>
  </si>
  <si>
    <t>2. DATOS DEL TALLER</t>
  </si>
  <si>
    <t>Lugar del taller (local comunal, IE, etc.) *</t>
  </si>
  <si>
    <t>Entidad convocante</t>
  </si>
  <si>
    <t>Fecha del taller *</t>
  </si>
  <si>
    <t>Hora inicio</t>
  </si>
  <si>
    <t>Hora fin</t>
  </si>
  <si>
    <t>2.1  Asistencia (anotar cantidades)</t>
  </si>
  <si>
    <t>N° convocados</t>
  </si>
  <si>
    <t>N° hombres</t>
  </si>
  <si>
    <t>N° mujeres</t>
  </si>
  <si>
    <t>N° jóvenes (&lt;30)</t>
  </si>
  <si>
    <t>N° adultos mayores (&gt;60)</t>
  </si>
  <si>
    <t>N° total de asistentes</t>
  </si>
  <si>
    <t>Objetivo general del taller *</t>
  </si>
  <si>
    <t>2.2  Metodología empleada (marcar las que apliquen)</t>
  </si>
  <si>
    <t>Exposición magistral</t>
  </si>
  <si>
    <t>Mesas de trabajo / Grupos focales</t>
  </si>
  <si>
    <t>Mapa parlante</t>
  </si>
  <si>
    <t>Matriz Foda / Vester</t>
  </si>
  <si>
    <t>Cartografía participativa</t>
  </si>
  <si>
    <t>Lluvia de ideas</t>
  </si>
  <si>
    <t>Entrevistas semiestructuradas</t>
  </si>
  <si>
    <t>Sociodrama / Dinámicas</t>
  </si>
  <si>
    <t>2.3  Materiales utilizados (marcar los que apliquen)</t>
  </si>
  <si>
    <t xml:space="preserve"> </t>
  </si>
  <si>
    <t>Plumones / Lápices</t>
  </si>
  <si>
    <t>Tarjetas de colores</t>
  </si>
  <si>
    <t>Cinta adhesiva</t>
  </si>
  <si>
    <t>Mapas impresos / Ortofotos</t>
  </si>
  <si>
    <t>Proyector / Laptop</t>
  </si>
  <si>
    <t>Cámara fotográfica</t>
  </si>
  <si>
    <t>Grabadora de audio</t>
  </si>
  <si>
    <t>Refrigerio</t>
  </si>
  <si>
    <t>2.4  Idioma de la facilitación (marcar uno)</t>
  </si>
  <si>
    <t>Quechua</t>
  </si>
  <si>
    <t>3. LISTA DE PARTICIPANTES</t>
  </si>
  <si>
    <t>Nombres y Apellidos</t>
  </si>
  <si>
    <t>Institución / Comunidad</t>
  </si>
  <si>
    <t>Cargo / Rol</t>
  </si>
  <si>
    <t>Sexo</t>
  </si>
  <si>
    <t>Firma / Huella</t>
  </si>
  <si>
    <t>4. AGENDA DESARROLLADA</t>
  </si>
  <si>
    <t>Hora</t>
  </si>
  <si>
    <t>AGENDA</t>
  </si>
  <si>
    <t>Responsable</t>
  </si>
  <si>
    <t>Resultado / Aporte principal</t>
  </si>
  <si>
    <t>5. ACUERDOS Y COMPROMISOS</t>
  </si>
  <si>
    <t>Acuerdo / Compromiso</t>
  </si>
  <si>
    <t>Plazo</t>
  </si>
  <si>
    <t>Medio de verificación</t>
  </si>
  <si>
    <t>6. CIERRE DEL ACTA</t>
  </si>
  <si>
    <t>Siendo las _____ horas del día _____ del mes de _____________ del año 2026, se da por finalizado el taller, firmando los asistentes la presente Acta en señal de conformidad.</t>
  </si>
  <si>
    <t>Presidente/a Comunal o Autoridad local
(Firma / Nombre / DNI)</t>
  </si>
  <si>
    <t>Facilitador/a SESDI
(Firma / Nombre / DNI)</t>
  </si>
  <si>
    <t>F-DS-05: CONFLICTOS SOCIOAMBIENTALES Y OPORTUNIDADES</t>
  </si>
  <si>
    <t>Inventario de conflictos vigentes/latentes — especial atención al contexto Río Blanco — y oportunidades de articulación.  Usar códigos de la hoja «_Codigos». Marcar con «X» las casillas del contexto.</t>
  </si>
  <si>
    <t>LEYENDA RÁPIDA DE CÓDIGOS (ver hoja _Codigos)</t>
  </si>
  <si>
    <t>TIPO: SM=Minero | SH=Hídrico | SF=Forestal | TL=Tenencia | UR=Uso RRNN | PE=Extractivo | OP=Obras públ. | CU=Cultural | LP=Política | IF=Interpersonal | II=Interinst. | OT=Otro</t>
  </si>
  <si>
    <t>ESTADO: LT=Latente | ES=Escalada | AC=Activo | NG=Negociación | RS=Resuelto    ||    ANTIG: 1=&lt;1año | 2=1-3a | 3=3-5a | 4=5-10a | 5=&gt;10a | 6=Histórico</t>
  </si>
  <si>
    <t>2. IDENTIFICACIÓN DE CONFLICTOS</t>
  </si>
  <si>
    <t>Registre todos los conflictos: activos, latentes y resueltos recientes que puedan reactivarse. Usar códigos de la leyenda.</t>
  </si>
  <si>
    <t>Actores involucrados</t>
  </si>
  <si>
    <t>Estado</t>
  </si>
  <si>
    <t>Antig.</t>
  </si>
  <si>
    <t>Descripción / Causa raíz</t>
  </si>
  <si>
    <t>Impacto potencial en el proyecto</t>
  </si>
  <si>
    <t>3. CONTEXTO ESPECÍFICO — CONFLICTO MINERO RÍO BLANCO Y OTROS REFERENTES</t>
  </si>
  <si>
    <t>¿La comunidad tiene vínculo histórico con el conflicto Río Blanco (desde 2007)?</t>
  </si>
  <si>
    <t>¿La comunidad fue parte de la consulta de 2007?</t>
  </si>
  <si>
    <t>¿Persiste sentimiento anti-minero fuerte?</t>
  </si>
  <si>
    <t>¿Hay liderazgos activos en el movimiento anti-minero?</t>
  </si>
  <si>
    <t>¿Se diferencia el proyecto IN del contexto minero?</t>
  </si>
  <si>
    <t>Otros conflictos relevantes (Tambogrande, Majaz, otros)</t>
  </si>
  <si>
    <t>Rol de las rondas en conflictos históricos</t>
  </si>
  <si>
    <t>3.1  Nivel de polarización actual en la comunidad (marcar uno)</t>
  </si>
  <si>
    <t>Muy alto</t>
  </si>
  <si>
    <t>Alto</t>
  </si>
  <si>
    <t>Medio</t>
  </si>
  <si>
    <t>Bajo</t>
  </si>
  <si>
    <t>Muy bajo / Inexistente</t>
  </si>
  <si>
    <t>4. IDENTIFICACIÓN DE OPORTUNIDADES</t>
  </si>
  <si>
    <t>Oportunidad identificada</t>
  </si>
  <si>
    <t>Actores relacionados</t>
  </si>
  <si>
    <t>Tipo (alianza /
plataforma / proy.)</t>
  </si>
  <si>
    <t>Potencial</t>
  </si>
  <si>
    <t>Cómo aprovecharla</t>
  </si>
  <si>
    <t>5. SÍNTESIS ESTRATÉGICA</t>
  </si>
  <si>
    <t>5.1  Nivel global de conflictividad en la zona del bloque (marcar uno)</t>
  </si>
  <si>
    <t>Muy bajo</t>
  </si>
  <si>
    <t>5.2  Viabilidad social preliminar (marcar una)</t>
  </si>
  <si>
    <t>Alta — zona viable para intervención inmediata</t>
  </si>
  <si>
    <t>Media — requiere acercamiento reforzado</t>
  </si>
  <si>
    <t>Baja — requiere mesa de diálogo previa</t>
  </si>
  <si>
    <t>Muy baja — reevaluar inclusión del bloque</t>
  </si>
  <si>
    <t>Estrategia de acercamiento recomendada</t>
  </si>
  <si>
    <t>¿Se requiere mesa de diálogo específica?</t>
  </si>
  <si>
    <t>5.3  Plazo estimado para lograr aceptación comunal (marcar uno)</t>
  </si>
  <si>
    <t>Inmediato (&lt;1 mes)</t>
  </si>
  <si>
    <t>Corto (1-3 meses)</t>
  </si>
  <si>
    <t>Medio (3-6 meses)</t>
  </si>
  <si>
    <t>Largo (6-12 meses)</t>
  </si>
  <si>
    <t>Requiere &gt;12 meses</t>
  </si>
  <si>
    <t>Informante validador (Firma / Nombre / DNI)</t>
  </si>
  <si>
    <t>F-DS-06: PERCEPCIÓN LOCAL DE PELIGROS Y CAMBIO CLIMÁTICO</t>
  </si>
  <si>
    <t>Percepción de autoridades, líderes y pobladores sobre peligros naturales, eventos históricos y cambios observados (10-15 años).  Marcar con «X» en cada fila las casillas que apliquen.</t>
  </si>
  <si>
    <t>Fuente de información (N° personas consultadas)</t>
  </si>
  <si>
    <t>2. PERCEPCIÓN DE PELIGROS NATURALES EN LA ZONA DEL BLOQUE</t>
  </si>
  <si>
    <t>Para cada peligro: marcar «X» en las casillas aplicables (Sí/No + Frecuencia + Magnitud + Tendencia). Registrar último evento y daños observados.</t>
  </si>
  <si>
    <t>Peligro observado</t>
  </si>
  <si>
    <t>¿Ocurre?</t>
  </si>
  <si>
    <t>Frecuencia</t>
  </si>
  <si>
    <t>Magnitud</t>
  </si>
  <si>
    <t>Tendencia</t>
  </si>
  <si>
    <t>Último
evento
(año)</t>
  </si>
  <si>
    <t>Principales daños observados</t>
  </si>
  <si>
    <t>Frec.</t>
  </si>
  <si>
    <t>Rara</t>
  </si>
  <si>
    <t>Sube</t>
  </si>
  <si>
    <t>Movimientos en masa (deslizamientos)</t>
  </si>
  <si>
    <t>Huaycos / Flujos de detritos</t>
  </si>
  <si>
    <t>Erosión hídrica (cárcavas)</t>
  </si>
  <si>
    <t>Inundación / Desborde</t>
  </si>
  <si>
    <t>Sequía / Déficit hídrico</t>
  </si>
  <si>
    <t>Heladas / Friaje</t>
  </si>
  <si>
    <t>Incendios forestales</t>
  </si>
  <si>
    <t>Caída de rocas</t>
  </si>
  <si>
    <t>Plagas agrícolas</t>
  </si>
  <si>
    <t>Pérdida de biodiversidad</t>
  </si>
  <si>
    <t>Contaminación de agua</t>
  </si>
  <si>
    <t>Otro (especificar en daños)</t>
  </si>
  <si>
    <t>FRECUENCIA completa: MF=Muy frecuente (varias x año) | F=Frecuente (cada año) | O=Ocasional (2-5 años) | R=Rara (&gt;5 años) | SR=Sin registro. Si el rango «Frec/Rara» no alcanza, anotar el código en la celda.</t>
  </si>
  <si>
    <t>MAGNITUD completa: A=Alta (pérdida significativa) | M=Media (daños recuperables) | B=Baja (impacto menor). Para magnitud MEDIA anotar «M» en una de las dos casillas.</t>
  </si>
  <si>
    <t>TENDENCIA completa: Sube=Aumentando | Baja=Disminuyendo | E=Estable | I=Irregular/Impredecible | NS=No sabe. Para E/I/NS anotar la letra en la casilla.</t>
  </si>
  <si>
    <t>3. CAMBIOS CLIMÁTICOS OBSERVADOS EN LOS ÚLTIMOS 10-15 AÑOS</t>
  </si>
  <si>
    <t>Cambio observado</t>
  </si>
  <si>
    <t>¿Se percibe?</t>
  </si>
  <si>
    <t>Intensidad</t>
  </si>
  <si>
    <t>Año aprox.
de inicio</t>
  </si>
  <si>
    <t>Impacto en la comunidad / territorio</t>
  </si>
  <si>
    <t>Lluvias más intensas</t>
  </si>
  <si>
    <t>Lluvias más escasas</t>
  </si>
  <si>
    <t>Temporadas más largas sin lluvia</t>
  </si>
  <si>
    <t>Temperaturas más altas</t>
  </si>
  <si>
    <t>Heladas más frecuentes</t>
  </si>
  <si>
    <t>Aparición de nuevas plagas</t>
  </si>
  <si>
    <t>Pérdida de manantiales</t>
  </si>
  <si>
    <t>Otro (especificar en impacto)</t>
  </si>
  <si>
    <t>4. RESPUESTAS Y ADAPTACIONES LOCALES</t>
  </si>
  <si>
    <t>¿La comunidad ha tomado medidas frente a estos cambios?</t>
  </si>
  <si>
    <t>¿Hay sistemas de alerta temprana comunitarios?</t>
  </si>
  <si>
    <t>¿Existen saberes tradicionales de predicción climática?</t>
  </si>
  <si>
    <t>¿Se requiere apoyo externo para adaptación?</t>
  </si>
  <si>
    <t>Describa las medidas / sistemas / saberes / tipo de apoyo requerido:</t>
  </si>
  <si>
    <t>5. PRIORIZACIÓN LOCAL DE PELIGROS</t>
  </si>
  <si>
    <t>Peligro más grave según la comunidad (1)</t>
  </si>
  <si>
    <t>Peligro más grave según la comunidad (2)</t>
  </si>
  <si>
    <t>Peligro más grave según la comunidad (3)</t>
  </si>
  <si>
    <t>¿Existe percepción diferenciada por género?</t>
  </si>
  <si>
    <t>Percepción diferenciada (describa)</t>
  </si>
  <si>
    <t>Informante principal (Firma / Nombre / DNI)</t>
  </si>
  <si>
    <t>F-DS-07: DISPOSICIÓN A PARTICIPAR Y CONSENTIMIENTO PREVIO INFORMADO</t>
  </si>
  <si>
    <t>Evaluación formal de la disposición del titular del predio o de la asamblea comunal a participar — base para acuerdos formales.  Marcar con «X» cada casilla que corresponda.</t>
  </si>
  <si>
    <t>2. DATOS DEL TITULAR / REPRESENTANTE</t>
  </si>
  <si>
    <t>2.1  Tipo de propietario/representante (marcar uno) *</t>
  </si>
  <si>
    <t>Titular individual del predio</t>
  </si>
  <si>
    <t>Posesionario (sin título)</t>
  </si>
  <si>
    <t>Junta Directiva Comunal (predio comunal)</t>
  </si>
  <si>
    <t>Asamblea comunal (representación)</t>
  </si>
  <si>
    <t>Heredero en trámite</t>
  </si>
  <si>
    <t>DNI *</t>
  </si>
  <si>
    <t>Género (marcar)</t>
  </si>
  <si>
    <t>Hombre</t>
  </si>
  <si>
    <t>Mujer</t>
  </si>
  <si>
    <t>Otro / Pref. no decir</t>
  </si>
  <si>
    <t>Dirección / Ubicación de residencia habitual</t>
  </si>
  <si>
    <t>Teléfono / Correo de contacto</t>
  </si>
  <si>
    <t>Superficie aprox. del predio dentro del bloque (ha)</t>
  </si>
  <si>
    <t>2.2  Documentación de tenencia disponible (marcar todas las que apliquen)</t>
  </si>
  <si>
    <t>Título de propiedad SUNARP</t>
  </si>
  <si>
    <t>Constancia de posesión (municipal)</t>
  </si>
  <si>
    <t>Título COFOPRI</t>
  </si>
  <si>
    <t>Certificado catastral</t>
  </si>
  <si>
    <t>Resolución de adjudicación</t>
  </si>
  <si>
    <t>Sin documentación disponible</t>
  </si>
  <si>
    <t>¿Tiene conflictos de linderos?</t>
  </si>
  <si>
    <t>¿Es residente permanente en la zona?</t>
  </si>
  <si>
    <t>3. INFORMACIÓN PROVISTA AL TITULAR / REPRESENTANTE</t>
  </si>
  <si>
    <t>Marque «X» en «Sí» cuando el punto fue efectivamente explicado en lenguaje comprensible. En caso contrario, justificar en Observaciones.</t>
  </si>
  <si>
    <t>Punto de información — ¿Se explicó?</t>
  </si>
  <si>
    <t>3.1</t>
  </si>
  <si>
    <t>Se explicó qué es la Autoridad Nacional de Infraestructura (ANIN).</t>
  </si>
  <si>
    <t>3.2</t>
  </si>
  <si>
    <t>Se explicó el objetivo del proyecto IN Piura (recuperar ecosistemas y reducir riesgos naturales).</t>
  </si>
  <si>
    <t>3.3</t>
  </si>
  <si>
    <t>Se explicó que el proyecto NO es una actividad minera ni extractiva.</t>
  </si>
  <si>
    <t>3.4</t>
  </si>
  <si>
    <t>Se explicó qué medidas específicas podrían implementarse en el predio/bloque (revegetación, zanjas, terrazas, clausura temporal, etc.).</t>
  </si>
  <si>
    <t>3.5</t>
  </si>
  <si>
    <t>Se explicó la temporalidad del proyecto (5 años de ejecución, 15 años de O&amp;M).</t>
  </si>
  <si>
    <t>3.6</t>
  </si>
  <si>
    <t>Se explicó que la participación es voluntaria y puede retirarse sin consecuencias.</t>
  </si>
  <si>
    <t>3.7</t>
  </si>
  <si>
    <t>Se explicó el derecho a recibir información actualizada durante todo el proceso.</t>
  </si>
  <si>
    <t>3.8</t>
  </si>
  <si>
    <t>Se explicó que la información personal será tratada con confidencialidad según normativa de protección de datos.</t>
  </si>
  <si>
    <t>3.9</t>
  </si>
  <si>
    <t>Se absolvieron todas las preguntas planteadas por el titular/representante.</t>
  </si>
  <si>
    <t>3.10</t>
  </si>
  <si>
    <t>Se entregó material informativo (tríptico, hoja resumen) al titular/representante.</t>
  </si>
  <si>
    <t>4. MANIFESTACIÓN DE DISPOSICIÓN A PARTICIPAR</t>
  </si>
  <si>
    <t>4.1  Disposición general a participar (marcar UNA opción) *</t>
  </si>
  <si>
    <t>Totalmente dispuesto/a</t>
  </si>
  <si>
    <t>→ Firma Acta de compromiso en la misma sesión.</t>
  </si>
  <si>
    <t>Dispuesto/a con condiciones</t>
  </si>
  <si>
    <t>→ Registrar condiciones plantadas abajo y dar seguimiento.</t>
  </si>
  <si>
    <t>Requiere más información</t>
  </si>
  <si>
    <t>→ Entregar material; coordinar nueva visita.</t>
  </si>
  <si>
    <t>No dispuesto/a por el momento</t>
  </si>
  <si>
    <t>→ Respetar decisión; dejar canal abierto para futuro.</t>
  </si>
  <si>
    <t>No dispuesto/a rotundamente</t>
  </si>
  <si>
    <t>→ Cerrar proceso respetuosamente; excluir el predio/bloque.</t>
  </si>
  <si>
    <t>Condiciones o requisitos planteados</t>
  </si>
  <si>
    <t>¿Requiere consultar con familia/asamblea?</t>
  </si>
  <si>
    <t>Plazo solicitado para respuesta definitiva (días)</t>
  </si>
  <si>
    <t>¿Autoriza ingreso preliminar a medir/evaluar?</t>
  </si>
  <si>
    <t>¿Autoriza toma de fotografías del predio?</t>
  </si>
  <si>
    <t>¿Autoriza uso de su nombre en el expediente del proyecto?</t>
  </si>
  <si>
    <t>5. PREGUNTAS, PREOCUPACIONES Y COMPROMISOS MUTUOS</t>
  </si>
  <si>
    <t>5.1  Preguntas / preocupaciones principales planteadas por el titular/representante</t>
  </si>
  <si>
    <t>5.2  Compromisos adquiridos por ANIN/SESDI</t>
  </si>
  <si>
    <t>6. CONSENTIMIENTO Y FIRMAS</t>
  </si>
  <si>
    <t>En señal de conformidad con la información provista y la disposición manifestada, se firma el presente registro en el lugar y fecha indicados al inicio. El titular/representante declara haber comprendido el contenido de este documento y haber recibido respuestas satisfactorias a sus preguntas.</t>
  </si>
  <si>
    <t>Titular / Representante
(Firma / Huella digital)</t>
  </si>
  <si>
    <t>Facilitador/a SESDI
(Firma)</t>
  </si>
  <si>
    <t>Nombre: ______________________________
DNI: __________________________________</t>
  </si>
  <si>
    <t>Testigo (Autoridad comunal / Ronda Campesina / Agente municipal) — OPCIONAL pero RECOMENDADO</t>
  </si>
  <si>
    <t>Nombre: ______________________________   Cargo: ______________________________   DNI: ______________________________</t>
  </si>
  <si>
    <t>LEYENDA DE CÓDIGOS — LLENADO MANUAL DE CAMPO</t>
  </si>
  <si>
    <t>Códigos de 1-2 letras para las matrices de actores (F-DS-02) y conflictos (F-DS-05). Consultar en campo antes de rellenar.</t>
  </si>
  <si>
    <t>F-DS-02 — MAPEO DE ACTORES: CÓDIGOS A UTILIZAR</t>
  </si>
  <si>
    <t>TIPO DE ACTOR</t>
  </si>
  <si>
    <t>Escribir el código en la columna 'Tipo de actor' de la matriz</t>
  </si>
  <si>
    <t>GN</t>
  </si>
  <si>
    <t>Gobierno Nacional</t>
  </si>
  <si>
    <t>GR</t>
  </si>
  <si>
    <t>Gobierno Regional</t>
  </si>
  <si>
    <t>GL</t>
  </si>
  <si>
    <t>Gobierno Local (Municipalidad)</t>
  </si>
  <si>
    <t>CC</t>
  </si>
  <si>
    <t>Comunidad Campesina</t>
  </si>
  <si>
    <t>RC</t>
  </si>
  <si>
    <t>Ronda Campesina</t>
  </si>
  <si>
    <t>JU</t>
  </si>
  <si>
    <t>Junta de Usuarios de Agua (riego)</t>
  </si>
  <si>
    <t>JS</t>
  </si>
  <si>
    <t>JASS (saneamiento)</t>
  </si>
  <si>
    <t>CG</t>
  </si>
  <si>
    <t>Comité de Gestión de Cuenca</t>
  </si>
  <si>
    <t>ONG</t>
  </si>
  <si>
    <t>ONG / Cooperación Internacional</t>
  </si>
  <si>
    <t>AC</t>
  </si>
  <si>
    <t>Academia / Universidad</t>
  </si>
  <si>
    <t>EP</t>
  </si>
  <si>
    <t>Empresa privada</t>
  </si>
  <si>
    <t>AP</t>
  </si>
  <si>
    <t>Asociación de productores / Gremio</t>
  </si>
  <si>
    <t>IR</t>
  </si>
  <si>
    <t>Institución religiosa</t>
  </si>
  <si>
    <t>LI</t>
  </si>
  <si>
    <t>Líder / Autoridad comunal</t>
  </si>
  <si>
    <t>MC</t>
  </si>
  <si>
    <t>Medios de comunicación local</t>
  </si>
  <si>
    <t>NIVEL TERRITORIAL</t>
  </si>
  <si>
    <t>Alcance del actor — columna 'Nivel territorial'</t>
  </si>
  <si>
    <t>N</t>
  </si>
  <si>
    <t>Nacional</t>
  </si>
  <si>
    <t>R</t>
  </si>
  <si>
    <t>Regional</t>
  </si>
  <si>
    <t>P</t>
  </si>
  <si>
    <t>Provincial</t>
  </si>
  <si>
    <t>D</t>
  </si>
  <si>
    <t>Distrital</t>
  </si>
  <si>
    <t>C</t>
  </si>
  <si>
    <t>Comunal</t>
  </si>
  <si>
    <t>F</t>
  </si>
  <si>
    <t>Familiar / Individual</t>
  </si>
  <si>
    <t>INFLUENCIA / INTERÉS</t>
  </si>
  <si>
    <t>Mismo código aplica a columnas 'Influencia' e 'Interés'</t>
  </si>
  <si>
    <t>A</t>
  </si>
  <si>
    <t>M</t>
  </si>
  <si>
    <t>B</t>
  </si>
  <si>
    <t>POSICIÓN FRENTE AL PROYECTO</t>
  </si>
  <si>
    <t>Actitud del actor — columna 'Posición'</t>
  </si>
  <si>
    <t>A favor del proyecto</t>
  </si>
  <si>
    <t>Neutral / Sin posición definida</t>
  </si>
  <si>
    <t>Reticente (requiere persuasión)</t>
  </si>
  <si>
    <t>En contra del proyecto</t>
  </si>
  <si>
    <t>ND</t>
  </si>
  <si>
    <t>No determinada</t>
  </si>
  <si>
    <t>F-DS-05 — CONFLICTOS: CÓDIGOS A UTILIZAR</t>
  </si>
  <si>
    <t>TIPO DE CONFLICTO</t>
  </si>
  <si>
    <t>Columna 'Tipo de conflicto' de la matriz</t>
  </si>
  <si>
    <t>SM</t>
  </si>
  <si>
    <t>Socioambiental minero</t>
  </si>
  <si>
    <t>SH</t>
  </si>
  <si>
    <t>Socioambiental hídrico</t>
  </si>
  <si>
    <t>SF</t>
  </si>
  <si>
    <t>Socioambiental forestal</t>
  </si>
  <si>
    <t>TL</t>
  </si>
  <si>
    <t>Tenencia / Linderos de tierras</t>
  </si>
  <si>
    <t>UR</t>
  </si>
  <si>
    <t>Uso de recursos naturales (bosque, pasto)</t>
  </si>
  <si>
    <t>PE</t>
  </si>
  <si>
    <t>Proyecto extractivo en zona</t>
  </si>
  <si>
    <t>OP</t>
  </si>
  <si>
    <t>Obras públicas / Expropiación</t>
  </si>
  <si>
    <t>CU</t>
  </si>
  <si>
    <t>Cultural / Identidad</t>
  </si>
  <si>
    <t>LP</t>
  </si>
  <si>
    <t>Liderazgo / Política local</t>
  </si>
  <si>
    <t>IF</t>
  </si>
  <si>
    <t>Interpersonal / Familiar</t>
  </si>
  <si>
    <t>II</t>
  </si>
  <si>
    <t>Interinstitucional</t>
  </si>
  <si>
    <t>OT</t>
  </si>
  <si>
    <t>NIVEL / ESTADO ACTUAL</t>
  </si>
  <si>
    <t>Columna 'Nivel / Estado actual' de la matriz</t>
  </si>
  <si>
    <t>LT</t>
  </si>
  <si>
    <t>Latente (no manifiesto)</t>
  </si>
  <si>
    <t>ES</t>
  </si>
  <si>
    <t>En escalada (manifestaciones aisladas)</t>
  </si>
  <si>
    <t>Activo (movilizaciones o enfrentamientos)</t>
  </si>
  <si>
    <t>NG</t>
  </si>
  <si>
    <t>En negociación / Mesa de diálogo</t>
  </si>
  <si>
    <t>RS</t>
  </si>
  <si>
    <t>Resuelto / Inactivo</t>
  </si>
  <si>
    <t>ANTIGÜEDAD</t>
  </si>
  <si>
    <t>Columna 'Antigüedad' de la matriz</t>
  </si>
  <si>
    <t>1</t>
  </si>
  <si>
    <t>&lt;1 año</t>
  </si>
  <si>
    <t>2</t>
  </si>
  <si>
    <t>1-3 años</t>
  </si>
  <si>
    <t>3</t>
  </si>
  <si>
    <t>3-5 años</t>
  </si>
  <si>
    <t>4</t>
  </si>
  <si>
    <t>5-10 años</t>
  </si>
  <si>
    <t>5</t>
  </si>
  <si>
    <t>&gt;10 años</t>
  </si>
  <si>
    <t>6</t>
  </si>
  <si>
    <t>Histórico (&gt;20 años)</t>
  </si>
  <si>
    <t>POTENCIAL (Oportunidades)</t>
  </si>
  <si>
    <t>Columna 'Potencial' de la tabla de oportunidades</t>
  </si>
  <si>
    <t>Esta hoja es una ayuda de memoria: IMPRIMIRLA JUNTO CON CADA FORMATO. En caso de duda sobre qué código aplicar, registrar el texto completo en la columna de Observaciones y codificar al digitalizar.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</si>
  <si>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</si>
  <si>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</si>
  <si>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</si>
  <si>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</si>
  <si>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</si>
  <si>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</si>
  <si>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</si>
  <si>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</si>
  <si>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</si>
  <si>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</si>
  <si>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</si>
  <si>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</si>
  <si>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</si>
  <si>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</si>
  <si>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</si>
  <si>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</si>
  <si>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</si>
  <si>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</si>
  <si>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</si>
  <si>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</si>
  <si>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C1096-Q9558</t>
  </si>
  <si>
    <t>M17B4</t>
  </si>
  <si>
    <t>M27B1</t>
  </si>
  <si>
    <t>C1096-Q9557</t>
  </si>
  <si>
    <t>Ayabaca</t>
  </si>
  <si>
    <t>Frias</t>
  </si>
  <si>
    <t>Z02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</si>
  <si>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</si>
  <si>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</si>
  <si>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</si>
  <si>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</si>
  <si>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</si>
  <si>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</si>
  <si>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</si>
  <si>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</si>
  <si>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</si>
  <si>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</si>
  <si>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</si>
  <si>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</si>
  <si>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</si>
  <si>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</si>
  <si>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</si>
  <si>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</si>
  <si>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</si>
  <si>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</si>
  <si>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</si>
  <si>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</si>
  <si>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</si>
  <si>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</si>
  <si>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</si>
  <si>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</si>
  <si>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</si>
  <si>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</si>
  <si>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</si>
  <si>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</si>
  <si>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</si>
  <si>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</si>
  <si>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</si>
  <si>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</si>
  <si>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</si>
  <si>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</si>
  <si>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</si>
  <si>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</si>
  <si>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</si>
  <si>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</si>
  <si>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</si>
  <si>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</si>
  <si>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</si>
  <si>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</si>
  <si>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</si>
  <si>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</si>
  <si>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</si>
  <si>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</si>
  <si>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</si>
  <si>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</si>
  <si>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</si>
  <si>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</si>
  <si>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</si>
  <si>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</si>
  <si>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</si>
  <si>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</si>
  <si>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</si>
  <si>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</si>
  <si>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</si>
  <si>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</si>
  <si>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</si>
  <si>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</si>
  <si>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</si>
  <si>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</si>
  <si>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</si>
  <si>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</si>
  <si>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</si>
  <si>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</si>
  <si>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</si>
  <si>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</si>
  <si>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</si>
  <si>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</si>
  <si>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</si>
  <si>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</si>
  <si>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</si>
  <si>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</si>
  <si>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</si>
  <si>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</si>
  <si>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</si>
  <si>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</si>
  <si>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52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</si>
  <si>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</si>
  <si>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</si>
  <si>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</si>
  <si>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</si>
  <si>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</si>
  <si>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</si>
  <si>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</si>
  <si>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</si>
  <si>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</si>
  <si>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</si>
  <si>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</si>
  <si>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</si>
  <si>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</si>
  <si>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</si>
  <si>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</si>
  <si>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</si>
  <si>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</si>
  <si>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</si>
  <si>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</si>
  <si>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</si>
  <si>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</si>
  <si>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</si>
  <si>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</si>
  <si>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</si>
  <si>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</si>
  <si>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</si>
  <si>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</si>
  <si>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</si>
  <si>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</si>
  <si>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</si>
  <si>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</si>
  <si>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</si>
  <si>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</si>
  <si>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</si>
  <si>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</si>
  <si>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</si>
  <si>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</si>
  <si>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</si>
  <si>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</si>
  <si>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</si>
  <si>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</si>
  <si>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</si>
  <si>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</si>
  <si>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</si>
  <si>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</si>
  <si>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</si>
  <si>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</si>
  <si>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</si>
  <si>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</si>
  <si>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</si>
  <si>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</si>
  <si>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</si>
  <si>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</si>
  <si>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</si>
  <si>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</si>
  <si>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</si>
  <si>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</si>
  <si>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</si>
  <si>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</si>
  <si>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</si>
  <si>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</si>
  <si>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</si>
  <si>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</si>
  <si>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</si>
  <si>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</si>
  <si>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</si>
  <si>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</si>
  <si>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</si>
  <si>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</si>
  <si>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</si>
  <si>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</si>
  <si>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</si>
  <si>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</si>
  <si>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</si>
  <si>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51</t>
  </si>
  <si>
    <t>76</t>
  </si>
  <si>
    <t>80</t>
  </si>
  <si>
    <t>71</t>
  </si>
  <si>
    <t>8</t>
  </si>
  <si>
    <t>20</t>
  </si>
  <si>
    <t>L_SINO</t>
  </si>
  <si>
    <t>L_SINONA</t>
  </si>
  <si>
    <t>L_SINOPARCIAL</t>
  </si>
  <si>
    <t>L_ABC</t>
  </si>
  <si>
    <t>L_BRM</t>
  </si>
  <si>
    <t>L_ORG_COMUNAL</t>
  </si>
  <si>
    <t>L_IDIOMA</t>
  </si>
  <si>
    <t>L_NIV_EDU</t>
  </si>
  <si>
    <t>L_MIG_DEST</t>
  </si>
  <si>
    <t>L_PERIODIC</t>
  </si>
  <si>
    <t>L_TENENCIA</t>
  </si>
  <si>
    <t>L_REG_TIT</t>
  </si>
  <si>
    <t>L_AGUA</t>
  </si>
  <si>
    <t>L_SANEA</t>
  </si>
  <si>
    <t>L_ENERG</t>
  </si>
  <si>
    <t>L_TELECOM</t>
  </si>
  <si>
    <t>L_CAT_EESS</t>
  </si>
  <si>
    <t>L_NIV_EDU_IE</t>
  </si>
  <si>
    <t>L_ACTIV</t>
  </si>
  <si>
    <t>L_DESTINO</t>
  </si>
  <si>
    <t>L_TIPO_ACTOR</t>
  </si>
  <si>
    <t>L_NIV_TERR</t>
  </si>
  <si>
    <t>L_POSICION</t>
  </si>
  <si>
    <t>L_TIPO_CONFL</t>
  </si>
  <si>
    <t>L_NIVEL_CONFL</t>
  </si>
  <si>
    <t>L_ANTIG_CONFL</t>
  </si>
  <si>
    <t>L_PELIGRO_OBS</t>
  </si>
  <si>
    <t>L_FRECUENCIA</t>
  </si>
  <si>
    <t>L_TENDENCIA_CC</t>
  </si>
  <si>
    <t>L_CAMBIO_CLIMA</t>
  </si>
  <si>
    <t>L_DISPOSICION</t>
  </si>
  <si>
    <t>L_TIPO_PROPIETARIO</t>
  </si>
  <si>
    <t>L_TIPO_SABER</t>
  </si>
  <si>
    <t>L_VIG_SABER</t>
  </si>
  <si>
    <t>100% Autoconsumo</t>
  </si>
  <si>
    <t>Muy frecuente (varias veces al año)</t>
  </si>
  <si>
    <t>Aumentando</t>
  </si>
  <si>
    <t>Manejo agroforestal tradicional</t>
  </si>
  <si>
    <t>Plenamente vigente (practicado por todos)</t>
  </si>
  <si>
    <t>Parcial</t>
  </si>
  <si>
    <t>Quechua (variante Cañaris)</t>
  </si>
  <si>
    <t>Mayormente autoconsumo (&gt;70%)</t>
  </si>
  <si>
    <t>Frecuente (cada año)</t>
  </si>
  <si>
    <t>Disminuyendo</t>
  </si>
  <si>
    <t>Uso medicinal de plantas nativas</t>
  </si>
  <si>
    <t>Vigente parcialmente (solo adultos mayores)</t>
  </si>
  <si>
    <t>No aplica</t>
  </si>
  <si>
    <t>Quechua (variante Chachapoyas)</t>
  </si>
  <si>
    <t>Huancabamba / Ayabaca (capital provincial)</t>
  </si>
  <si>
    <t>Mixto autoconsumo/mercado (30-70%)</t>
  </si>
  <si>
    <t>Ocasional (cada 2-5 años)</t>
  </si>
  <si>
    <t>Estable</t>
  </si>
  <si>
    <t>Prácticas de conservación de suelos</t>
  </si>
  <si>
    <t>En riesgo de pérdida</t>
  </si>
  <si>
    <t>Mayormente mercado (&gt;70%)</t>
  </si>
  <si>
    <t>Rara (&gt;5 años)</t>
  </si>
  <si>
    <t>Irregular / Impredecible</t>
  </si>
  <si>
    <t>Manejo de agua (siembra y cosecha)</t>
  </si>
  <si>
    <t>Casi extinto (solo memoria)</t>
  </si>
  <si>
    <t>Otro (especificar)</t>
  </si>
  <si>
    <t>100% Mercado</t>
  </si>
  <si>
    <t>Sin registro reciente</t>
  </si>
  <si>
    <t>No sabe</t>
  </si>
  <si>
    <t>Calendario agrícola tradicional</t>
  </si>
  <si>
    <t>Recuperado recientemente</t>
  </si>
  <si>
    <t>Acarreo (cántaros)</t>
  </si>
  <si>
    <t>Control biológico tradicional</t>
  </si>
  <si>
    <t>Pastoreo rotacional ancestral</t>
  </si>
  <si>
    <t>Rituales / Ceremonias ambientales</t>
  </si>
  <si>
    <t>No hay migración significativa</t>
  </si>
  <si>
    <t>Sistemas de alerta climática tradicional</t>
  </si>
  <si>
    <t>Artesanía con fibras nativas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</si>
</sst>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charset val="1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0"/>
      <color rgb="FF1B4D2E"/>
      <name val="Arial"/>
      <family val="2"/>
    </font>
    <font>
      <b/>
      <sz val="9"/>
      <color rgb="FFC0392B"/>
      <name val="Arial"/>
      <family val="2"/>
    </font>
    <font>
      <b/>
      <sz val="9"/>
      <color rgb="FF1B4D2E"/>
      <name val="Arial"/>
      <family val="2"/>
    </font>
    <font>
      <sz val="8"/>
      <name val="Arial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13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8"/>
      <name val="Arial"/>
      <family val="2"/>
    </font>
    <font>
      <sz val="11"/>
      <name val="Calibri"/>
      <family val="2"/>
      <charset val="1"/>
    </font>
    <font>
      <b/>
      <sz val="14"/>
      <name val="Arial"/>
      <family val="2"/>
    </font>
    <font>
      <i/>
      <sz val="11"/>
      <name val="Arial"/>
      <family val="2"/>
    </font>
    <font>
      <b/>
      <sz val="11"/>
      <color rgb="FFC0392B"/>
      <name val="Arial"/>
      <family val="2"/>
    </font>
    <font>
      <sz val="11"/>
      <name val="Arial"/>
      <family val="2"/>
    </font>
    <font>
      <b/>
      <sz val="11"/>
      <color rgb="FF1B4D2E"/>
      <name val="Arial"/>
      <family val="2"/>
    </font>
    <font>
      <i/>
      <sz val="11"/>
      <color rgb="FF555555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2"/>
      <color rgb="FFC0392B"/>
      <name val="Arial"/>
      <family val="2"/>
    </font>
    <font>
      <sz val="12"/>
      <name val="Arial"/>
      <family val="2"/>
    </font>
    <font>
      <b/>
      <sz val="12"/>
      <color rgb="FFC00000"/>
      <name val="Arial"/>
      <family val="2"/>
    </font>
    <font>
      <sz val="12"/>
      <name val="Calibri"/>
      <family val="2"/>
      <charset val="1"/>
    </font>
    <font>
      <b/>
      <sz val="12"/>
      <color rgb="FF1B4D2E"/>
      <name val="Arial"/>
      <family val="2"/>
    </font>
    <font>
      <sz val="12"/>
      <color theme="1"/>
      <name val="Calibri"/>
      <family val="2"/>
      <charset val="1"/>
    </font>
    <font>
      <b/>
      <i/>
      <sz val="10"/>
      <color rgb="FF333333"/>
      <name val="Arial"/>
      <family val="2"/>
    </font>
    <font>
      <sz val="10"/>
      <color theme="1"/>
      <name val="Calibri"/>
      <family val="2"/>
      <charset val="1"/>
    </font>
    <font>
      <b/>
      <i/>
      <sz val="10"/>
      <color rgb="FF555555"/>
      <name val="Arial"/>
      <family val="2"/>
    </font>
    <font>
      <b/>
      <sz val="10"/>
      <color theme="1"/>
      <name val="Calibri"/>
      <family val="2"/>
      <charset val="1"/>
    </font>
    <font>
      <b/>
      <i/>
      <sz val="11"/>
      <color rgb="FF555555"/>
      <name val="Arial"/>
      <family val="2"/>
    </font>
    <font>
      <b/>
      <sz val="11"/>
      <color theme="1"/>
      <name val="Calibri"/>
      <family val="2"/>
      <charset val="1"/>
    </font>
    <font>
      <i/>
      <sz val="11"/>
      <color rgb="FF333333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Calibri"/>
      <family val="2"/>
      <charset val="1"/>
    </font>
    <font>
      <i/>
      <sz val="12"/>
      <color rgb="FF555555"/>
      <name val="Arial"/>
      <family val="2"/>
    </font>
    <font>
      <b/>
      <i/>
      <sz val="12"/>
      <color rgb="FF555555"/>
      <name val="Arial"/>
      <family val="2"/>
    </font>
    <font>
      <i/>
      <sz val="12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1"/>
      <color rgb="FF333333"/>
      <name val="Arial"/>
      <family val="2"/>
    </font>
    <font>
      <sz val="9"/>
      <color rgb="FF1B4D2E"/>
      <name val="Arial"/>
    </font>
  </fonts>
  <fills count="22">
    <fill>
      <patternFill patternType="none"/>
    </fill>
    <fill>
      <patternFill patternType="gray125"/>
    </fill>
    <fill>
      <patternFill patternType="solid">
        <fgColor rgb="FF1B4D2E"/>
        <bgColor rgb="FF1B4F72"/>
      </patternFill>
    </fill>
    <fill>
      <patternFill patternType="solid">
        <fgColor rgb="FFF2F2F2"/>
        <bgColor rgb="FFE8F4FD"/>
      </patternFill>
    </fill>
    <fill>
      <patternFill patternType="solid">
        <fgColor rgb="FFFFFFFF"/>
        <bgColor rgb="FFF2F2F2"/>
      </patternFill>
    </fill>
    <fill>
      <patternFill patternType="solid">
        <fgColor rgb="FFD4E6D9"/>
        <bgColor rgb="FFE8F4FD"/>
      </patternFill>
    </fill>
    <fill>
      <patternFill patternType="solid">
        <fgColor rgb="FFFFF4D6"/>
        <bgColor rgb="FFF2F2F2"/>
      </patternFill>
    </fill>
    <fill>
      <patternFill patternType="solid">
        <fgColor rgb="FFE8F4FD"/>
        <bgColor rgb="FFF2F2F2"/>
      </patternFill>
    </fill>
    <fill>
      <patternFill patternType="solid">
        <fgColor theme="0"/>
        <bgColor rgb="FF1B4F72"/>
      </patternFill>
    </fill>
    <fill>
      <patternFill patternType="solid">
        <fgColor theme="0"/>
        <bgColor rgb="FF1B4D2E"/>
      </patternFill>
    </fill>
    <fill>
      <patternFill patternType="solid">
        <fgColor theme="0"/>
        <bgColor rgb="FFE8F4FD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rgb="FFE8F4FD"/>
      </patternFill>
    </fill>
    <fill>
      <patternFill patternType="solid">
        <fgColor theme="0" tint="-0.14999847407452621"/>
        <bgColor rgb="FF1B4F7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rgb="FFE8F4F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1B4F72"/>
      </patternFill>
    </fill>
    <fill>
      <patternFill patternType="solid">
        <fgColor theme="0" tint="-4.9989318521683403E-2"/>
        <bgColor rgb="FF1B4D2E"/>
      </patternFill>
    </fill>
    <fill>
      <patternFill patternType="solid">
        <fgColor rgb="FFFFF2CC"/>
      </patternFill>
    </fill>
  </fills>
  <borders count="96">
    <border>
      <left/>
      <right/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1B4D2E"/>
      </left>
      <right/>
      <top style="medium">
        <color rgb="FF1B4D2E"/>
      </top>
      <bottom style="medium">
        <color rgb="FF1B4D2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 style="medium">
        <color rgb="FF33333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 style="thin">
        <color rgb="FF7F7F7F"/>
      </top>
      <bottom/>
      <diagonal/>
    </border>
    <border>
      <left style="thin">
        <color rgb="FF7F7F7F"/>
      </left>
      <right style="medium">
        <color indexed="64"/>
      </right>
      <top/>
      <bottom style="thin">
        <color rgb="FF7F7F7F"/>
      </bottom>
      <diagonal/>
    </border>
    <border>
      <left/>
      <right style="medium">
        <color indexed="64"/>
      </right>
      <top/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333333"/>
      </right>
      <top/>
      <bottom style="medium">
        <color rgb="FF333333"/>
      </bottom>
      <diagonal/>
    </border>
    <border>
      <left/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rgb="FF333333"/>
      </right>
      <top style="medium">
        <color rgb="FF333333"/>
      </top>
      <bottom/>
      <diagonal/>
    </border>
    <border>
      <left style="medium">
        <color rgb="FF333333"/>
      </left>
      <right style="medium">
        <color rgb="FF333333"/>
      </right>
      <top/>
      <bottom/>
      <diagonal/>
    </border>
    <border>
      <left style="medium">
        <color indexed="64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rgb="FF333333"/>
      </left>
      <right style="medium">
        <color rgb="FF333333"/>
      </right>
      <top style="medium">
        <color indexed="64"/>
      </top>
      <bottom style="medium">
        <color indexed="64"/>
      </bottom>
      <diagonal/>
    </border>
    <border>
      <left style="medium">
        <color rgb="FF33333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333333"/>
      </left>
      <right/>
      <top/>
      <bottom/>
      <diagonal/>
    </border>
    <border>
      <left/>
      <right style="medium">
        <color rgb="FF33333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rgb="FF333333"/>
      </left>
      <right/>
      <top/>
      <bottom style="medium">
        <color rgb="FF333333"/>
      </bottom>
      <diagonal/>
    </border>
    <border>
      <left style="medium">
        <color rgb="FF333333"/>
      </left>
      <right/>
      <top style="medium">
        <color rgb="FF333333"/>
      </top>
      <bottom style="medium">
        <color rgb="FF33333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rgb="FF333333"/>
      </bottom>
      <diagonal/>
    </border>
    <border>
      <left style="medium">
        <color indexed="64"/>
      </left>
      <right style="medium">
        <color indexed="64"/>
      </right>
      <top style="medium">
        <color rgb="FF333333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333333"/>
      </right>
      <top style="medium">
        <color rgb="FF333333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thin">
        <color rgb="FF7F7F7F"/>
      </bottom>
      <diagonal/>
    </border>
    <border>
      <left style="medium">
        <color indexed="64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rgb="FF1B4D2E"/>
      </top>
      <bottom style="medium">
        <color rgb="FF1B4D2E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 style="medium">
        <color rgb="FF33333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33333"/>
      </left>
      <right style="medium">
        <color rgb="FF33333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7">
    <xf numFmtId="0" fontId="0" fillId="0" borderId="0" xfId="0"/>
    <xf numFmtId="0" fontId="0" fillId="3" borderId="3" xfId="0" applyFill="1" applyBorder="1"/>
    <xf numFmtId="0" fontId="7" fillId="0" borderId="0" xfId="0" applyFont="1" applyAlignment="1">
      <alignment horizontal="left" vertical="center" wrapText="1" indent="1"/>
    </xf>
    <xf numFmtId="0" fontId="8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12" borderId="0" xfId="0" applyFill="1"/>
    <xf numFmtId="0" fontId="15" fillId="12" borderId="0" xfId="0" applyFont="1" applyFill="1"/>
    <xf numFmtId="0" fontId="19" fillId="4" borderId="10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vertical="center" wrapText="1"/>
    </xf>
    <xf numFmtId="0" fontId="12" fillId="3" borderId="10" xfId="0" applyFont="1" applyFill="1" applyBorder="1" applyAlignment="1">
      <alignment horizontal="left" vertical="center" wrapText="1" indent="1"/>
    </xf>
    <xf numFmtId="0" fontId="19" fillId="4" borderId="10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0" fillId="11" borderId="4" xfId="0" applyFont="1" applyFill="1" applyBorder="1" applyAlignment="1">
      <alignment horizontal="center" vertical="center" wrapText="1"/>
    </xf>
    <xf numFmtId="0" fontId="20" fillId="15" borderId="4" xfId="0" applyFont="1" applyFill="1" applyBorder="1" applyAlignment="1">
      <alignment horizontal="center" vertical="center" wrapText="1"/>
    </xf>
    <xf numFmtId="0" fontId="20" fillId="13" borderId="3" xfId="0" applyFont="1" applyFill="1" applyBorder="1" applyAlignment="1">
      <alignment horizontal="center" vertical="center" wrapText="1"/>
    </xf>
    <xf numFmtId="0" fontId="20" fillId="15" borderId="25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left" vertical="center" wrapText="1" indent="1"/>
    </xf>
    <xf numFmtId="0" fontId="0" fillId="0" borderId="22" xfId="0" applyBorder="1"/>
    <xf numFmtId="0" fontId="0" fillId="0" borderId="21" xfId="0" applyBorder="1"/>
    <xf numFmtId="0" fontId="19" fillId="0" borderId="0" xfId="0" applyFont="1" applyAlignment="1">
      <alignment horizontal="left" vertical="center" wrapText="1" indent="1"/>
    </xf>
    <xf numFmtId="0" fontId="19" fillId="0" borderId="22" xfId="0" applyFont="1" applyBorder="1" applyAlignment="1">
      <alignment horizontal="left" vertical="center" wrapText="1" indent="1"/>
    </xf>
    <xf numFmtId="0" fontId="12" fillId="8" borderId="26" xfId="0" applyFont="1" applyFill="1" applyBorder="1" applyAlignment="1">
      <alignment horizontal="center" vertical="center" wrapText="1"/>
    </xf>
    <xf numFmtId="0" fontId="12" fillId="8" borderId="24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20" fillId="13" borderId="26" xfId="0" applyFont="1" applyFill="1" applyBorder="1" applyAlignment="1">
      <alignment horizontal="center" vertical="center" wrapText="1"/>
    </xf>
    <xf numFmtId="0" fontId="19" fillId="12" borderId="0" xfId="0" applyFont="1" applyFill="1" applyAlignment="1">
      <alignment horizontal="left" vertical="center" wrapText="1" indent="1"/>
    </xf>
    <xf numFmtId="0" fontId="20" fillId="15" borderId="27" xfId="0" applyFont="1" applyFill="1" applyBorder="1" applyAlignment="1">
      <alignment horizontal="center" vertical="center" wrapText="1"/>
    </xf>
    <xf numFmtId="0" fontId="20" fillId="15" borderId="29" xfId="0" applyFont="1" applyFill="1" applyBorder="1" applyAlignment="1">
      <alignment horizontal="center" vertical="center" wrapText="1"/>
    </xf>
    <xf numFmtId="0" fontId="20" fillId="15" borderId="31" xfId="0" applyFont="1" applyFill="1" applyBorder="1" applyAlignment="1">
      <alignment horizontal="center" vertical="center" wrapText="1"/>
    </xf>
    <xf numFmtId="0" fontId="20" fillId="15" borderId="32" xfId="0" applyFont="1" applyFill="1" applyBorder="1" applyAlignment="1">
      <alignment horizontal="center" vertical="center" wrapText="1"/>
    </xf>
    <xf numFmtId="0" fontId="19" fillId="4" borderId="44" xfId="0" applyFont="1" applyFill="1" applyBorder="1" applyAlignment="1">
      <alignment horizontal="left" vertical="center" wrapText="1" indent="1"/>
    </xf>
    <xf numFmtId="0" fontId="20" fillId="15" borderId="45" xfId="0" applyFont="1" applyFill="1" applyBorder="1" applyAlignment="1">
      <alignment horizontal="center" vertical="center" wrapText="1"/>
    </xf>
    <xf numFmtId="0" fontId="20" fillId="15" borderId="46" xfId="0" applyFont="1" applyFill="1" applyBorder="1" applyAlignment="1">
      <alignment horizontal="center" vertical="center" wrapText="1"/>
    </xf>
    <xf numFmtId="0" fontId="20" fillId="15" borderId="47" xfId="0" applyFont="1" applyFill="1" applyBorder="1" applyAlignment="1">
      <alignment horizontal="center" vertical="center" wrapText="1"/>
    </xf>
    <xf numFmtId="0" fontId="20" fillId="15" borderId="48" xfId="0" applyFont="1" applyFill="1" applyBorder="1" applyAlignment="1">
      <alignment horizontal="center" vertical="center" wrapText="1"/>
    </xf>
    <xf numFmtId="0" fontId="20" fillId="15" borderId="49" xfId="0" applyFont="1" applyFill="1" applyBorder="1" applyAlignment="1">
      <alignment horizontal="center" vertical="center" wrapText="1"/>
    </xf>
    <xf numFmtId="0" fontId="19" fillId="0" borderId="34" xfId="0" applyFont="1" applyBorder="1" applyAlignment="1">
      <alignment horizontal="left" vertical="center" wrapText="1" indent="1"/>
    </xf>
    <xf numFmtId="0" fontId="20" fillId="15" borderId="50" xfId="0" applyFont="1" applyFill="1" applyBorder="1" applyAlignment="1">
      <alignment horizontal="center" vertical="center" wrapText="1"/>
    </xf>
    <xf numFmtId="0" fontId="20" fillId="15" borderId="51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vertical="center" wrapText="1"/>
    </xf>
    <xf numFmtId="0" fontId="20" fillId="11" borderId="3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4" fillId="3" borderId="10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vertical="center" wrapText="1"/>
    </xf>
    <xf numFmtId="0" fontId="24" fillId="3" borderId="10" xfId="0" applyFont="1" applyFill="1" applyBorder="1" applyAlignment="1">
      <alignment vertical="center" wrapText="1"/>
    </xf>
    <xf numFmtId="0" fontId="24" fillId="10" borderId="10" xfId="0" applyFont="1" applyFill="1" applyBorder="1" applyAlignment="1">
      <alignment horizontal="center" vertical="center" wrapText="1"/>
    </xf>
    <xf numFmtId="0" fontId="27" fillId="12" borderId="0" xfId="0" applyFont="1" applyFill="1"/>
    <xf numFmtId="0" fontId="29" fillId="0" borderId="0" xfId="0" applyFont="1"/>
    <xf numFmtId="0" fontId="9" fillId="8" borderId="3" xfId="0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/>
    <xf numFmtId="0" fontId="35" fillId="0" borderId="0" xfId="0" applyFont="1"/>
    <xf numFmtId="0" fontId="25" fillId="4" borderId="14" xfId="0" applyFont="1" applyFill="1" applyBorder="1" applyAlignment="1">
      <alignment horizontal="center"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0" fillId="18" borderId="0" xfId="0" applyFill="1"/>
    <xf numFmtId="0" fontId="6" fillId="15" borderId="4" xfId="0" applyFont="1" applyFill="1" applyBorder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left" vertical="center" wrapText="1" indent="1"/>
    </xf>
    <xf numFmtId="0" fontId="38" fillId="0" borderId="0" xfId="0" applyFont="1"/>
    <xf numFmtId="0" fontId="9" fillId="3" borderId="10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left" vertical="center" wrapText="1" indent="1"/>
    </xf>
    <xf numFmtId="0" fontId="29" fillId="4" borderId="10" xfId="0" applyFont="1" applyFill="1" applyBorder="1" applyAlignment="1">
      <alignment horizontal="center" vertical="center" wrapText="1"/>
    </xf>
    <xf numFmtId="0" fontId="28" fillId="16" borderId="4" xfId="0" applyFont="1" applyFill="1" applyBorder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 wrapText="1"/>
    </xf>
    <xf numFmtId="0" fontId="15" fillId="18" borderId="0" xfId="0" applyFont="1" applyFill="1"/>
    <xf numFmtId="0" fontId="9" fillId="19" borderId="3" xfId="0" applyFont="1" applyFill="1" applyBorder="1" applyAlignment="1">
      <alignment horizontal="center" vertical="center" wrapText="1"/>
    </xf>
    <xf numFmtId="0" fontId="27" fillId="18" borderId="0" xfId="0" applyFont="1" applyFill="1"/>
    <xf numFmtId="0" fontId="28" fillId="15" borderId="4" xfId="0" applyFont="1" applyFill="1" applyBorder="1" applyAlignment="1">
      <alignment horizontal="center" vertical="center" wrapText="1"/>
    </xf>
    <xf numFmtId="0" fontId="29" fillId="3" borderId="3" xfId="0" applyFont="1" applyFill="1" applyBorder="1"/>
    <xf numFmtId="0" fontId="25" fillId="0" borderId="0" xfId="0" applyFont="1" applyAlignment="1">
      <alignment horizontal="left" vertical="center" wrapText="1" indent="1"/>
    </xf>
    <xf numFmtId="0" fontId="28" fillId="11" borderId="4" xfId="0" applyFont="1" applyFill="1" applyBorder="1" applyAlignment="1">
      <alignment horizontal="center" vertical="center" wrapText="1"/>
    </xf>
    <xf numFmtId="0" fontId="25" fillId="6" borderId="3" xfId="0" applyFont="1" applyFill="1" applyBorder="1" applyAlignment="1">
      <alignment horizontal="center" vertical="center" wrapText="1"/>
    </xf>
    <xf numFmtId="0" fontId="25" fillId="15" borderId="10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28" fillId="15" borderId="31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9" fillId="3" borderId="60" xfId="0" applyFont="1" applyFill="1" applyBorder="1" applyAlignment="1">
      <alignment horizontal="center" vertical="center" wrapText="1"/>
    </xf>
    <xf numFmtId="0" fontId="25" fillId="4" borderId="60" xfId="0" applyFont="1" applyFill="1" applyBorder="1" applyAlignment="1">
      <alignment horizontal="left" vertical="center" wrapText="1" indent="1"/>
    </xf>
    <xf numFmtId="0" fontId="28" fillId="13" borderId="10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28" fillId="16" borderId="32" xfId="0" applyFont="1" applyFill="1" applyBorder="1" applyAlignment="1">
      <alignment horizontal="center" vertical="center" wrapText="1"/>
    </xf>
    <xf numFmtId="0" fontId="28" fillId="13" borderId="63" xfId="0" applyFont="1" applyFill="1" applyBorder="1" applyAlignment="1">
      <alignment horizontal="center" vertical="center" wrapText="1"/>
    </xf>
    <xf numFmtId="0" fontId="28" fillId="16" borderId="64" xfId="0" applyFont="1" applyFill="1" applyBorder="1" applyAlignment="1">
      <alignment horizontal="center" vertical="center" wrapText="1"/>
    </xf>
    <xf numFmtId="0" fontId="28" fillId="16" borderId="65" xfId="0" applyFont="1" applyFill="1" applyBorder="1" applyAlignment="1">
      <alignment horizontal="center" vertical="center" wrapText="1"/>
    </xf>
    <xf numFmtId="0" fontId="28" fillId="16" borderId="66" xfId="0" applyFont="1" applyFill="1" applyBorder="1" applyAlignment="1">
      <alignment horizontal="center" vertical="center" wrapText="1"/>
    </xf>
    <xf numFmtId="0" fontId="27" fillId="19" borderId="3" xfId="0" applyFont="1" applyFill="1" applyBorder="1"/>
    <xf numFmtId="0" fontId="29" fillId="4" borderId="3" xfId="0" applyFont="1" applyFill="1" applyBorder="1"/>
    <xf numFmtId="0" fontId="28" fillId="16" borderId="59" xfId="0" applyFont="1" applyFill="1" applyBorder="1" applyAlignment="1">
      <alignment horizontal="center" vertical="center" wrapText="1"/>
    </xf>
    <xf numFmtId="0" fontId="25" fillId="18" borderId="0" xfId="0" applyFont="1" applyFill="1" applyAlignment="1">
      <alignment horizontal="left" vertical="center" wrapText="1" indent="1"/>
    </xf>
    <xf numFmtId="0" fontId="29" fillId="18" borderId="0" xfId="0" applyFont="1" applyFill="1"/>
    <xf numFmtId="0" fontId="19" fillId="4" borderId="0" xfId="0" applyFont="1" applyFill="1" applyAlignment="1">
      <alignment horizontal="left" vertical="top" wrapText="1" indent="1"/>
    </xf>
    <xf numFmtId="0" fontId="24" fillId="3" borderId="1" xfId="0" applyFont="1" applyFill="1" applyBorder="1" applyAlignment="1">
      <alignment vertical="center" wrapText="1"/>
    </xf>
    <xf numFmtId="0" fontId="28" fillId="15" borderId="62" xfId="0" applyFont="1" applyFill="1" applyBorder="1" applyAlignment="1">
      <alignment horizontal="center" vertical="center" wrapText="1"/>
    </xf>
    <xf numFmtId="0" fontId="28" fillId="15" borderId="68" xfId="0" applyFont="1" applyFill="1" applyBorder="1" applyAlignment="1">
      <alignment horizontal="center" vertical="center" wrapText="1"/>
    </xf>
    <xf numFmtId="0" fontId="28" fillId="15" borderId="46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vertical="center" wrapText="1"/>
    </xf>
    <xf numFmtId="0" fontId="25" fillId="0" borderId="59" xfId="0" applyFont="1" applyBorder="1" applyAlignment="1">
      <alignment vertical="center" wrapText="1"/>
    </xf>
    <xf numFmtId="0" fontId="45" fillId="21" borderId="0" xfId="0" applyFont="1" applyFill="1" applyAlignment="1">
      <alignment horizontal="center" vertical="center" wrapText="1"/>
    </xf>
    <xf numFmtId="0" fontId="45" fillId="21" borderId="3" xfId="0" applyFont="1" applyFill="1" applyBorder="1" applyAlignment="1">
      <alignment horizontal="center" vertical="center" wrapText="1"/>
    </xf>
    <xf numFmtId="0" fontId="45" fillId="21" borderId="10" xfId="0" applyFont="1" applyFill="1" applyBorder="1" applyAlignment="1">
      <alignment horizontal="center" vertical="center" wrapText="1"/>
    </xf>
    <xf numFmtId="0" fontId="45" fillId="21" borderId="32" xfId="0" applyFont="1" applyFill="1" applyBorder="1" applyAlignment="1">
      <alignment horizontal="center" vertical="center" wrapText="1"/>
    </xf>
    <xf numFmtId="0" fontId="45" fillId="21" borderId="61" xfId="0" applyFont="1" applyFill="1" applyBorder="1" applyAlignment="1">
      <alignment horizontal="center" vertical="center" wrapText="1"/>
    </xf>
    <xf numFmtId="0" fontId="45" fillId="21" borderId="4" xfId="0" applyFont="1" applyFill="1" applyBorder="1" applyAlignment="1">
      <alignment horizontal="center" vertical="center" wrapText="1"/>
    </xf>
    <xf numFmtId="0" fontId="45" fillId="21" borderId="62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left" vertical="center" indent="1"/>
    </xf>
    <xf numFmtId="0" fontId="15" fillId="12" borderId="0" xfId="0" applyFont="1" applyFill="1"/>
    <xf numFmtId="0" fontId="2" fillId="4" borderId="1" xfId="0" applyFont="1" applyFill="1" applyBorder="1" applyAlignment="1">
      <alignment horizontal="left" vertical="center" wrapText="1" indent="1"/>
    </xf>
    <xf numFmtId="0" fontId="0" fillId="0" borderId="9" xfId="0" applyBorder="1"/>
    <xf numFmtId="0" fontId="1" fillId="3" borderId="1" xfId="0" applyFont="1" applyFill="1" applyBorder="1" applyAlignment="1">
      <alignment horizontal="left" vertical="center" wrapText="1" indent="1"/>
    </xf>
    <xf numFmtId="0" fontId="0" fillId="4" borderId="1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6" fillId="17" borderId="1" xfId="0" applyFont="1" applyFill="1" applyBorder="1" applyAlignment="1">
      <alignment horizontal="left" vertical="center" wrapText="1" indent="1"/>
    </xf>
    <xf numFmtId="0" fontId="2" fillId="10" borderId="10" xfId="0" applyFont="1" applyFill="1" applyBorder="1" applyAlignment="1">
      <alignment horizontal="left" vertical="center" wrapText="1" indent="1"/>
    </xf>
    <xf numFmtId="0" fontId="0" fillId="0" borderId="14" xfId="0" applyBorder="1"/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 indent="1"/>
    </xf>
    <xf numFmtId="0" fontId="16" fillId="8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center" vertical="center" wrapText="1"/>
    </xf>
    <xf numFmtId="0" fontId="2" fillId="4" borderId="10" xfId="0" applyFont="1" applyFill="1" applyBorder="1" applyAlignment="1">
      <alignment horizontal="left" vertical="center" wrapText="1" indent="1"/>
    </xf>
    <xf numFmtId="0" fontId="0" fillId="0" borderId="13" xfId="0" applyBorder="1"/>
    <xf numFmtId="0" fontId="30" fillId="3" borderId="0" xfId="0" applyFont="1" applyFill="1" applyAlignment="1">
      <alignment horizontal="center" vertical="center" wrapText="1"/>
    </xf>
    <xf numFmtId="0" fontId="33" fillId="0" borderId="0" xfId="0" applyFont="1"/>
    <xf numFmtId="0" fontId="7" fillId="0" borderId="1" xfId="0" applyFont="1" applyBorder="1" applyAlignment="1">
      <alignment horizontal="left" vertical="center" wrapText="1" indent="1"/>
    </xf>
    <xf numFmtId="0" fontId="16" fillId="9" borderId="0" xfId="0" applyFont="1" applyFill="1" applyAlignment="1">
      <alignment horizontal="center" vertical="center" wrapText="1"/>
    </xf>
    <xf numFmtId="0" fontId="5" fillId="3" borderId="10" xfId="0" applyFont="1" applyFill="1" applyBorder="1" applyAlignment="1">
      <alignment horizontal="left" vertical="center" wrapText="1" inden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7" fillId="0" borderId="56" xfId="0" applyFont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left" vertical="center" wrapText="1" indent="1"/>
    </xf>
    <xf numFmtId="0" fontId="22" fillId="8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11" borderId="10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top" wrapText="1" indent="1"/>
    </xf>
    <xf numFmtId="0" fontId="13" fillId="13" borderId="1" xfId="0" applyFont="1" applyFill="1" applyBorder="1" applyAlignment="1">
      <alignment horizontal="center" vertical="center" wrapText="1"/>
    </xf>
    <xf numFmtId="0" fontId="15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top" wrapText="1" indent="1"/>
    </xf>
    <xf numFmtId="0" fontId="1" fillId="11" borderId="1" xfId="0" applyFont="1" applyFill="1" applyBorder="1" applyAlignment="1">
      <alignment horizontal="left" vertical="top" wrapText="1" indent="1"/>
    </xf>
    <xf numFmtId="0" fontId="1" fillId="13" borderId="1" xfId="0" applyFont="1" applyFill="1" applyBorder="1" applyAlignment="1">
      <alignment horizontal="left" vertical="center" wrapText="1" indent="1"/>
    </xf>
    <xf numFmtId="0" fontId="2" fillId="11" borderId="1" xfId="0" applyFont="1" applyFill="1" applyBorder="1" applyAlignment="1">
      <alignment horizontal="left" vertical="center" wrapText="1" indent="1"/>
    </xf>
    <xf numFmtId="0" fontId="1" fillId="14" borderId="1" xfId="0" applyFont="1" applyFill="1" applyBorder="1" applyAlignment="1">
      <alignment horizontal="center" vertical="center" wrapText="1"/>
    </xf>
    <xf numFmtId="0" fontId="11" fillId="10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left" vertical="center" wrapText="1" indent="1"/>
    </xf>
    <xf numFmtId="0" fontId="9" fillId="8" borderId="0" xfId="0" applyFont="1" applyFill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0" fillId="10" borderId="42" xfId="0" applyFill="1" applyBorder="1" applyAlignment="1">
      <alignment horizontal="center"/>
    </xf>
    <xf numFmtId="0" fontId="0" fillId="0" borderId="38" xfId="0" applyBorder="1"/>
    <xf numFmtId="0" fontId="0" fillId="0" borderId="43" xfId="0" applyBorder="1"/>
    <xf numFmtId="0" fontId="12" fillId="3" borderId="33" xfId="0" applyFont="1" applyFill="1" applyBorder="1" applyAlignment="1">
      <alignment horizontal="left" vertical="center" wrapText="1" indent="1"/>
    </xf>
    <xf numFmtId="0" fontId="0" fillId="0" borderId="34" xfId="0" applyBorder="1"/>
    <xf numFmtId="0" fontId="12" fillId="3" borderId="23" xfId="0" applyFont="1" applyFill="1" applyBorder="1" applyAlignment="1">
      <alignment horizontal="left" vertical="center" wrapText="1" indent="1"/>
    </xf>
    <xf numFmtId="0" fontId="19" fillId="0" borderId="24" xfId="0" applyFont="1" applyBorder="1" applyAlignment="1">
      <alignment horizontal="left" vertical="center" wrapText="1" indent="1"/>
    </xf>
    <xf numFmtId="0" fontId="0" fillId="0" borderId="39" xfId="0" applyBorder="1"/>
    <xf numFmtId="0" fontId="19" fillId="0" borderId="1" xfId="0" applyFont="1" applyBorder="1" applyAlignment="1">
      <alignment horizontal="left" vertical="center" wrapText="1" indent="1"/>
    </xf>
    <xf numFmtId="0" fontId="18" fillId="3" borderId="23" xfId="0" applyFont="1" applyFill="1" applyBorder="1" applyAlignment="1">
      <alignment horizontal="left" vertical="center" wrapText="1" indent="1"/>
    </xf>
    <xf numFmtId="0" fontId="12" fillId="3" borderId="77" xfId="0" applyFont="1" applyFill="1" applyBorder="1" applyAlignment="1">
      <alignment horizontal="left" vertical="center" wrapText="1" indent="1"/>
    </xf>
    <xf numFmtId="0" fontId="19" fillId="4" borderId="35" xfId="0" applyFont="1" applyFill="1" applyBorder="1" applyAlignment="1">
      <alignment horizontal="left" vertical="center" wrapText="1" indent="1"/>
    </xf>
    <xf numFmtId="0" fontId="0" fillId="0" borderId="35" xfId="0" applyBorder="1"/>
    <xf numFmtId="0" fontId="19" fillId="4" borderId="1" xfId="0" applyFont="1" applyFill="1" applyBorder="1" applyAlignment="1">
      <alignment horizontal="left" vertical="center" wrapText="1" indent="1"/>
    </xf>
    <xf numFmtId="0" fontId="0" fillId="3" borderId="1" xfId="0" applyFill="1" applyBorder="1"/>
    <xf numFmtId="0" fontId="18" fillId="10" borderId="20" xfId="0" applyFont="1" applyFill="1" applyBorder="1" applyAlignment="1">
      <alignment horizontal="center" vertical="center" wrapText="1"/>
    </xf>
    <xf numFmtId="0" fontId="0" fillId="0" borderId="19" xfId="0" applyBorder="1"/>
    <xf numFmtId="0" fontId="12" fillId="8" borderId="1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left" vertical="center" wrapText="1" indent="1"/>
    </xf>
    <xf numFmtId="0" fontId="21" fillId="10" borderId="10" xfId="0" applyFont="1" applyFill="1" applyBorder="1" applyAlignment="1">
      <alignment horizontal="center" vertical="center" wrapText="1"/>
    </xf>
    <xf numFmtId="0" fontId="19" fillId="4" borderId="59" xfId="0" applyFont="1" applyFill="1" applyBorder="1" applyAlignment="1">
      <alignment horizontal="left" vertical="center" wrapText="1" indent="1"/>
    </xf>
    <xf numFmtId="0" fontId="19" fillId="10" borderId="10" xfId="0" applyFont="1" applyFill="1" applyBorder="1" applyAlignment="1">
      <alignment horizontal="center" vertical="center" wrapText="1"/>
    </xf>
    <xf numFmtId="0" fontId="12" fillId="10" borderId="24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left" vertical="center" wrapText="1" indent="1"/>
    </xf>
    <xf numFmtId="0" fontId="12" fillId="3" borderId="12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left" vertical="center" wrapText="1" indent="1"/>
    </xf>
    <xf numFmtId="0" fontId="0" fillId="0" borderId="86" xfId="0" applyBorder="1"/>
    <xf numFmtId="0" fontId="2" fillId="4" borderId="1" xfId="0" applyFont="1" applyFill="1" applyBorder="1" applyAlignment="1">
      <alignment horizontal="left" vertical="top" wrapText="1" indent="1"/>
    </xf>
    <xf numFmtId="0" fontId="0" fillId="3" borderId="24" xfId="0" applyFill="1" applyBorder="1"/>
    <xf numFmtId="0" fontId="12" fillId="8" borderId="76" xfId="0" applyFont="1" applyFill="1" applyBorder="1" applyAlignment="1">
      <alignment horizontal="left" vertical="center" indent="1"/>
    </xf>
    <xf numFmtId="0" fontId="0" fillId="0" borderId="22" xfId="0" applyBorder="1"/>
    <xf numFmtId="0" fontId="0" fillId="0" borderId="10" xfId="0" applyBorder="1" applyAlignment="1">
      <alignment horizontal="center"/>
    </xf>
    <xf numFmtId="0" fontId="12" fillId="3" borderId="81" xfId="0" applyFont="1" applyFill="1" applyBorder="1" applyAlignment="1">
      <alignment horizontal="center" vertical="center" wrapText="1"/>
    </xf>
    <xf numFmtId="0" fontId="0" fillId="0" borderId="37" xfId="0" applyBorder="1"/>
    <xf numFmtId="0" fontId="12" fillId="3" borderId="79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left" vertical="center" wrapText="1" indent="1"/>
    </xf>
    <xf numFmtId="0" fontId="19" fillId="0" borderId="6" xfId="0" applyFont="1" applyBorder="1" applyAlignment="1">
      <alignment horizontal="left" vertical="center" wrapText="1" indent="1"/>
    </xf>
    <xf numFmtId="0" fontId="0" fillId="0" borderId="11" xfId="0" applyBorder="1"/>
    <xf numFmtId="0" fontId="12" fillId="3" borderId="10" xfId="0" applyFont="1" applyFill="1" applyBorder="1" applyAlignment="1">
      <alignment horizontal="left" vertical="center" wrapText="1"/>
    </xf>
    <xf numFmtId="0" fontId="19" fillId="4" borderId="41" xfId="0" applyFont="1" applyFill="1" applyBorder="1" applyAlignment="1">
      <alignment horizontal="left" vertical="center" wrapText="1" indent="1"/>
    </xf>
    <xf numFmtId="0" fontId="0" fillId="0" borderId="78" xfId="0" applyBorder="1"/>
    <xf numFmtId="0" fontId="12" fillId="10" borderId="10" xfId="0" applyFont="1" applyFill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0" fontId="19" fillId="4" borderId="59" xfId="0" applyFont="1" applyFill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7" fillId="10" borderId="0" xfId="0" applyFont="1" applyFill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21" fillId="0" borderId="76" xfId="0" applyFont="1" applyBorder="1" applyAlignment="1">
      <alignment horizontal="left" vertical="center" wrapText="1" indent="1"/>
    </xf>
    <xf numFmtId="0" fontId="18" fillId="3" borderId="18" xfId="0" applyFont="1" applyFill="1" applyBorder="1" applyAlignment="1">
      <alignment horizontal="left" vertical="center" wrapText="1" indent="1"/>
    </xf>
    <xf numFmtId="0" fontId="12" fillId="3" borderId="82" xfId="0" applyFont="1" applyFill="1" applyBorder="1" applyAlignment="1">
      <alignment horizontal="left" vertical="center" wrapText="1" indent="1"/>
    </xf>
    <xf numFmtId="0" fontId="0" fillId="0" borderId="83" xfId="0" applyBorder="1"/>
    <xf numFmtId="0" fontId="0" fillId="0" borderId="84" xfId="0" applyBorder="1"/>
    <xf numFmtId="0" fontId="12" fillId="9" borderId="0" xfId="0" applyFont="1" applyFill="1" applyAlignment="1">
      <alignment horizontal="left" vertical="center" indent="1"/>
    </xf>
    <xf numFmtId="0" fontId="0" fillId="10" borderId="24" xfId="0" applyFill="1" applyBorder="1"/>
    <xf numFmtId="0" fontId="12" fillId="3" borderId="85" xfId="0" applyFont="1" applyFill="1" applyBorder="1" applyAlignment="1">
      <alignment horizontal="left" vertical="center" wrapText="1" indent="1"/>
    </xf>
    <xf numFmtId="0" fontId="0" fillId="0" borderId="87" xfId="0" applyBorder="1"/>
    <xf numFmtId="0" fontId="19" fillId="4" borderId="79" xfId="0" applyFont="1" applyFill="1" applyBorder="1" applyAlignment="1">
      <alignment horizontal="center" vertical="center" wrapText="1"/>
    </xf>
    <xf numFmtId="0" fontId="12" fillId="3" borderId="40" xfId="0" applyFont="1" applyFill="1" applyBorder="1" applyAlignment="1">
      <alignment horizontal="left" vertical="center" wrapText="1" indent="1"/>
    </xf>
    <xf numFmtId="0" fontId="12" fillId="8" borderId="75" xfId="0" applyFont="1" applyFill="1" applyBorder="1" applyAlignment="1">
      <alignment horizontal="left" vertical="center" indent="1"/>
    </xf>
    <xf numFmtId="0" fontId="0" fillId="0" borderId="16" xfId="0" applyBorder="1"/>
    <xf numFmtId="0" fontId="0" fillId="0" borderId="17" xfId="0" applyBorder="1"/>
    <xf numFmtId="0" fontId="19" fillId="4" borderId="24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 indent="1"/>
    </xf>
    <xf numFmtId="0" fontId="12" fillId="3" borderId="9" xfId="0" applyFont="1" applyFill="1" applyBorder="1" applyAlignment="1">
      <alignment horizontal="left" vertical="center" wrapText="1" indent="1"/>
    </xf>
    <xf numFmtId="0" fontId="12" fillId="3" borderId="1" xfId="0" applyFont="1" applyFill="1" applyBorder="1" applyAlignment="1">
      <alignment horizontal="left" vertical="center" wrapText="1" indent="1"/>
    </xf>
    <xf numFmtId="0" fontId="12" fillId="10" borderId="17" xfId="0" applyFont="1" applyFill="1" applyBorder="1" applyAlignment="1">
      <alignment horizontal="center" vertical="center" wrapText="1"/>
    </xf>
    <xf numFmtId="0" fontId="20" fillId="11" borderId="10" xfId="0" applyFont="1" applyFill="1" applyBorder="1" applyAlignment="1">
      <alignment horizontal="center" vertical="center" wrapText="1"/>
    </xf>
    <xf numFmtId="0" fontId="19" fillId="0" borderId="41" xfId="0" applyFont="1" applyBorder="1" applyAlignment="1">
      <alignment horizontal="left" vertical="center" wrapText="1" indent="1"/>
    </xf>
    <xf numFmtId="0" fontId="2" fillId="8" borderId="0" xfId="0" applyFont="1" applyFill="1" applyAlignment="1">
      <alignment horizontal="center" vertical="center" wrapText="1"/>
    </xf>
    <xf numFmtId="0" fontId="12" fillId="16" borderId="24" xfId="0" applyFont="1" applyFill="1" applyBorder="1" applyAlignment="1">
      <alignment horizontal="left" vertical="center" wrapText="1"/>
    </xf>
    <xf numFmtId="0" fontId="19" fillId="16" borderId="3" xfId="0" applyFont="1" applyFill="1" applyBorder="1" applyAlignment="1">
      <alignment horizontal="center" vertical="center" wrapText="1"/>
    </xf>
    <xf numFmtId="0" fontId="12" fillId="3" borderId="80" xfId="0" applyFont="1" applyFill="1" applyBorder="1" applyAlignment="1">
      <alignment horizontal="left" vertical="center" wrapText="1" indent="1"/>
    </xf>
    <xf numFmtId="0" fontId="12" fillId="3" borderId="15" xfId="0" applyFont="1" applyFill="1" applyBorder="1" applyAlignment="1">
      <alignment horizontal="left" vertical="center" wrapText="1" indent="1"/>
    </xf>
    <xf numFmtId="0" fontId="12" fillId="10" borderId="1" xfId="0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/>
    </xf>
    <xf numFmtId="0" fontId="0" fillId="0" borderId="52" xfId="0" applyBorder="1"/>
    <xf numFmtId="0" fontId="0" fillId="0" borderId="53" xfId="0" applyBorder="1"/>
    <xf numFmtId="0" fontId="12" fillId="3" borderId="59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left" vertical="center" wrapText="1" indent="1"/>
    </xf>
    <xf numFmtId="0" fontId="18" fillId="3" borderId="1" xfId="0" applyFont="1" applyFill="1" applyBorder="1" applyAlignment="1">
      <alignment horizontal="left" vertical="center" wrapText="1" indent="1"/>
    </xf>
    <xf numFmtId="0" fontId="12" fillId="13" borderId="18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 indent="1"/>
    </xf>
    <xf numFmtId="0" fontId="25" fillId="4" borderId="1" xfId="0" applyFont="1" applyFill="1" applyBorder="1" applyAlignment="1">
      <alignment horizontal="left" vertical="center" wrapText="1" indent="1"/>
    </xf>
    <xf numFmtId="0" fontId="28" fillId="5" borderId="1" xfId="0" applyFont="1" applyFill="1" applyBorder="1" applyAlignment="1">
      <alignment horizontal="left" vertical="top" wrapText="1" indent="1"/>
    </xf>
    <xf numFmtId="0" fontId="25" fillId="4" borderId="10" xfId="0" applyFont="1" applyFill="1" applyBorder="1" applyAlignment="1">
      <alignment horizontal="center" vertical="center" wrapText="1"/>
    </xf>
    <xf numFmtId="0" fontId="24" fillId="10" borderId="10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left" vertical="top" wrapText="1" indent="1"/>
    </xf>
    <xf numFmtId="0" fontId="28" fillId="7" borderId="1" xfId="0" applyFont="1" applyFill="1" applyBorder="1" applyAlignment="1">
      <alignment horizontal="left" vertical="top" wrapText="1" indent="1"/>
    </xf>
    <xf numFmtId="0" fontId="9" fillId="8" borderId="0" xfId="0" applyFont="1" applyFill="1" applyAlignment="1">
      <alignment horizontal="left" vertical="center" indent="1"/>
    </xf>
    <xf numFmtId="0" fontId="27" fillId="12" borderId="0" xfId="0" applyFont="1" applyFill="1"/>
    <xf numFmtId="0" fontId="24" fillId="3" borderId="10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left" vertical="top" wrapText="1" indent="1"/>
    </xf>
    <xf numFmtId="0" fontId="32" fillId="3" borderId="1" xfId="0" applyFont="1" applyFill="1" applyBorder="1" applyAlignment="1">
      <alignment horizontal="left" vertical="top" wrapText="1" indent="1"/>
    </xf>
    <xf numFmtId="0" fontId="9" fillId="8" borderId="10" xfId="0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left" vertical="center" indent="1"/>
    </xf>
    <xf numFmtId="0" fontId="29" fillId="0" borderId="58" xfId="0" applyFont="1" applyBorder="1" applyAlignment="1">
      <alignment horizontal="center"/>
    </xf>
    <xf numFmtId="0" fontId="0" fillId="0" borderId="55" xfId="0" applyBorder="1"/>
    <xf numFmtId="0" fontId="25" fillId="6" borderId="1" xfId="0" applyFont="1" applyFill="1" applyBorder="1" applyAlignment="1">
      <alignment horizontal="left" vertical="top" wrapText="1" indent="1"/>
    </xf>
    <xf numFmtId="0" fontId="28" fillId="3" borderId="1" xfId="0" applyFont="1" applyFill="1" applyBorder="1" applyAlignment="1">
      <alignment horizontal="left" vertical="top" wrapText="1" indent="1"/>
    </xf>
    <xf numFmtId="0" fontId="31" fillId="0" borderId="0" xfId="0" applyFont="1"/>
    <xf numFmtId="0" fontId="25" fillId="5" borderId="1" xfId="0" applyFont="1" applyFill="1" applyBorder="1" applyAlignment="1">
      <alignment horizontal="left" vertical="top" wrapText="1" indent="1"/>
    </xf>
    <xf numFmtId="0" fontId="34" fillId="0" borderId="0" xfId="0" applyFont="1" applyAlignment="1">
      <alignment horizontal="left" vertical="center" wrapText="1" indent="1"/>
    </xf>
    <xf numFmtId="0" fontId="35" fillId="0" borderId="0" xfId="0" applyFont="1"/>
    <xf numFmtId="0" fontId="25" fillId="7" borderId="1" xfId="0" applyFont="1" applyFill="1" applyBorder="1" applyAlignment="1">
      <alignment horizontal="left" vertical="top" wrapText="1" indent="1"/>
    </xf>
    <xf numFmtId="0" fontId="26" fillId="3" borderId="10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left" vertical="center" wrapText="1" indent="1"/>
    </xf>
    <xf numFmtId="0" fontId="35" fillId="0" borderId="0" xfId="0" applyFont="1" applyAlignment="1">
      <alignment horizontal="center" vertical="center" wrapText="1"/>
    </xf>
    <xf numFmtId="0" fontId="25" fillId="0" borderId="1" xfId="0" applyFont="1" applyBorder="1" applyAlignment="1">
      <alignment horizontal="left" vertical="center" wrapText="1" indent="1"/>
    </xf>
    <xf numFmtId="0" fontId="24" fillId="3" borderId="1" xfId="0" applyFont="1" applyFill="1" applyBorder="1" applyAlignment="1">
      <alignment horizontal="left" vertical="center" wrapText="1" indent="1"/>
    </xf>
    <xf numFmtId="0" fontId="9" fillId="19" borderId="91" xfId="0" applyFont="1" applyFill="1" applyBorder="1" applyAlignment="1">
      <alignment horizontal="center" vertical="center" wrapText="1"/>
    </xf>
    <xf numFmtId="0" fontId="0" fillId="0" borderId="57" xfId="0" applyBorder="1"/>
    <xf numFmtId="0" fontId="1" fillId="0" borderId="0" xfId="0" applyFont="1" applyAlignment="1">
      <alignment horizontal="center" vertical="center" wrapText="1"/>
    </xf>
    <xf numFmtId="0" fontId="25" fillId="4" borderId="72" xfId="0" applyFont="1" applyFill="1" applyBorder="1" applyAlignment="1">
      <alignment horizontal="left" vertical="center" wrapText="1" indent="1"/>
    </xf>
    <xf numFmtId="0" fontId="0" fillId="0" borderId="89" xfId="0" applyBorder="1"/>
    <xf numFmtId="0" fontId="9" fillId="3" borderId="72" xfId="0" applyFont="1" applyFill="1" applyBorder="1" applyAlignment="1">
      <alignment horizontal="left" vertical="center" wrapText="1" indent="1"/>
    </xf>
    <xf numFmtId="0" fontId="25" fillId="10" borderId="1" xfId="0" applyFont="1" applyFill="1" applyBorder="1" applyAlignment="1">
      <alignment horizontal="left" vertical="center" wrapText="1" indent="1"/>
    </xf>
    <xf numFmtId="0" fontId="24" fillId="3" borderId="72" xfId="0" applyFont="1" applyFill="1" applyBorder="1" applyAlignment="1">
      <alignment horizontal="left" vertical="center" wrapText="1" indent="1"/>
    </xf>
    <xf numFmtId="0" fontId="36" fillId="3" borderId="0" xfId="0" applyFont="1" applyFill="1" applyAlignment="1">
      <alignment horizontal="center" vertical="center" wrapText="1"/>
    </xf>
    <xf numFmtId="0" fontId="9" fillId="3" borderId="12" xfId="0" applyFont="1" applyFill="1" applyBorder="1" applyAlignment="1">
      <alignment horizontal="left" vertical="center" wrapText="1" indent="1"/>
    </xf>
    <xf numFmtId="0" fontId="28" fillId="11" borderId="2" xfId="0" applyFont="1" applyFill="1" applyBorder="1" applyAlignment="1">
      <alignment horizontal="center" vertical="center" wrapText="1"/>
    </xf>
    <xf numFmtId="0" fontId="0" fillId="0" borderId="88" xfId="0" applyBorder="1"/>
    <xf numFmtId="0" fontId="9" fillId="19" borderId="90" xfId="0" applyFont="1" applyFill="1" applyBorder="1" applyAlignment="1">
      <alignment horizontal="center" vertical="center" wrapText="1"/>
    </xf>
    <xf numFmtId="0" fontId="9" fillId="20" borderId="0" xfId="0" applyFont="1" applyFill="1" applyAlignment="1">
      <alignment horizontal="left" vertical="center" indent="1"/>
    </xf>
    <xf numFmtId="0" fontId="15" fillId="18" borderId="0" xfId="0" applyFont="1" applyFill="1"/>
    <xf numFmtId="0" fontId="9" fillId="8" borderId="1" xfId="0" applyFont="1" applyFill="1" applyBorder="1" applyAlignment="1">
      <alignment horizontal="center" vertical="center" wrapText="1"/>
    </xf>
    <xf numFmtId="0" fontId="29" fillId="3" borderId="1" xfId="0" applyFont="1" applyFill="1" applyBorder="1"/>
    <xf numFmtId="0" fontId="9" fillId="19" borderId="0" xfId="0" applyFont="1" applyFill="1" applyAlignment="1">
      <alignment horizontal="left" vertical="center" indent="1"/>
    </xf>
    <xf numFmtId="0" fontId="27" fillId="18" borderId="0" xfId="0" applyFont="1" applyFill="1"/>
    <xf numFmtId="0" fontId="29" fillId="4" borderId="1" xfId="0" applyFont="1" applyFill="1" applyBorder="1"/>
    <xf numFmtId="0" fontId="37" fillId="2" borderId="0" xfId="0" applyFont="1" applyFill="1" applyAlignment="1">
      <alignment horizontal="left" vertical="center" indent="1"/>
    </xf>
    <xf numFmtId="0" fontId="29" fillId="0" borderId="0" xfId="0" applyFont="1"/>
    <xf numFmtId="0" fontId="25" fillId="10" borderId="58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top" wrapText="1" indent="1"/>
    </xf>
    <xf numFmtId="0" fontId="16" fillId="19" borderId="0" xfId="0" applyFont="1" applyFill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 wrapText="1"/>
    </xf>
    <xf numFmtId="0" fontId="25" fillId="4" borderId="59" xfId="0" applyFont="1" applyFill="1" applyBorder="1" applyAlignment="1">
      <alignment horizontal="center" vertical="center" wrapText="1"/>
    </xf>
    <xf numFmtId="0" fontId="23" fillId="17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left" vertical="center" wrapText="1" indent="1"/>
    </xf>
    <xf numFmtId="0" fontId="16" fillId="20" borderId="0" xfId="0" applyFont="1" applyFill="1" applyAlignment="1">
      <alignment horizontal="center" vertical="center" wrapText="1"/>
    </xf>
    <xf numFmtId="0" fontId="12" fillId="19" borderId="0" xfId="0" applyFont="1" applyFill="1" applyAlignment="1">
      <alignment horizontal="left" vertical="center" indent="1"/>
    </xf>
    <xf numFmtId="0" fontId="22" fillId="19" borderId="0" xfId="0" applyFont="1" applyFill="1" applyAlignment="1">
      <alignment horizontal="center" vertical="center" wrapText="1"/>
    </xf>
    <xf numFmtId="0" fontId="39" fillId="3" borderId="1" xfId="0" applyFont="1" applyFill="1" applyBorder="1" applyAlignment="1">
      <alignment horizontal="left" vertical="top" wrapText="1" indent="1"/>
    </xf>
    <xf numFmtId="0" fontId="9" fillId="14" borderId="10" xfId="0" applyFont="1" applyFill="1" applyBorder="1" applyAlignment="1">
      <alignment horizontal="center" vertical="center" wrapText="1"/>
    </xf>
    <xf numFmtId="0" fontId="0" fillId="0" borderId="58" xfId="0" applyBorder="1"/>
    <xf numFmtId="0" fontId="9" fillId="8" borderId="5" xfId="0" applyFont="1" applyFill="1" applyBorder="1" applyAlignment="1">
      <alignment horizontal="center" vertical="center" wrapText="1"/>
    </xf>
    <xf numFmtId="0" fontId="0" fillId="0" borderId="93" xfId="0" applyBorder="1"/>
    <xf numFmtId="0" fontId="25" fillId="10" borderId="1" xfId="0" applyFont="1" applyFill="1" applyBorder="1" applyAlignment="1">
      <alignment horizontal="center" vertical="center" wrapText="1"/>
    </xf>
    <xf numFmtId="0" fontId="41" fillId="10" borderId="0" xfId="0" applyFont="1" applyFill="1" applyAlignment="1">
      <alignment horizontal="center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0" fillId="0" borderId="15" xfId="0" applyBorder="1"/>
    <xf numFmtId="0" fontId="21" fillId="0" borderId="0" xfId="0" applyFont="1" applyAlignment="1">
      <alignment horizontal="left" vertical="center" wrapText="1" indent="1"/>
    </xf>
    <xf numFmtId="0" fontId="25" fillId="8" borderId="0" xfId="0" applyFont="1" applyFill="1" applyAlignment="1">
      <alignment horizontal="center" vertical="center" wrapText="1"/>
    </xf>
    <xf numFmtId="0" fontId="0" fillId="0" borderId="73" xfId="0" applyBorder="1"/>
    <xf numFmtId="0" fontId="0" fillId="0" borderId="54" xfId="0" applyBorder="1"/>
    <xf numFmtId="0" fontId="0" fillId="0" borderId="92" xfId="0" applyBorder="1"/>
    <xf numFmtId="0" fontId="2" fillId="0" borderId="0" xfId="0" applyFont="1" applyAlignment="1">
      <alignment horizontal="left" vertical="center" wrapText="1" indent="1"/>
    </xf>
    <xf numFmtId="0" fontId="25" fillId="0" borderId="59" xfId="0" applyFont="1" applyBorder="1" applyAlignment="1">
      <alignment horizontal="left" vertical="center" wrapText="1" indent="1"/>
    </xf>
    <xf numFmtId="0" fontId="19" fillId="4" borderId="1" xfId="0" applyFont="1" applyFill="1" applyBorder="1" applyAlignment="1">
      <alignment horizontal="left" vertical="top" wrapText="1" indent="1"/>
    </xf>
    <xf numFmtId="0" fontId="25" fillId="0" borderId="59" xfId="0" applyFont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left" vertical="center" wrapText="1" indent="1"/>
    </xf>
    <xf numFmtId="0" fontId="28" fillId="10" borderId="1" xfId="0" applyFont="1" applyFill="1" applyBorder="1" applyAlignment="1">
      <alignment horizontal="left" vertical="center" wrapText="1" indent="1"/>
    </xf>
    <xf numFmtId="0" fontId="43" fillId="17" borderId="0" xfId="0" applyFont="1" applyFill="1" applyAlignment="1">
      <alignment horizontal="center" vertical="center" wrapText="1"/>
    </xf>
    <xf numFmtId="0" fontId="25" fillId="4" borderId="94" xfId="0" applyFont="1" applyFill="1" applyBorder="1" applyAlignment="1">
      <alignment horizontal="center" vertical="center" wrapText="1"/>
    </xf>
    <xf numFmtId="0" fontId="0" fillId="0" borderId="69" xfId="0" applyBorder="1"/>
    <xf numFmtId="0" fontId="0" fillId="0" borderId="71" xfId="0" applyBorder="1"/>
    <xf numFmtId="0" fontId="24" fillId="3" borderId="10" xfId="0" applyFont="1" applyFill="1" applyBorder="1" applyAlignment="1">
      <alignment horizontal="left" vertical="center" wrapText="1" indent="1"/>
    </xf>
    <xf numFmtId="0" fontId="6" fillId="10" borderId="1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 indent="1"/>
    </xf>
    <xf numFmtId="0" fontId="9" fillId="3" borderId="10" xfId="0" applyFont="1" applyFill="1" applyBorder="1" applyAlignment="1">
      <alignment horizontal="left" vertical="center" wrapText="1" indent="1"/>
    </xf>
    <xf numFmtId="0" fontId="42" fillId="19" borderId="0" xfId="0" applyFont="1" applyFill="1" applyAlignment="1">
      <alignment horizontal="center" vertical="center" wrapText="1"/>
    </xf>
    <xf numFmtId="0" fontId="25" fillId="10" borderId="10" xfId="0" applyFont="1" applyFill="1" applyBorder="1" applyAlignment="1">
      <alignment horizontal="left" vertical="center" wrapText="1" indent="1"/>
    </xf>
    <xf numFmtId="0" fontId="25" fillId="16" borderId="12" xfId="0" applyFont="1" applyFill="1" applyBorder="1" applyAlignment="1">
      <alignment horizontal="left" vertical="center" wrapText="1" indent="1"/>
    </xf>
    <xf numFmtId="0" fontId="9" fillId="17" borderId="10" xfId="0" applyFont="1" applyFill="1" applyBorder="1" applyAlignment="1">
      <alignment horizontal="left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28" fillId="11" borderId="10" xfId="0" applyFont="1" applyFill="1" applyBorder="1" applyAlignment="1">
      <alignment horizontal="center" vertical="center" wrapText="1"/>
    </xf>
    <xf numFmtId="0" fontId="25" fillId="4" borderId="70" xfId="0" applyFont="1" applyFill="1" applyBorder="1" applyAlignment="1">
      <alignment horizontal="center" vertical="center" wrapText="1"/>
    </xf>
    <xf numFmtId="0" fontId="0" fillId="0" borderId="95" xfId="0" applyBorder="1"/>
    <xf numFmtId="0" fontId="28" fillId="11" borderId="59" xfId="0" applyFont="1" applyFill="1" applyBorder="1" applyAlignment="1">
      <alignment horizontal="center" vertical="center" wrapText="1"/>
    </xf>
    <xf numFmtId="0" fontId="0" fillId="0" borderId="67" xfId="0" applyBorder="1"/>
    <xf numFmtId="0" fontId="28" fillId="5" borderId="1" xfId="0" applyFont="1" applyFill="1" applyBorder="1" applyAlignment="1">
      <alignment horizontal="center" vertical="center" wrapText="1"/>
    </xf>
    <xf numFmtId="0" fontId="28" fillId="5" borderId="10" xfId="0" applyFont="1" applyFill="1" applyBorder="1" applyAlignment="1">
      <alignment horizontal="center" vertical="center" wrapText="1"/>
    </xf>
    <xf numFmtId="0" fontId="29" fillId="3" borderId="10" xfId="0" applyFont="1" applyFill="1" applyBorder="1"/>
    <xf numFmtId="0" fontId="9" fillId="3" borderId="6" xfId="0" applyFont="1" applyFill="1" applyBorder="1" applyAlignment="1">
      <alignment horizontal="center" vertical="center" wrapText="1"/>
    </xf>
    <xf numFmtId="0" fontId="44" fillId="3" borderId="0" xfId="0" applyFont="1" applyFill="1" applyAlignment="1">
      <alignment horizontal="center" vertical="center" wrapText="1"/>
    </xf>
    <xf numFmtId="0" fontId="39" fillId="3" borderId="10" xfId="0" applyFont="1" applyFill="1" applyBorder="1" applyAlignment="1">
      <alignment horizontal="left" vertical="center" wrapText="1" indent="1"/>
    </xf>
    <xf numFmtId="0" fontId="9" fillId="9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39" fillId="3" borderId="6" xfId="0" applyFont="1" applyFill="1" applyBorder="1" applyAlignment="1">
      <alignment horizontal="left" vertical="center" wrapText="1" indent="1"/>
    </xf>
    <xf numFmtId="0" fontId="9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4D6"/>
      <rgbColor rgb="FFE8F4F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6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4F72"/>
      <rgbColor rgb="FF339966"/>
      <rgbColor rgb="FF003300"/>
      <rgbColor rgb="FF1B4D2E"/>
      <rgbColor rgb="FFC0392B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zoomScaleNormal="100" workbookViewId="0">
      <pane ySplit="6" topLeftCell="A19" activePane="bottomLeft" state="frozen"/>
      <selection pane="bottomLeft" activeCell="A22" sqref="A22:B28"/>
    </sheetView>
  </sheetViews>
  <sheetFormatPr baseColWidth="10" defaultColWidth="8.6640625" defaultRowHeight="14.4" x14ac:dyDescent="0.3"/>
  <cols>
    <col min="1" max="1" width="5" style="6" customWidth="1"/>
    <col min="2" max="2" width="24" style="6" customWidth="1"/>
    <col min="3" max="3" width="4" style="6" customWidth="1"/>
    <col min="4" max="4" width="18" style="6" customWidth="1"/>
    <col min="5" max="5" width="4" style="6" customWidth="1"/>
    <col min="6" max="6" width="18" style="6" customWidth="1"/>
    <col min="7" max="7" width="4" style="6" customWidth="1"/>
    <col min="8" max="8" width="18" style="6" customWidth="1"/>
    <col min="9" max="9" width="4" style="6" customWidth="1"/>
    <col min="10" max="10" width="18" style="6" customWidth="1"/>
    <col min="11" max="11" width="4" style="6" customWidth="1"/>
    <col min="12" max="12" width="18" style="6" customWidth="1"/>
    <col min="13" max="13" width="4" style="6" customWidth="1"/>
    <col min="14" max="14" width="15" style="6" customWidth="1"/>
  </cols>
  <sheetData>
    <row r="1" spans="1:14" ht="24.75" customHeight="1" x14ac:dyDescent="0.3">
      <c r="A1" s="153" t="s">
        <v>59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24.75" customHeight="1" x14ac:dyDescent="0.3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4" spans="1:14" ht="21.75" customHeight="1" x14ac:dyDescent="0.3">
      <c r="A4" s="151" t="s">
        <v>60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</row>
    <row r="5" spans="1:14" ht="21.75" customHeight="1" x14ac:dyDescent="0.3">
      <c r="A5" s="112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</row>
    <row r="6" spans="1:14" ht="24.75" customHeight="1" x14ac:dyDescent="0.3">
      <c r="A6" s="150" t="s">
        <v>61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</row>
    <row r="8" spans="1:14" ht="19.5" customHeight="1" x14ac:dyDescent="0.3">
      <c r="A8" s="111" t="s">
        <v>62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</row>
    <row r="9" spans="1:14" ht="18" customHeight="1" x14ac:dyDescent="0.3">
      <c r="A9" s="147" t="s">
        <v>63</v>
      </c>
      <c r="B9" s="114"/>
      <c r="C9" s="114"/>
      <c r="D9" s="148" t="s">
        <v>64</v>
      </c>
      <c r="E9" s="114"/>
      <c r="F9" s="114"/>
      <c r="G9" s="114"/>
      <c r="H9" s="114"/>
      <c r="I9" s="114"/>
      <c r="J9" s="114"/>
      <c r="K9" s="114"/>
      <c r="L9" s="114"/>
      <c r="M9" s="114"/>
      <c r="N9" s="114"/>
    </row>
    <row r="10" spans="1:14" ht="25.5" customHeight="1" x14ac:dyDescent="0.3">
      <c r="A10" s="147" t="s">
        <v>65</v>
      </c>
      <c r="B10" s="114"/>
      <c r="C10" s="114"/>
      <c r="D10" s="148" t="s">
        <v>66</v>
      </c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1:14" ht="25.5" customHeight="1" x14ac:dyDescent="0.3">
      <c r="A11" s="147" t="s">
        <v>67</v>
      </c>
      <c r="B11" s="114"/>
      <c r="C11" s="114"/>
      <c r="D11" s="148" t="s">
        <v>68</v>
      </c>
      <c r="E11" s="114"/>
      <c r="F11" s="114"/>
      <c r="G11" s="114"/>
      <c r="H11" s="114"/>
      <c r="I11" s="114"/>
      <c r="J11" s="114"/>
      <c r="K11" s="114"/>
      <c r="L11" s="114"/>
      <c r="M11" s="114"/>
      <c r="N11" s="114"/>
    </row>
    <row r="12" spans="1:14" ht="18" customHeight="1" x14ac:dyDescent="0.3">
      <c r="A12" s="147" t="s">
        <v>69</v>
      </c>
      <c r="B12" s="114"/>
      <c r="C12" s="114"/>
      <c r="D12" s="148" t="s">
        <v>70</v>
      </c>
      <c r="E12" s="114"/>
      <c r="F12" s="114"/>
      <c r="G12" s="114"/>
      <c r="H12" s="114"/>
      <c r="I12" s="114"/>
      <c r="J12" s="114"/>
      <c r="K12" s="114"/>
      <c r="L12" s="114"/>
      <c r="M12" s="114"/>
      <c r="N12" s="114"/>
    </row>
    <row r="13" spans="1:14" ht="37.5" customHeight="1" x14ac:dyDescent="0.3">
      <c r="A13" s="147" t="s">
        <v>71</v>
      </c>
      <c r="B13" s="114"/>
      <c r="C13" s="114"/>
      <c r="D13" s="148" t="s">
        <v>72</v>
      </c>
      <c r="E13" s="114"/>
      <c r="F13" s="114"/>
      <c r="G13" s="114"/>
      <c r="H13" s="114"/>
      <c r="I13" s="114"/>
      <c r="J13" s="114"/>
      <c r="K13" s="114"/>
      <c r="L13" s="114"/>
      <c r="M13" s="114"/>
      <c r="N13" s="114"/>
    </row>
    <row r="14" spans="1:14" ht="18" customHeight="1" x14ac:dyDescent="0.3">
      <c r="A14" s="147" t="s">
        <v>73</v>
      </c>
      <c r="B14" s="114"/>
      <c r="C14" s="114"/>
      <c r="D14" s="148" t="s">
        <v>74</v>
      </c>
      <c r="E14" s="114"/>
      <c r="F14" s="114"/>
      <c r="G14" s="114"/>
      <c r="H14" s="114"/>
      <c r="I14" s="114"/>
      <c r="J14" s="114"/>
      <c r="K14" s="114"/>
      <c r="L14" s="114"/>
      <c r="M14" s="114"/>
      <c r="N14" s="114"/>
    </row>
    <row r="15" spans="1:14" ht="18" customHeight="1" x14ac:dyDescent="0.3">
      <c r="A15" s="147" t="s">
        <v>75</v>
      </c>
      <c r="B15" s="114"/>
      <c r="C15" s="114"/>
      <c r="D15" s="148" t="s">
        <v>76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</row>
    <row r="16" spans="1:14" ht="18" customHeight="1" x14ac:dyDescent="0.3">
      <c r="A16" s="147" t="s">
        <v>77</v>
      </c>
      <c r="B16" s="114"/>
      <c r="C16" s="114"/>
      <c r="D16" s="148" t="s">
        <v>78</v>
      </c>
      <c r="E16" s="114"/>
      <c r="F16" s="114"/>
      <c r="G16" s="114"/>
      <c r="H16" s="114"/>
      <c r="I16" s="114"/>
      <c r="J16" s="114"/>
      <c r="K16" s="114"/>
      <c r="L16" s="114"/>
      <c r="M16" s="114"/>
      <c r="N16" s="114"/>
    </row>
    <row r="17" spans="1:14" ht="25.5" customHeight="1" x14ac:dyDescent="0.3">
      <c r="A17" s="147" t="s">
        <v>79</v>
      </c>
      <c r="B17" s="114"/>
      <c r="C17" s="114"/>
      <c r="D17" s="148" t="s">
        <v>80</v>
      </c>
      <c r="E17" s="114"/>
      <c r="F17" s="114"/>
      <c r="G17" s="114"/>
      <c r="H17" s="114"/>
      <c r="I17" s="114"/>
      <c r="J17" s="114"/>
      <c r="K17" s="114"/>
      <c r="L17" s="114"/>
      <c r="M17" s="114"/>
      <c r="N17" s="114"/>
    </row>
    <row r="18" spans="1:14" ht="18" customHeight="1" x14ac:dyDescent="0.3">
      <c r="A18" s="147" t="s">
        <v>81</v>
      </c>
      <c r="B18" s="114"/>
      <c r="C18" s="114"/>
      <c r="D18" s="148" t="s">
        <v>82</v>
      </c>
      <c r="E18" s="114"/>
      <c r="F18" s="114"/>
      <c r="G18" s="114"/>
      <c r="H18" s="114"/>
      <c r="I18" s="114"/>
      <c r="J18" s="114"/>
      <c r="K18" s="114"/>
      <c r="L18" s="114"/>
      <c r="M18" s="114"/>
      <c r="N18" s="114"/>
    </row>
    <row r="20" spans="1:14" ht="19.5" customHeight="1" x14ac:dyDescent="0.3">
      <c r="A20" s="111" t="s">
        <v>83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</row>
    <row r="21" spans="1:14" ht="31.8" customHeight="1" x14ac:dyDescent="0.3">
      <c r="A21" s="149" t="s">
        <v>84</v>
      </c>
      <c r="B21" s="114"/>
      <c r="C21" s="149" t="s">
        <v>85</v>
      </c>
      <c r="D21" s="114"/>
      <c r="E21" s="114"/>
      <c r="F21" s="149" t="s">
        <v>86</v>
      </c>
      <c r="G21" s="114"/>
      <c r="H21" s="149" t="s">
        <v>87</v>
      </c>
      <c r="I21" s="114"/>
      <c r="J21" s="114"/>
      <c r="K21" s="114"/>
      <c r="L21" s="114"/>
      <c r="M21" s="114"/>
      <c r="N21" s="114"/>
    </row>
    <row r="22" spans="1:14" ht="42" customHeight="1" x14ac:dyDescent="0.3">
      <c r="A22" s="142" t="s">
        <v>88</v>
      </c>
      <c r="B22" s="114"/>
      <c r="C22" s="146" t="s">
        <v>89</v>
      </c>
      <c r="D22" s="114"/>
      <c r="E22" s="114"/>
      <c r="F22" s="145" t="s">
        <v>90</v>
      </c>
      <c r="G22" s="114"/>
      <c r="H22" s="141" t="s">
        <v>91</v>
      </c>
      <c r="I22" s="114"/>
      <c r="J22" s="114"/>
      <c r="K22" s="114"/>
      <c r="L22" s="114"/>
      <c r="M22" s="114"/>
      <c r="N22" s="114"/>
    </row>
    <row r="23" spans="1:14" ht="42" customHeight="1" x14ac:dyDescent="0.3">
      <c r="A23" s="142" t="s">
        <v>92</v>
      </c>
      <c r="B23" s="114"/>
      <c r="C23" s="146" t="s">
        <v>93</v>
      </c>
      <c r="D23" s="114"/>
      <c r="E23" s="114"/>
      <c r="F23" s="145" t="s">
        <v>94</v>
      </c>
      <c r="G23" s="114"/>
      <c r="H23" s="141" t="s">
        <v>95</v>
      </c>
      <c r="I23" s="114"/>
      <c r="J23" s="114"/>
      <c r="K23" s="114"/>
      <c r="L23" s="114"/>
      <c r="M23" s="114"/>
      <c r="N23" s="114"/>
    </row>
    <row r="24" spans="1:14" ht="42" customHeight="1" x14ac:dyDescent="0.3">
      <c r="A24" s="142" t="s">
        <v>96</v>
      </c>
      <c r="B24" s="114"/>
      <c r="C24" s="146" t="s">
        <v>97</v>
      </c>
      <c r="D24" s="114"/>
      <c r="E24" s="114"/>
      <c r="F24" s="145" t="s">
        <v>98</v>
      </c>
      <c r="G24" s="114"/>
      <c r="H24" s="141" t="s">
        <v>99</v>
      </c>
      <c r="I24" s="114"/>
      <c r="J24" s="114"/>
      <c r="K24" s="114"/>
      <c r="L24" s="114"/>
      <c r="M24" s="114"/>
      <c r="N24" s="114"/>
    </row>
    <row r="25" spans="1:14" ht="42" customHeight="1" x14ac:dyDescent="0.3">
      <c r="A25" s="142" t="s">
        <v>100</v>
      </c>
      <c r="B25" s="114"/>
      <c r="C25" s="146" t="s">
        <v>101</v>
      </c>
      <c r="D25" s="114"/>
      <c r="E25" s="114"/>
      <c r="F25" s="145" t="s">
        <v>102</v>
      </c>
      <c r="G25" s="114"/>
      <c r="H25" s="141" t="s">
        <v>103</v>
      </c>
      <c r="I25" s="114"/>
      <c r="J25" s="114"/>
      <c r="K25" s="114"/>
      <c r="L25" s="114"/>
      <c r="M25" s="114"/>
      <c r="N25" s="114"/>
    </row>
    <row r="26" spans="1:14" ht="42" customHeight="1" x14ac:dyDescent="0.3">
      <c r="A26" s="142" t="s">
        <v>104</v>
      </c>
      <c r="B26" s="114"/>
      <c r="C26" s="146" t="s">
        <v>105</v>
      </c>
      <c r="D26" s="114"/>
      <c r="E26" s="114"/>
      <c r="F26" s="145" t="s">
        <v>106</v>
      </c>
      <c r="G26" s="114"/>
      <c r="H26" s="141" t="s">
        <v>107</v>
      </c>
      <c r="I26" s="114"/>
      <c r="J26" s="114"/>
      <c r="K26" s="114"/>
      <c r="L26" s="114"/>
      <c r="M26" s="114"/>
      <c r="N26" s="114"/>
    </row>
    <row r="27" spans="1:14" ht="42" customHeight="1" x14ac:dyDescent="0.3">
      <c r="A27" s="142" t="s">
        <v>108</v>
      </c>
      <c r="B27" s="114"/>
      <c r="C27" s="146" t="s">
        <v>109</v>
      </c>
      <c r="D27" s="114"/>
      <c r="E27" s="114"/>
      <c r="F27" s="145" t="s">
        <v>110</v>
      </c>
      <c r="G27" s="114"/>
      <c r="H27" s="141" t="s">
        <v>111</v>
      </c>
      <c r="I27" s="114"/>
      <c r="J27" s="114"/>
      <c r="K27" s="114"/>
      <c r="L27" s="114"/>
      <c r="M27" s="114"/>
      <c r="N27" s="114"/>
    </row>
    <row r="28" spans="1:14" ht="42" customHeight="1" x14ac:dyDescent="0.3">
      <c r="A28" s="142" t="s">
        <v>112</v>
      </c>
      <c r="B28" s="114"/>
      <c r="C28" s="146" t="s">
        <v>113</v>
      </c>
      <c r="D28" s="114"/>
      <c r="E28" s="114"/>
      <c r="F28" s="145" t="s">
        <v>114</v>
      </c>
      <c r="G28" s="114"/>
      <c r="H28" s="141" t="s">
        <v>115</v>
      </c>
      <c r="I28" s="114"/>
      <c r="J28" s="114"/>
      <c r="K28" s="114"/>
      <c r="L28" s="114"/>
      <c r="M28" s="114"/>
      <c r="N28" s="114"/>
    </row>
    <row r="30" spans="1:14" ht="19.5" customHeight="1" x14ac:dyDescent="0.3">
      <c r="A30" s="111" t="s">
        <v>116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</row>
    <row r="31" spans="1:14" ht="33.75" customHeight="1" x14ac:dyDescent="0.3">
      <c r="A31" s="141" t="s">
        <v>117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</row>
    <row r="32" spans="1:14" ht="33.75" customHeight="1" x14ac:dyDescent="0.3">
      <c r="A32" s="141" t="s">
        <v>118</v>
      </c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</row>
    <row r="33" spans="1:14" ht="33.75" customHeight="1" x14ac:dyDescent="0.3">
      <c r="A33" s="141" t="s">
        <v>119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1:14" ht="33.75" customHeight="1" x14ac:dyDescent="0.3">
      <c r="A34" s="141" t="s">
        <v>120</v>
      </c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1:14" ht="33.75" customHeight="1" x14ac:dyDescent="0.3">
      <c r="A35" s="141" t="s">
        <v>121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1:14" ht="33.75" customHeight="1" x14ac:dyDescent="0.3">
      <c r="A36" s="141" t="s">
        <v>122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1:14" ht="33.75" customHeight="1" x14ac:dyDescent="0.3">
      <c r="A37" s="141" t="s">
        <v>123</v>
      </c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1:14" ht="33.75" customHeight="1" x14ac:dyDescent="0.3">
      <c r="A38" s="141" t="s">
        <v>124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1:14" ht="33.75" customHeight="1" x14ac:dyDescent="0.3">
      <c r="A39" s="141" t="s">
        <v>125</v>
      </c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1:14" ht="33.75" customHeight="1" x14ac:dyDescent="0.3">
      <c r="A40" s="141" t="s">
        <v>126</v>
      </c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  <row r="43" spans="1:14" ht="15" customHeight="1" x14ac:dyDescent="0.3">
      <c r="A43" s="152" t="s">
        <v>127</v>
      </c>
      <c r="B43" s="112"/>
      <c r="C43" s="112"/>
      <c r="D43" s="112"/>
      <c r="E43" s="112"/>
      <c r="F43" s="112"/>
      <c r="H43" s="152" t="s">
        <v>128</v>
      </c>
      <c r="I43" s="112"/>
      <c r="J43" s="112"/>
      <c r="K43" s="112"/>
      <c r="L43" s="112"/>
      <c r="M43" s="112"/>
      <c r="N43" s="112"/>
    </row>
    <row r="46" spans="1:14" ht="15" customHeight="1" x14ac:dyDescent="0.3">
      <c r="A46" s="143" t="s">
        <v>56</v>
      </c>
      <c r="B46" s="112"/>
      <c r="C46" s="112"/>
      <c r="D46" s="112"/>
      <c r="E46" s="112"/>
      <c r="F46" s="112"/>
      <c r="H46" s="143" t="s">
        <v>56</v>
      </c>
      <c r="I46" s="112"/>
      <c r="J46" s="112"/>
      <c r="K46" s="112"/>
      <c r="L46" s="112"/>
      <c r="M46" s="112"/>
      <c r="N46" s="112"/>
    </row>
    <row r="47" spans="1:14" ht="15" customHeight="1" x14ac:dyDescent="0.3">
      <c r="A47" s="144" t="s">
        <v>129</v>
      </c>
      <c r="B47" s="112"/>
      <c r="C47" s="112"/>
      <c r="D47" s="112"/>
      <c r="E47" s="112"/>
      <c r="F47" s="112"/>
      <c r="H47" s="144" t="s">
        <v>130</v>
      </c>
      <c r="I47" s="112"/>
      <c r="J47" s="112"/>
      <c r="K47" s="112"/>
      <c r="L47" s="112"/>
      <c r="M47" s="112"/>
      <c r="N47" s="112"/>
    </row>
  </sheetData>
  <mergeCells count="74">
    <mergeCell ref="A1:N2"/>
    <mergeCell ref="A8:N8"/>
    <mergeCell ref="D12:N12"/>
    <mergeCell ref="A11:C11"/>
    <mergeCell ref="A35:N35"/>
    <mergeCell ref="A20:N20"/>
    <mergeCell ref="D15:N15"/>
    <mergeCell ref="A28:B28"/>
    <mergeCell ref="C26:E26"/>
    <mergeCell ref="D14:N14"/>
    <mergeCell ref="C25:E25"/>
    <mergeCell ref="A9:C9"/>
    <mergeCell ref="H25:N25"/>
    <mergeCell ref="H21:N21"/>
    <mergeCell ref="F22:G22"/>
    <mergeCell ref="F28:G28"/>
    <mergeCell ref="A23:B23"/>
    <mergeCell ref="A15:C15"/>
    <mergeCell ref="F27:G27"/>
    <mergeCell ref="D18:N18"/>
    <mergeCell ref="A22:B22"/>
    <mergeCell ref="D9:N9"/>
    <mergeCell ref="C24:E24"/>
    <mergeCell ref="A6:N6"/>
    <mergeCell ref="F24:G24"/>
    <mergeCell ref="C27:E27"/>
    <mergeCell ref="A25:B25"/>
    <mergeCell ref="A4:N5"/>
    <mergeCell ref="A14:C14"/>
    <mergeCell ref="C23:E23"/>
    <mergeCell ref="H26:N26"/>
    <mergeCell ref="D11:N11"/>
    <mergeCell ref="A17:C17"/>
    <mergeCell ref="D13:N13"/>
    <mergeCell ref="F26:G26"/>
    <mergeCell ref="A27:B27"/>
    <mergeCell ref="D17:N17"/>
    <mergeCell ref="A10:C10"/>
    <mergeCell ref="A26:B26"/>
    <mergeCell ref="A18:C18"/>
    <mergeCell ref="D10:N10"/>
    <mergeCell ref="A12:C12"/>
    <mergeCell ref="C21:E21"/>
    <mergeCell ref="H24:N24"/>
    <mergeCell ref="F21:G21"/>
    <mergeCell ref="H23:N23"/>
    <mergeCell ref="A21:B21"/>
    <mergeCell ref="A13:C13"/>
    <mergeCell ref="D16:N16"/>
    <mergeCell ref="A16:C16"/>
    <mergeCell ref="F23:G23"/>
    <mergeCell ref="A46:F46"/>
    <mergeCell ref="H47:N47"/>
    <mergeCell ref="H27:N27"/>
    <mergeCell ref="F25:G25"/>
    <mergeCell ref="C22:E22"/>
    <mergeCell ref="A30:N30"/>
    <mergeCell ref="A36:N36"/>
    <mergeCell ref="A47:F47"/>
    <mergeCell ref="H43:N43"/>
    <mergeCell ref="A37:N37"/>
    <mergeCell ref="A43:F43"/>
    <mergeCell ref="C28:E28"/>
    <mergeCell ref="A33:N33"/>
    <mergeCell ref="H46:N46"/>
    <mergeCell ref="A32:N32"/>
    <mergeCell ref="A38:N38"/>
    <mergeCell ref="A40:N40"/>
    <mergeCell ref="A24:B24"/>
    <mergeCell ref="A31:N31"/>
    <mergeCell ref="H28:N28"/>
    <mergeCell ref="H22:N22"/>
    <mergeCell ref="A34:N34"/>
    <mergeCell ref="A39:N3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8"/>
  <sheetViews>
    <sheetView zoomScaleNormal="100" workbookViewId="0">
      <pane ySplit="6" topLeftCell="A106" activePane="bottomLeft" state="frozen"/>
      <selection pane="bottomLeft" activeCell="B98" sqref="B98"/>
    </sheetView>
  </sheetViews>
  <sheetFormatPr baseColWidth="10" defaultColWidth="8.6640625" defaultRowHeight="14.4" x14ac:dyDescent="0.3"/>
  <cols>
    <col min="1" max="1" width="11.109375" customWidth="1"/>
    <col min="2" max="2" width="13.88671875" customWidth="1"/>
    <col min="3" max="3" width="4" customWidth="1"/>
    <col min="4" max="4" width="10.109375" customWidth="1"/>
    <col min="5" max="5" width="9.6640625" customWidth="1"/>
    <col min="6" max="6" width="10.44140625" customWidth="1"/>
    <col min="7" max="7" width="10.33203125" customWidth="1"/>
    <col min="8" max="9" width="9.88671875" customWidth="1"/>
    <col min="10" max="10" width="10.6640625" customWidth="1"/>
    <col min="11" max="11" width="8.77734375" customWidth="1"/>
    <col min="12" max="12" width="9.5546875" customWidth="1"/>
    <col min="13" max="13" width="8" customWidth="1"/>
    <col min="14" max="14" width="10.6640625" customWidth="1"/>
  </cols>
  <sheetData>
    <row r="1" spans="1:14" ht="19.5" customHeight="1" x14ac:dyDescent="0.3">
      <c r="A1" s="153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5" customHeight="1" x14ac:dyDescent="0.3">
      <c r="A2" s="224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13.5" customHeight="1" x14ac:dyDescent="0.3">
      <c r="A3" s="200" t="s">
        <v>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25.5" customHeight="1" x14ac:dyDescent="0.3">
      <c r="A4" s="132" t="s">
        <v>131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ht="32.4" customHeight="1" thickBot="1" x14ac:dyDescent="0.35">
      <c r="A5" s="201" t="s">
        <v>132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14" s="5" customFormat="1" ht="19.5" customHeight="1" x14ac:dyDescent="0.3">
      <c r="A6" s="214" t="s">
        <v>133</v>
      </c>
      <c r="B6" s="215"/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6"/>
    </row>
    <row r="7" spans="1:14" ht="30.6" customHeight="1" x14ac:dyDescent="0.3">
      <c r="A7" s="204" t="s">
        <v>134</v>
      </c>
      <c r="B7" s="128"/>
      <c r="C7" s="121"/>
      <c r="D7" s="7"/>
      <c r="E7" s="202" t="s">
        <v>135</v>
      </c>
      <c r="F7" s="121"/>
      <c r="G7" s="197"/>
      <c r="H7" s="121"/>
      <c r="I7" s="198" t="s">
        <v>136</v>
      </c>
      <c r="J7" s="121"/>
      <c r="K7" s="170"/>
      <c r="L7" s="128"/>
      <c r="M7" s="128"/>
      <c r="N7" s="171"/>
    </row>
    <row r="8" spans="1:14" ht="27.6" customHeight="1" x14ac:dyDescent="0.3">
      <c r="A8" s="204" t="s">
        <v>137</v>
      </c>
      <c r="B8" s="128"/>
      <c r="C8" s="121"/>
      <c r="D8" s="222"/>
      <c r="E8" s="128"/>
      <c r="F8" s="121"/>
      <c r="G8" s="202" t="s">
        <v>138</v>
      </c>
      <c r="H8" s="121"/>
      <c r="I8" s="174"/>
      <c r="J8" s="128"/>
      <c r="K8" s="121"/>
      <c r="L8" s="194" t="s">
        <v>10</v>
      </c>
      <c r="M8" s="128"/>
      <c r="N8" s="121"/>
    </row>
    <row r="9" spans="1:14" ht="27.6" customHeight="1" x14ac:dyDescent="0.3">
      <c r="A9" s="236" t="s">
        <v>139</v>
      </c>
      <c r="B9" s="128"/>
      <c r="C9" s="121"/>
      <c r="D9" s="176"/>
      <c r="E9" s="128"/>
      <c r="F9" s="121"/>
      <c r="G9" s="198" t="s">
        <v>140</v>
      </c>
      <c r="H9" s="121"/>
      <c r="I9" s="176" t="str">
        <f>IFERROR(VLOOKUP($D$8,_Datos!$A$2:$H$128,3,FALSE()),"")</f>
        <v/>
      </c>
      <c r="J9" s="128"/>
      <c r="K9" s="121"/>
      <c r="L9" s="9" t="s">
        <v>141</v>
      </c>
      <c r="M9" s="176"/>
      <c r="N9" s="121"/>
    </row>
    <row r="10" spans="1:14" ht="27.6" customHeight="1" x14ac:dyDescent="0.3">
      <c r="A10" s="191" t="s">
        <v>142</v>
      </c>
      <c r="B10" s="128"/>
      <c r="C10" s="121"/>
      <c r="D10" s="173"/>
      <c r="E10" s="128"/>
      <c r="F10" s="128"/>
      <c r="G10" s="128"/>
      <c r="H10" s="128"/>
      <c r="I10" s="128"/>
      <c r="J10" s="128"/>
      <c r="K10" s="128"/>
      <c r="L10" s="128"/>
      <c r="M10" s="128"/>
      <c r="N10" s="121"/>
    </row>
    <row r="11" spans="1:14" ht="30" customHeight="1" x14ac:dyDescent="0.3">
      <c r="A11" s="191" t="s">
        <v>143</v>
      </c>
      <c r="B11" s="128"/>
      <c r="C11" s="121"/>
      <c r="D11" s="10" t="s">
        <v>144</v>
      </c>
      <c r="E11" s="173"/>
      <c r="F11" s="128"/>
      <c r="G11" s="121"/>
      <c r="H11" s="10" t="s">
        <v>145</v>
      </c>
      <c r="I11" s="173"/>
      <c r="J11" s="128"/>
      <c r="K11" s="121"/>
      <c r="L11" s="10" t="s">
        <v>146</v>
      </c>
      <c r="M11" s="173"/>
      <c r="N11" s="121"/>
    </row>
    <row r="12" spans="1:14" s="6" customFormat="1" ht="19.5" customHeight="1" x14ac:dyDescent="0.3">
      <c r="A12" s="185" t="s">
        <v>147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86"/>
    </row>
    <row r="13" spans="1:14" ht="15" customHeight="1" thickBot="1" x14ac:dyDescent="0.35">
      <c r="A13" s="165" t="s">
        <v>148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62"/>
    </row>
    <row r="14" spans="1:14" ht="18" customHeight="1" thickBot="1" x14ac:dyDescent="0.35">
      <c r="A14" s="18"/>
      <c r="B14" s="163" t="s">
        <v>149</v>
      </c>
      <c r="C14" s="114"/>
      <c r="D14" s="114"/>
      <c r="E14" s="114"/>
      <c r="F14" s="114"/>
      <c r="G14" s="114"/>
      <c r="H14" s="16"/>
      <c r="I14" s="161" t="s">
        <v>150</v>
      </c>
      <c r="J14" s="114"/>
      <c r="K14" s="114"/>
      <c r="L14" s="114"/>
      <c r="M14" s="114"/>
      <c r="N14" s="162"/>
    </row>
    <row r="15" spans="1:14" ht="18" customHeight="1" thickBot="1" x14ac:dyDescent="0.35">
      <c r="A15" s="18"/>
      <c r="B15" s="163" t="s">
        <v>151</v>
      </c>
      <c r="C15" s="114"/>
      <c r="D15" s="114"/>
      <c r="E15" s="114"/>
      <c r="F15" s="114"/>
      <c r="G15" s="114"/>
      <c r="H15" s="16"/>
      <c r="I15" s="161" t="s">
        <v>152</v>
      </c>
      <c r="J15" s="114"/>
      <c r="K15" s="114"/>
      <c r="L15" s="114"/>
      <c r="M15" s="114"/>
      <c r="N15" s="162"/>
    </row>
    <row r="16" spans="1:14" ht="18" customHeight="1" thickBot="1" x14ac:dyDescent="0.35">
      <c r="A16" s="18"/>
      <c r="B16" s="163" t="s">
        <v>153</v>
      </c>
      <c r="C16" s="114"/>
      <c r="D16" s="114"/>
      <c r="E16" s="114"/>
      <c r="F16" s="114"/>
      <c r="G16" s="114"/>
      <c r="H16" s="16"/>
      <c r="I16" s="161" t="s">
        <v>154</v>
      </c>
      <c r="J16" s="114"/>
      <c r="K16" s="114"/>
      <c r="L16" s="114"/>
      <c r="M16" s="114"/>
      <c r="N16" s="162"/>
    </row>
    <row r="17" spans="1:14" ht="18" customHeight="1" thickBot="1" x14ac:dyDescent="0.35">
      <c r="A17" s="18"/>
      <c r="B17" s="163" t="s">
        <v>155</v>
      </c>
      <c r="C17" s="114"/>
      <c r="D17" s="114"/>
      <c r="E17" s="114"/>
      <c r="F17" s="114"/>
      <c r="G17" s="114"/>
      <c r="H17" s="16"/>
      <c r="I17" s="161" t="s">
        <v>156</v>
      </c>
      <c r="J17" s="114"/>
      <c r="K17" s="114"/>
      <c r="L17" s="114"/>
      <c r="M17" s="114"/>
      <c r="N17" s="162"/>
    </row>
    <row r="18" spans="1:14" ht="18" customHeight="1" x14ac:dyDescent="0.3">
      <c r="A18" s="160" t="s">
        <v>157</v>
      </c>
      <c r="B18" s="114"/>
      <c r="C18" s="114"/>
      <c r="D18" s="114"/>
      <c r="E18" s="114"/>
      <c r="F18" s="168"/>
      <c r="G18" s="114"/>
      <c r="H18" s="114"/>
      <c r="I18" s="114"/>
      <c r="J18" s="114"/>
      <c r="K18" s="114"/>
      <c r="L18" s="220" t="s">
        <v>158</v>
      </c>
      <c r="M18" s="114"/>
      <c r="N18" s="19"/>
    </row>
    <row r="19" spans="1:14" ht="15" customHeight="1" x14ac:dyDescent="0.3">
      <c r="A19" s="165" t="s">
        <v>159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62"/>
    </row>
    <row r="20" spans="1:14" ht="18" customHeight="1" x14ac:dyDescent="0.3">
      <c r="A20" s="164" t="s">
        <v>160</v>
      </c>
      <c r="B20" s="114"/>
      <c r="C20" s="114"/>
      <c r="D20" s="114"/>
      <c r="E20" s="168"/>
      <c r="F20" s="114"/>
      <c r="G20" s="114"/>
      <c r="H20" s="235" t="s">
        <v>161</v>
      </c>
      <c r="I20" s="114"/>
      <c r="J20" s="114"/>
      <c r="K20" s="114"/>
      <c r="L20" s="179"/>
      <c r="M20" s="114"/>
      <c r="N20" s="162"/>
    </row>
    <row r="21" spans="1:14" ht="18" customHeight="1" x14ac:dyDescent="0.3">
      <c r="A21" s="160" t="s">
        <v>162</v>
      </c>
      <c r="B21" s="114"/>
      <c r="C21" s="114"/>
      <c r="D21" s="114"/>
      <c r="E21" s="168"/>
      <c r="F21" s="114"/>
      <c r="G21" s="114"/>
      <c r="H21" s="220" t="s">
        <v>163</v>
      </c>
      <c r="I21" s="114"/>
      <c r="J21" s="114"/>
      <c r="K21" s="114"/>
      <c r="L21" s="179"/>
      <c r="M21" s="114"/>
      <c r="N21" s="162"/>
    </row>
    <row r="22" spans="1:14" ht="18" customHeight="1" x14ac:dyDescent="0.3">
      <c r="A22" s="160" t="s">
        <v>164</v>
      </c>
      <c r="B22" s="114"/>
      <c r="C22" s="114"/>
      <c r="D22" s="114"/>
      <c r="E22" s="168"/>
      <c r="F22" s="114"/>
      <c r="G22" s="114"/>
      <c r="H22" s="220" t="s">
        <v>165</v>
      </c>
      <c r="I22" s="114"/>
      <c r="J22" s="114"/>
      <c r="K22" s="114"/>
      <c r="L22" s="179"/>
      <c r="M22" s="114"/>
      <c r="N22" s="162"/>
    </row>
    <row r="23" spans="1:14" ht="18" customHeight="1" x14ac:dyDescent="0.3">
      <c r="A23" s="160" t="s">
        <v>166</v>
      </c>
      <c r="B23" s="114"/>
      <c r="C23" s="114"/>
      <c r="D23" s="114"/>
      <c r="E23" s="168"/>
      <c r="F23" s="114"/>
      <c r="G23" s="114"/>
      <c r="N23" s="20"/>
    </row>
    <row r="24" spans="1:14" ht="15" customHeight="1" thickBot="1" x14ac:dyDescent="0.35">
      <c r="A24" s="165" t="s">
        <v>167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62"/>
    </row>
    <row r="25" spans="1:14" ht="18" customHeight="1" thickBot="1" x14ac:dyDescent="0.35">
      <c r="A25" s="18"/>
      <c r="B25" s="163" t="s">
        <v>168</v>
      </c>
      <c r="C25" s="114"/>
      <c r="D25" s="114"/>
      <c r="E25" s="114"/>
      <c r="F25" s="16"/>
      <c r="G25" s="163" t="s">
        <v>169</v>
      </c>
      <c r="H25" s="114"/>
      <c r="I25" s="114"/>
      <c r="J25" s="114"/>
      <c r="K25" s="16"/>
      <c r="L25" s="161" t="s">
        <v>170</v>
      </c>
      <c r="M25" s="114"/>
      <c r="N25" s="162"/>
    </row>
    <row r="26" spans="1:14" ht="18" customHeight="1" thickBot="1" x14ac:dyDescent="0.35">
      <c r="A26" s="18"/>
      <c r="B26" s="163" t="s">
        <v>171</v>
      </c>
      <c r="C26" s="114"/>
      <c r="D26" s="114"/>
      <c r="E26" s="114"/>
      <c r="F26" s="16"/>
      <c r="G26" s="163" t="s">
        <v>172</v>
      </c>
      <c r="H26" s="114"/>
      <c r="I26" s="114"/>
      <c r="J26" s="114"/>
      <c r="K26" s="16"/>
      <c r="L26" s="184"/>
      <c r="M26" s="114"/>
      <c r="N26" s="162"/>
    </row>
    <row r="27" spans="1:14" ht="15" customHeight="1" thickBot="1" x14ac:dyDescent="0.35">
      <c r="A27" s="165" t="s">
        <v>173</v>
      </c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62"/>
    </row>
    <row r="28" spans="1:14" ht="18" customHeight="1" thickBot="1" x14ac:dyDescent="0.35">
      <c r="A28" s="18"/>
      <c r="B28" s="163" t="s">
        <v>174</v>
      </c>
      <c r="C28" s="114"/>
      <c r="D28" s="114"/>
      <c r="E28" s="114"/>
      <c r="F28" s="16"/>
      <c r="G28" s="163" t="s">
        <v>175</v>
      </c>
      <c r="H28" s="114"/>
      <c r="I28" s="114"/>
      <c r="J28" s="114"/>
      <c r="K28" s="16"/>
      <c r="L28" s="161" t="s">
        <v>176</v>
      </c>
      <c r="M28" s="114"/>
      <c r="N28" s="162"/>
    </row>
    <row r="29" spans="1:14" ht="18" customHeight="1" thickBot="1" x14ac:dyDescent="0.35">
      <c r="A29" s="18"/>
      <c r="B29" s="163" t="s">
        <v>177</v>
      </c>
      <c r="C29" s="114"/>
      <c r="D29" s="114"/>
      <c r="E29" s="114"/>
      <c r="F29" s="16"/>
      <c r="G29" s="163" t="s">
        <v>178</v>
      </c>
      <c r="H29" s="114"/>
      <c r="I29" s="114"/>
      <c r="J29" s="114"/>
      <c r="K29" s="16"/>
      <c r="L29" s="161" t="s">
        <v>179</v>
      </c>
      <c r="M29" s="114"/>
      <c r="N29" s="162"/>
    </row>
    <row r="30" spans="1:14" ht="18" customHeight="1" thickBot="1" x14ac:dyDescent="0.35">
      <c r="A30" s="18"/>
      <c r="B30" s="163" t="s">
        <v>180</v>
      </c>
      <c r="C30" s="114"/>
      <c r="D30" s="114"/>
      <c r="E30" s="114"/>
      <c r="F30" s="1"/>
      <c r="G30" s="169"/>
      <c r="H30" s="114"/>
      <c r="I30" s="114"/>
      <c r="J30" s="114"/>
      <c r="K30" s="1"/>
      <c r="L30" s="184"/>
      <c r="M30" s="114"/>
      <c r="N30" s="162"/>
    </row>
    <row r="31" spans="1:14" ht="15" customHeight="1" thickBot="1" x14ac:dyDescent="0.35">
      <c r="A31" s="165" t="s">
        <v>181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62"/>
    </row>
    <row r="32" spans="1:14" ht="18" customHeight="1" thickBot="1" x14ac:dyDescent="0.35">
      <c r="A32" s="18"/>
      <c r="B32" s="163" t="s">
        <v>182</v>
      </c>
      <c r="C32" s="114"/>
      <c r="D32" s="114"/>
      <c r="E32" s="114"/>
      <c r="F32" s="16"/>
      <c r="G32" s="163" t="s">
        <v>183</v>
      </c>
      <c r="H32" s="114"/>
      <c r="I32" s="114"/>
      <c r="J32" s="114"/>
      <c r="K32" s="16"/>
      <c r="L32" s="161" t="s">
        <v>184</v>
      </c>
      <c r="M32" s="114"/>
      <c r="N32" s="162"/>
    </row>
    <row r="33" spans="1:14" ht="15" customHeight="1" thickBot="1" x14ac:dyDescent="0.35">
      <c r="A33" s="165" t="s">
        <v>185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62"/>
    </row>
    <row r="34" spans="1:14" ht="18" customHeight="1" thickBot="1" x14ac:dyDescent="0.35">
      <c r="A34" s="18"/>
      <c r="B34" s="163" t="s">
        <v>186</v>
      </c>
      <c r="C34" s="114"/>
      <c r="D34" s="114"/>
      <c r="E34" s="114"/>
      <c r="F34" s="16"/>
      <c r="G34" s="163" t="s">
        <v>187</v>
      </c>
      <c r="H34" s="114"/>
      <c r="I34" s="114"/>
      <c r="J34" s="114"/>
      <c r="K34" s="16"/>
      <c r="L34" s="161" t="s">
        <v>188</v>
      </c>
      <c r="M34" s="114"/>
      <c r="N34" s="162"/>
    </row>
    <row r="35" spans="1:14" ht="18" customHeight="1" thickBot="1" x14ac:dyDescent="0.35">
      <c r="A35" s="18"/>
      <c r="B35" s="163" t="s">
        <v>189</v>
      </c>
      <c r="C35" s="114"/>
      <c r="D35" s="114"/>
      <c r="E35" s="114"/>
      <c r="F35" s="16"/>
      <c r="G35" s="163" t="s">
        <v>190</v>
      </c>
      <c r="H35" s="114"/>
      <c r="I35" s="114"/>
      <c r="J35" s="114"/>
      <c r="K35" s="16"/>
      <c r="L35" s="161" t="s">
        <v>191</v>
      </c>
      <c r="M35" s="114"/>
      <c r="N35" s="162"/>
    </row>
    <row r="36" spans="1:14" ht="18" customHeight="1" thickBot="1" x14ac:dyDescent="0.35">
      <c r="A36" s="18"/>
      <c r="B36" s="163" t="s">
        <v>192</v>
      </c>
      <c r="C36" s="114"/>
      <c r="D36" s="114"/>
      <c r="E36" s="114"/>
      <c r="F36" s="16"/>
      <c r="G36" s="163" t="s">
        <v>193</v>
      </c>
      <c r="H36" s="114"/>
      <c r="I36" s="114"/>
      <c r="J36" s="114"/>
      <c r="K36" s="16"/>
      <c r="L36" s="161" t="s">
        <v>194</v>
      </c>
      <c r="M36" s="114"/>
      <c r="N36" s="162"/>
    </row>
    <row r="37" spans="1:14" x14ac:dyDescent="0.3">
      <c r="A37" s="21"/>
      <c r="N37" s="20"/>
    </row>
    <row r="38" spans="1:14" s="6" customFormat="1" ht="19.5" customHeight="1" thickBot="1" x14ac:dyDescent="0.35">
      <c r="A38" s="185" t="s">
        <v>195</v>
      </c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86"/>
    </row>
    <row r="39" spans="1:14" ht="27.6" customHeight="1" thickBot="1" x14ac:dyDescent="0.35">
      <c r="A39" s="160" t="s">
        <v>196</v>
      </c>
      <c r="B39" s="114"/>
      <c r="C39" s="114"/>
      <c r="D39" s="39"/>
      <c r="E39" s="40" t="s">
        <v>24</v>
      </c>
      <c r="F39" s="41"/>
      <c r="G39" s="40" t="s">
        <v>25</v>
      </c>
      <c r="H39" s="42"/>
      <c r="I39" s="219" t="s">
        <v>197</v>
      </c>
      <c r="J39" s="114"/>
      <c r="K39" s="114"/>
      <c r="L39" s="179"/>
      <c r="M39" s="114"/>
      <c r="N39" s="162"/>
    </row>
    <row r="40" spans="1:14" ht="29.4" customHeight="1" thickBot="1" x14ac:dyDescent="0.35">
      <c r="A40" s="160" t="s">
        <v>198</v>
      </c>
      <c r="B40" s="114"/>
      <c r="C40" s="114"/>
      <c r="D40" s="199"/>
      <c r="E40" s="159"/>
      <c r="F40" s="159"/>
      <c r="G40" s="159"/>
      <c r="H40" s="167"/>
      <c r="I40" s="12" t="s">
        <v>13</v>
      </c>
      <c r="J40" s="212"/>
      <c r="K40" s="135"/>
      <c r="L40" s="12" t="s">
        <v>19</v>
      </c>
      <c r="M40" s="217"/>
      <c r="N40" s="162"/>
    </row>
    <row r="41" spans="1:14" ht="30.6" customHeight="1" thickBot="1" x14ac:dyDescent="0.35">
      <c r="A41" s="164" t="s">
        <v>199</v>
      </c>
      <c r="B41" s="114"/>
      <c r="C41" s="114"/>
      <c r="D41" s="38"/>
      <c r="E41" s="22" t="s">
        <v>24</v>
      </c>
      <c r="F41" s="38"/>
      <c r="G41" s="22" t="s">
        <v>25</v>
      </c>
      <c r="H41" s="38"/>
      <c r="I41" s="228" t="s">
        <v>200</v>
      </c>
      <c r="J41" s="118"/>
      <c r="K41" s="118"/>
      <c r="L41" s="195"/>
      <c r="M41" s="193"/>
      <c r="N41" s="196"/>
    </row>
    <row r="42" spans="1:14" ht="28.8" customHeight="1" thickBot="1" x14ac:dyDescent="0.35">
      <c r="A42" s="213" t="s">
        <v>201</v>
      </c>
      <c r="B42" s="193"/>
      <c r="C42" s="193"/>
      <c r="D42" s="175"/>
      <c r="E42" s="159"/>
      <c r="F42" s="159"/>
      <c r="G42" s="159"/>
      <c r="H42" s="159"/>
      <c r="I42" s="159"/>
      <c r="J42" s="159"/>
      <c r="K42" s="159"/>
      <c r="L42" s="159"/>
      <c r="M42" s="159"/>
      <c r="N42" s="167"/>
    </row>
    <row r="43" spans="1:14" ht="26.4" customHeight="1" thickBot="1" x14ac:dyDescent="0.35">
      <c r="A43" s="233" t="s">
        <v>202</v>
      </c>
      <c r="B43" s="159"/>
      <c r="C43" s="159"/>
      <c r="D43" s="167"/>
      <c r="E43" s="199"/>
      <c r="F43" s="159"/>
      <c r="G43" s="159"/>
      <c r="H43" s="159"/>
      <c r="I43" s="159"/>
      <c r="J43" s="159"/>
      <c r="K43" s="159"/>
      <c r="L43" s="159"/>
      <c r="M43" s="159"/>
      <c r="N43" s="167"/>
    </row>
    <row r="44" spans="1:14" ht="27.6" customHeight="1" thickBot="1" x14ac:dyDescent="0.35">
      <c r="A44" s="227" t="s">
        <v>203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6"/>
      <c r="N44" s="157"/>
    </row>
    <row r="45" spans="1:14" ht="18" customHeight="1" thickBot="1" x14ac:dyDescent="0.35">
      <c r="A45" s="18"/>
      <c r="B45" s="163" t="s">
        <v>204</v>
      </c>
      <c r="C45" s="114"/>
      <c r="D45" s="114"/>
      <c r="E45" s="114"/>
      <c r="F45" s="16"/>
      <c r="G45" s="163" t="s">
        <v>205</v>
      </c>
      <c r="H45" s="114"/>
      <c r="I45" s="114"/>
      <c r="J45" s="114"/>
      <c r="K45" s="16"/>
      <c r="L45" s="161" t="s">
        <v>206</v>
      </c>
      <c r="M45" s="114"/>
      <c r="N45" s="162"/>
    </row>
    <row r="46" spans="1:14" ht="18" customHeight="1" thickBot="1" x14ac:dyDescent="0.35">
      <c r="A46" s="18"/>
      <c r="B46" s="163" t="s">
        <v>207</v>
      </c>
      <c r="C46" s="114"/>
      <c r="D46" s="114"/>
      <c r="E46" s="114"/>
      <c r="F46" s="16"/>
      <c r="G46" s="163" t="s">
        <v>208</v>
      </c>
      <c r="H46" s="114"/>
      <c r="I46" s="114"/>
      <c r="J46" s="114"/>
      <c r="K46" s="16"/>
      <c r="L46" s="161" t="s">
        <v>209</v>
      </c>
      <c r="M46" s="114"/>
      <c r="N46" s="162"/>
    </row>
    <row r="47" spans="1:14" ht="18" customHeight="1" thickBot="1" x14ac:dyDescent="0.35">
      <c r="A47" s="18"/>
      <c r="B47" s="163" t="s">
        <v>210</v>
      </c>
      <c r="C47" s="114"/>
      <c r="D47" s="114"/>
      <c r="E47" s="114"/>
      <c r="F47" s="1"/>
      <c r="G47" s="169"/>
      <c r="H47" s="114"/>
      <c r="I47" s="114"/>
      <c r="J47" s="114"/>
      <c r="K47" s="1"/>
      <c r="L47" s="184"/>
      <c r="M47" s="114"/>
      <c r="N47" s="162"/>
    </row>
    <row r="48" spans="1:14" ht="48" customHeight="1" thickBot="1" x14ac:dyDescent="0.35">
      <c r="A48" s="160" t="s">
        <v>211</v>
      </c>
      <c r="B48" s="114"/>
      <c r="C48" s="114"/>
      <c r="D48" s="32"/>
      <c r="E48" s="22" t="s">
        <v>24</v>
      </c>
      <c r="F48" s="32"/>
      <c r="G48" s="22" t="s">
        <v>25</v>
      </c>
      <c r="H48" s="32"/>
      <c r="I48" s="22" t="s">
        <v>212</v>
      </c>
      <c r="J48" s="43" t="s">
        <v>213</v>
      </c>
      <c r="K48" s="32"/>
      <c r="L48" s="22" t="s">
        <v>24</v>
      </c>
      <c r="M48" s="32"/>
      <c r="N48" s="23" t="s">
        <v>25</v>
      </c>
    </row>
    <row r="49" spans="1:14" ht="29.4" customHeight="1" thickBot="1" x14ac:dyDescent="0.35">
      <c r="A49" s="160" t="s">
        <v>214</v>
      </c>
      <c r="B49" s="114"/>
      <c r="C49" s="114"/>
      <c r="D49" s="175"/>
      <c r="E49" s="159"/>
      <c r="F49" s="159"/>
      <c r="G49" s="159"/>
      <c r="H49" s="159"/>
      <c r="I49" s="159"/>
      <c r="J49" s="159"/>
      <c r="K49" s="159"/>
      <c r="L49" s="159"/>
      <c r="M49" s="159"/>
      <c r="N49" s="167"/>
    </row>
    <row r="50" spans="1:14" x14ac:dyDescent="0.3">
      <c r="A50" s="21"/>
      <c r="N50" s="20"/>
    </row>
    <row r="51" spans="1:14" s="6" customFormat="1" ht="19.5" customHeight="1" x14ac:dyDescent="0.3">
      <c r="A51" s="185" t="s">
        <v>215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86"/>
    </row>
    <row r="52" spans="1:14" ht="15" customHeight="1" thickBot="1" x14ac:dyDescent="0.35">
      <c r="A52" s="165" t="s">
        <v>216</v>
      </c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62"/>
    </row>
    <row r="53" spans="1:14" ht="18" customHeight="1" thickBot="1" x14ac:dyDescent="0.35">
      <c r="A53" s="18"/>
      <c r="B53" s="163" t="s">
        <v>217</v>
      </c>
      <c r="C53" s="114"/>
      <c r="D53" s="114"/>
      <c r="E53" s="114"/>
      <c r="F53" s="114"/>
      <c r="G53" s="114"/>
      <c r="H53" s="16"/>
      <c r="I53" s="161" t="s">
        <v>218</v>
      </c>
      <c r="J53" s="114"/>
      <c r="K53" s="114"/>
      <c r="L53" s="114"/>
      <c r="M53" s="114"/>
      <c r="N53" s="162"/>
    </row>
    <row r="54" spans="1:14" ht="18" customHeight="1" thickBot="1" x14ac:dyDescent="0.35">
      <c r="A54" s="18"/>
      <c r="B54" s="163" t="s">
        <v>219</v>
      </c>
      <c r="C54" s="114"/>
      <c r="D54" s="114"/>
      <c r="E54" s="114"/>
      <c r="F54" s="114"/>
      <c r="G54" s="114"/>
      <c r="H54" s="16"/>
      <c r="I54" s="161" t="s">
        <v>220</v>
      </c>
      <c r="J54" s="114"/>
      <c r="K54" s="114"/>
      <c r="L54" s="114"/>
      <c r="M54" s="114"/>
      <c r="N54" s="162"/>
    </row>
    <row r="55" spans="1:14" ht="18" customHeight="1" thickBot="1" x14ac:dyDescent="0.35">
      <c r="A55" s="18"/>
      <c r="B55" s="163" t="s">
        <v>221</v>
      </c>
      <c r="C55" s="114"/>
      <c r="D55" s="114"/>
      <c r="E55" s="114"/>
      <c r="F55" s="114"/>
      <c r="G55" s="114"/>
      <c r="H55" s="16"/>
      <c r="I55" s="161" t="s">
        <v>222</v>
      </c>
      <c r="J55" s="114"/>
      <c r="K55" s="114"/>
      <c r="L55" s="114"/>
      <c r="M55" s="114"/>
      <c r="N55" s="162"/>
    </row>
    <row r="56" spans="1:14" ht="18" customHeight="1" thickBot="1" x14ac:dyDescent="0.35">
      <c r="A56" s="18"/>
      <c r="B56" s="163" t="s">
        <v>223</v>
      </c>
      <c r="C56" s="114"/>
      <c r="D56" s="114"/>
      <c r="E56" s="114"/>
      <c r="F56" s="114"/>
      <c r="G56" s="114"/>
      <c r="H56" s="1"/>
      <c r="I56" s="209"/>
      <c r="J56" s="114"/>
      <c r="K56" s="114"/>
      <c r="L56" s="114"/>
      <c r="M56" s="114"/>
      <c r="N56" s="162"/>
    </row>
    <row r="57" spans="1:14" ht="35.4" customHeight="1" thickBot="1" x14ac:dyDescent="0.35">
      <c r="A57" s="160" t="s">
        <v>224</v>
      </c>
      <c r="B57" s="114"/>
      <c r="C57" s="114"/>
      <c r="D57" s="114"/>
      <c r="E57" s="175"/>
      <c r="F57" s="159"/>
      <c r="G57" s="167"/>
      <c r="H57" s="219" t="s">
        <v>225</v>
      </c>
      <c r="I57" s="114"/>
      <c r="J57" s="114"/>
      <c r="K57" s="114"/>
      <c r="L57" s="175"/>
      <c r="M57" s="159"/>
      <c r="N57" s="167"/>
    </row>
    <row r="58" spans="1:14" ht="97.8" customHeight="1" thickBot="1" x14ac:dyDescent="0.35">
      <c r="A58" s="160" t="s">
        <v>226</v>
      </c>
      <c r="B58" s="114"/>
      <c r="C58" s="114"/>
      <c r="D58" s="114"/>
      <c r="E58" s="33"/>
      <c r="F58" s="22" t="s">
        <v>24</v>
      </c>
      <c r="G58" s="33"/>
      <c r="H58" s="22" t="s">
        <v>25</v>
      </c>
      <c r="I58" s="12" t="s">
        <v>227</v>
      </c>
      <c r="J58" s="12"/>
      <c r="K58" s="16"/>
      <c r="L58" s="22" t="s">
        <v>24</v>
      </c>
      <c r="M58" s="33"/>
      <c r="N58" s="23" t="s">
        <v>25</v>
      </c>
    </row>
    <row r="59" spans="1:14" ht="29.4" customHeight="1" thickBot="1" x14ac:dyDescent="0.35">
      <c r="A59" s="165" t="s">
        <v>228</v>
      </c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62"/>
    </row>
    <row r="60" spans="1:14" ht="18" customHeight="1" thickBot="1" x14ac:dyDescent="0.35">
      <c r="A60" s="18"/>
      <c r="B60" s="163" t="s">
        <v>229</v>
      </c>
      <c r="C60" s="114"/>
      <c r="D60" s="114"/>
      <c r="E60" s="114"/>
      <c r="F60" s="16"/>
      <c r="G60" s="163" t="s">
        <v>230</v>
      </c>
      <c r="H60" s="114"/>
      <c r="I60" s="114"/>
      <c r="J60" s="114"/>
      <c r="K60" s="16"/>
      <c r="L60" s="161" t="s">
        <v>231</v>
      </c>
      <c r="M60" s="114"/>
      <c r="N60" s="162"/>
    </row>
    <row r="61" spans="1:14" ht="18" customHeight="1" thickBot="1" x14ac:dyDescent="0.35">
      <c r="A61" s="18"/>
      <c r="B61" s="163" t="s">
        <v>232</v>
      </c>
      <c r="C61" s="114"/>
      <c r="D61" s="114"/>
      <c r="E61" s="114"/>
      <c r="F61" s="16"/>
      <c r="G61" s="163" t="s">
        <v>223</v>
      </c>
      <c r="H61" s="114"/>
      <c r="I61" s="114"/>
      <c r="J61" s="114"/>
      <c r="K61" s="16"/>
      <c r="L61" s="161" t="s">
        <v>233</v>
      </c>
      <c r="M61" s="114"/>
      <c r="N61" s="162"/>
    </row>
    <row r="62" spans="1:14" x14ac:dyDescent="0.3">
      <c r="A62" s="21"/>
      <c r="N62" s="20"/>
    </row>
    <row r="63" spans="1:14" s="6" customFormat="1" ht="19.5" customHeight="1" x14ac:dyDescent="0.3">
      <c r="A63" s="185" t="s">
        <v>234</v>
      </c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86"/>
    </row>
    <row r="64" spans="1:14" ht="15" customHeight="1" thickBot="1" x14ac:dyDescent="0.35">
      <c r="A64" s="165" t="s">
        <v>235</v>
      </c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62"/>
    </row>
    <row r="65" spans="1:14" ht="18" customHeight="1" thickBot="1" x14ac:dyDescent="0.35">
      <c r="A65" s="18"/>
      <c r="B65" s="163" t="s">
        <v>236</v>
      </c>
      <c r="C65" s="114"/>
      <c r="D65" s="114"/>
      <c r="E65" s="114"/>
      <c r="F65" s="114"/>
      <c r="G65" s="114"/>
      <c r="H65" s="16"/>
      <c r="I65" s="161" t="s">
        <v>237</v>
      </c>
      <c r="J65" s="114"/>
      <c r="K65" s="114"/>
      <c r="L65" s="114"/>
      <c r="M65" s="114"/>
      <c r="N65" s="162"/>
    </row>
    <row r="66" spans="1:14" ht="18" customHeight="1" thickBot="1" x14ac:dyDescent="0.35">
      <c r="A66" s="18"/>
      <c r="B66" s="163" t="s">
        <v>238</v>
      </c>
      <c r="C66" s="114"/>
      <c r="D66" s="114"/>
      <c r="E66" s="114"/>
      <c r="F66" s="114"/>
      <c r="G66" s="114"/>
      <c r="H66" s="16"/>
      <c r="I66" s="161" t="s">
        <v>239</v>
      </c>
      <c r="J66" s="114"/>
      <c r="K66" s="114"/>
      <c r="L66" s="114"/>
      <c r="M66" s="114"/>
      <c r="N66" s="162"/>
    </row>
    <row r="67" spans="1:14" ht="18" customHeight="1" thickBot="1" x14ac:dyDescent="0.35">
      <c r="A67" s="18"/>
      <c r="B67" s="163" t="s">
        <v>240</v>
      </c>
      <c r="C67" s="114"/>
      <c r="D67" s="114"/>
      <c r="E67" s="114"/>
      <c r="F67" s="114"/>
      <c r="G67" s="114"/>
      <c r="H67" s="16"/>
      <c r="I67" s="161" t="s">
        <v>241</v>
      </c>
      <c r="J67" s="114"/>
      <c r="K67" s="114"/>
      <c r="L67" s="114"/>
      <c r="M67" s="114"/>
      <c r="N67" s="162"/>
    </row>
    <row r="68" spans="1:14" ht="18" customHeight="1" thickBot="1" x14ac:dyDescent="0.35">
      <c r="A68" s="18"/>
      <c r="B68" s="163" t="s">
        <v>242</v>
      </c>
      <c r="C68" s="114"/>
      <c r="D68" s="114"/>
      <c r="E68" s="114"/>
      <c r="F68" s="114"/>
      <c r="G68" s="114"/>
      <c r="H68" s="32"/>
      <c r="I68" s="161" t="s">
        <v>223</v>
      </c>
      <c r="J68" s="114"/>
      <c r="K68" s="114"/>
      <c r="L68" s="114"/>
      <c r="M68" s="114"/>
      <c r="N68" s="162"/>
    </row>
    <row r="69" spans="1:14" ht="39" customHeight="1" x14ac:dyDescent="0.3">
      <c r="A69" s="188" t="s">
        <v>243</v>
      </c>
      <c r="B69" s="156"/>
      <c r="C69" s="189"/>
      <c r="D69" s="229"/>
      <c r="E69" s="114"/>
      <c r="F69" s="202" t="s">
        <v>244</v>
      </c>
      <c r="G69" s="128"/>
      <c r="H69" s="121"/>
      <c r="I69" s="187"/>
      <c r="J69" s="121"/>
      <c r="K69" s="190" t="s">
        <v>245</v>
      </c>
      <c r="L69" s="135"/>
      <c r="M69" s="217"/>
      <c r="N69" s="162"/>
    </row>
    <row r="70" spans="1:14" ht="15" customHeight="1" thickBot="1" x14ac:dyDescent="0.35">
      <c r="A70" s="165" t="s">
        <v>246</v>
      </c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62"/>
    </row>
    <row r="71" spans="1:14" ht="18" customHeight="1" thickBot="1" x14ac:dyDescent="0.35">
      <c r="A71" s="18"/>
      <c r="B71" s="163" t="s">
        <v>247</v>
      </c>
      <c r="C71" s="114"/>
      <c r="D71" s="114"/>
      <c r="E71" s="114"/>
      <c r="F71" s="114"/>
      <c r="G71" s="114"/>
      <c r="H71" s="16"/>
      <c r="I71" s="161" t="s">
        <v>248</v>
      </c>
      <c r="J71" s="114"/>
      <c r="K71" s="114"/>
      <c r="L71" s="114"/>
      <c r="M71" s="114"/>
      <c r="N71" s="162"/>
    </row>
    <row r="72" spans="1:14" ht="18" customHeight="1" thickBot="1" x14ac:dyDescent="0.35">
      <c r="A72" s="18"/>
      <c r="B72" s="163" t="s">
        <v>249</v>
      </c>
      <c r="C72" s="114"/>
      <c r="D72" s="114"/>
      <c r="E72" s="114"/>
      <c r="F72" s="114"/>
      <c r="G72" s="114"/>
      <c r="H72" s="16"/>
      <c r="I72" s="161" t="s">
        <v>250</v>
      </c>
      <c r="J72" s="114"/>
      <c r="K72" s="114"/>
      <c r="L72" s="114"/>
      <c r="M72" s="114"/>
      <c r="N72" s="162"/>
    </row>
    <row r="73" spans="1:14" ht="18" customHeight="1" thickBot="1" x14ac:dyDescent="0.35">
      <c r="A73" s="18"/>
      <c r="B73" s="163" t="s">
        <v>251</v>
      </c>
      <c r="C73" s="114"/>
      <c r="D73" s="114"/>
      <c r="E73" s="114"/>
      <c r="F73" s="114"/>
      <c r="G73" s="114"/>
      <c r="H73" s="16"/>
      <c r="I73" s="161" t="s">
        <v>252</v>
      </c>
      <c r="J73" s="114"/>
      <c r="K73" s="114"/>
      <c r="L73" s="114"/>
      <c r="M73" s="114"/>
      <c r="N73" s="162"/>
    </row>
    <row r="74" spans="1:14" ht="15" customHeight="1" thickBot="1" x14ac:dyDescent="0.35">
      <c r="A74" s="165" t="s">
        <v>253</v>
      </c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62"/>
    </row>
    <row r="75" spans="1:14" ht="18" customHeight="1" thickBot="1" x14ac:dyDescent="0.35">
      <c r="A75" s="18"/>
      <c r="B75" s="163" t="s">
        <v>254</v>
      </c>
      <c r="C75" s="114"/>
      <c r="D75" s="114"/>
      <c r="E75" s="114"/>
      <c r="F75" s="114"/>
      <c r="G75" s="114"/>
      <c r="H75" s="16"/>
      <c r="I75" s="161" t="s">
        <v>255</v>
      </c>
      <c r="J75" s="114"/>
      <c r="K75" s="114"/>
      <c r="L75" s="114"/>
      <c r="M75" s="114"/>
      <c r="N75" s="162"/>
    </row>
    <row r="76" spans="1:14" ht="18" customHeight="1" thickBot="1" x14ac:dyDescent="0.35">
      <c r="A76" s="18"/>
      <c r="B76" s="163" t="s">
        <v>256</v>
      </c>
      <c r="C76" s="114"/>
      <c r="D76" s="114"/>
      <c r="E76" s="114"/>
      <c r="F76" s="114"/>
      <c r="G76" s="114"/>
      <c r="H76" s="16"/>
      <c r="I76" s="161" t="s">
        <v>257</v>
      </c>
      <c r="J76" s="114"/>
      <c r="K76" s="114"/>
      <c r="L76" s="114"/>
      <c r="M76" s="114"/>
      <c r="N76" s="162"/>
    </row>
    <row r="77" spans="1:14" ht="18" customHeight="1" thickBot="1" x14ac:dyDescent="0.35">
      <c r="A77" s="18"/>
      <c r="B77" s="163" t="s">
        <v>258</v>
      </c>
      <c r="C77" s="114"/>
      <c r="D77" s="114"/>
      <c r="E77" s="114"/>
      <c r="F77" s="114"/>
      <c r="G77" s="114"/>
      <c r="H77" s="16"/>
      <c r="I77" s="161" t="s">
        <v>223</v>
      </c>
      <c r="J77" s="114"/>
      <c r="K77" s="114"/>
      <c r="L77" s="114"/>
      <c r="M77" s="114"/>
      <c r="N77" s="162"/>
    </row>
    <row r="78" spans="1:14" ht="31.2" customHeight="1" x14ac:dyDescent="0.3">
      <c r="A78" s="188" t="s">
        <v>259</v>
      </c>
      <c r="B78" s="156"/>
      <c r="C78" s="189"/>
      <c r="D78" s="178"/>
      <c r="E78" s="135"/>
      <c r="F78" s="180" t="s">
        <v>244</v>
      </c>
      <c r="G78" s="156"/>
      <c r="H78" s="156"/>
      <c r="I78" s="177"/>
      <c r="J78" s="114"/>
      <c r="K78" s="114"/>
      <c r="L78" s="114"/>
      <c r="M78" s="114"/>
      <c r="N78" s="162"/>
    </row>
    <row r="79" spans="1:14" ht="15" customHeight="1" thickBot="1" x14ac:dyDescent="0.35">
      <c r="A79" s="165" t="s">
        <v>260</v>
      </c>
      <c r="B79" s="114"/>
      <c r="C79" s="114"/>
      <c r="D79" s="114"/>
      <c r="E79" s="114"/>
      <c r="F79" s="114"/>
      <c r="G79" s="114"/>
      <c r="H79" s="114"/>
      <c r="I79" s="114"/>
      <c r="J79" s="114"/>
      <c r="K79" s="114"/>
      <c r="L79" s="114"/>
      <c r="M79" s="114"/>
      <c r="N79" s="162"/>
    </row>
    <row r="80" spans="1:14" ht="18" customHeight="1" thickBot="1" x14ac:dyDescent="0.35">
      <c r="A80" s="18"/>
      <c r="B80" s="163" t="s">
        <v>261</v>
      </c>
      <c r="C80" s="114"/>
      <c r="D80" s="114"/>
      <c r="E80" s="114"/>
      <c r="F80" s="114"/>
      <c r="G80" s="114"/>
      <c r="H80" s="16"/>
      <c r="I80" s="161" t="s">
        <v>262</v>
      </c>
      <c r="J80" s="114"/>
      <c r="K80" s="114"/>
      <c r="L80" s="114"/>
      <c r="M80" s="114"/>
      <c r="N80" s="162"/>
    </row>
    <row r="81" spans="1:14" ht="18" customHeight="1" thickBot="1" x14ac:dyDescent="0.35">
      <c r="A81" s="18"/>
      <c r="B81" s="163" t="s">
        <v>263</v>
      </c>
      <c r="C81" s="114"/>
      <c r="D81" s="114"/>
      <c r="E81" s="114"/>
      <c r="F81" s="114"/>
      <c r="G81" s="114"/>
      <c r="H81" s="16"/>
      <c r="I81" s="161" t="s">
        <v>264</v>
      </c>
      <c r="J81" s="114"/>
      <c r="K81" s="114"/>
      <c r="L81" s="114"/>
      <c r="M81" s="114"/>
      <c r="N81" s="162"/>
    </row>
    <row r="82" spans="1:14" ht="18" customHeight="1" x14ac:dyDescent="0.3">
      <c r="A82" s="188" t="s">
        <v>265</v>
      </c>
      <c r="B82" s="156"/>
      <c r="C82" s="189"/>
      <c r="D82" s="154" t="s">
        <v>266</v>
      </c>
      <c r="E82" s="135"/>
      <c r="F82" s="154" t="s">
        <v>267</v>
      </c>
      <c r="G82" s="135"/>
      <c r="H82" s="154" t="s">
        <v>268</v>
      </c>
      <c r="I82" s="135"/>
      <c r="J82" s="154" t="s">
        <v>269</v>
      </c>
      <c r="K82" s="135"/>
      <c r="L82" s="225" t="s">
        <v>270</v>
      </c>
      <c r="M82" s="114"/>
      <c r="N82" s="162"/>
    </row>
    <row r="83" spans="1:14" ht="15" customHeight="1" thickBot="1" x14ac:dyDescent="0.35">
      <c r="A83" s="165" t="s">
        <v>271</v>
      </c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62"/>
    </row>
    <row r="84" spans="1:14" ht="23.4" customHeight="1" thickBot="1" x14ac:dyDescent="0.35">
      <c r="A84" s="18"/>
      <c r="B84" s="163" t="s">
        <v>272</v>
      </c>
      <c r="C84" s="114"/>
      <c r="D84" s="114"/>
      <c r="E84" s="114"/>
      <c r="F84" s="16"/>
      <c r="G84" s="163" t="s">
        <v>273</v>
      </c>
      <c r="H84" s="114"/>
      <c r="I84" s="114"/>
      <c r="J84" s="114"/>
      <c r="K84" s="16"/>
      <c r="L84" s="161" t="s">
        <v>274</v>
      </c>
      <c r="M84" s="114"/>
      <c r="N84" s="162"/>
    </row>
    <row r="85" spans="1:14" ht="24" customHeight="1" thickBot="1" x14ac:dyDescent="0.35">
      <c r="A85" s="18"/>
      <c r="B85" s="163" t="s">
        <v>275</v>
      </c>
      <c r="C85" s="114"/>
      <c r="D85" s="114"/>
      <c r="E85" s="114"/>
      <c r="F85" s="16"/>
      <c r="G85" s="163" t="s">
        <v>276</v>
      </c>
      <c r="H85" s="114"/>
      <c r="I85" s="114"/>
      <c r="J85" s="114"/>
      <c r="K85" s="16"/>
      <c r="L85" s="161" t="s">
        <v>277</v>
      </c>
      <c r="M85" s="114"/>
      <c r="N85" s="162"/>
    </row>
    <row r="86" spans="1:14" ht="27" customHeight="1" thickBot="1" x14ac:dyDescent="0.35">
      <c r="A86" s="18"/>
      <c r="B86" s="163" t="s">
        <v>278</v>
      </c>
      <c r="C86" s="114"/>
      <c r="D86" s="114"/>
      <c r="E86" s="114"/>
      <c r="F86" s="155"/>
      <c r="G86" s="156"/>
      <c r="H86" s="156"/>
      <c r="I86" s="156"/>
      <c r="J86" s="156"/>
      <c r="K86" s="156"/>
      <c r="L86" s="156"/>
      <c r="M86" s="156"/>
      <c r="N86" s="157"/>
    </row>
    <row r="87" spans="1:14" ht="22.2" customHeight="1" x14ac:dyDescent="0.3">
      <c r="A87" s="188" t="s">
        <v>279</v>
      </c>
      <c r="B87" s="156"/>
      <c r="C87" s="189"/>
      <c r="D87" s="178"/>
      <c r="E87" s="114"/>
      <c r="F87" s="114"/>
      <c r="G87" s="114"/>
      <c r="H87" s="135"/>
      <c r="I87" s="226" t="s">
        <v>280</v>
      </c>
      <c r="J87" s="114"/>
      <c r="K87" s="114"/>
      <c r="L87" s="135"/>
      <c r="M87" s="217"/>
      <c r="N87" s="162"/>
    </row>
    <row r="88" spans="1:14" ht="15" customHeight="1" thickBot="1" x14ac:dyDescent="0.35">
      <c r="A88" s="165" t="s">
        <v>281</v>
      </c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62"/>
    </row>
    <row r="89" spans="1:14" ht="24.6" customHeight="1" thickBot="1" x14ac:dyDescent="0.35">
      <c r="A89" s="18"/>
      <c r="B89" s="163" t="s">
        <v>282</v>
      </c>
      <c r="C89" s="114"/>
      <c r="D89" s="16"/>
      <c r="E89" s="163" t="s">
        <v>283</v>
      </c>
      <c r="F89" s="114"/>
      <c r="G89" s="114"/>
      <c r="H89" s="16"/>
      <c r="I89" s="163" t="s">
        <v>284</v>
      </c>
      <c r="J89" s="114"/>
      <c r="K89" s="16"/>
      <c r="L89" s="161" t="s">
        <v>285</v>
      </c>
      <c r="M89" s="114"/>
      <c r="N89" s="162"/>
    </row>
    <row r="90" spans="1:14" ht="18" customHeight="1" thickBot="1" x14ac:dyDescent="0.35">
      <c r="A90" s="37"/>
      <c r="B90" s="192" t="s">
        <v>286</v>
      </c>
      <c r="C90" s="193"/>
      <c r="D90" s="32"/>
      <c r="E90" s="192" t="s">
        <v>287</v>
      </c>
      <c r="F90" s="193"/>
      <c r="G90" s="193"/>
      <c r="H90" s="32"/>
      <c r="I90" s="192" t="s">
        <v>288</v>
      </c>
      <c r="J90" s="193"/>
      <c r="K90" s="32"/>
      <c r="L90" s="223" t="s">
        <v>289</v>
      </c>
      <c r="M90" s="193"/>
      <c r="N90" s="196"/>
    </row>
    <row r="91" spans="1:14" ht="18" customHeight="1" thickBot="1" x14ac:dyDescent="0.35">
      <c r="A91" s="205" t="s">
        <v>290</v>
      </c>
      <c r="B91" s="206"/>
      <c r="C91" s="206"/>
      <c r="D91" s="207"/>
      <c r="E91" s="166"/>
      <c r="F91" s="159"/>
      <c r="G91" s="159"/>
      <c r="H91" s="159"/>
      <c r="I91" s="159"/>
      <c r="J91" s="159"/>
      <c r="K91" s="167"/>
      <c r="L91" s="158" t="s">
        <v>291</v>
      </c>
      <c r="M91" s="159"/>
      <c r="N91" s="34"/>
    </row>
    <row r="92" spans="1:14" ht="22.2" customHeight="1" thickBot="1" x14ac:dyDescent="0.35">
      <c r="A92" s="165" t="s">
        <v>292</v>
      </c>
      <c r="B92" s="114"/>
      <c r="C92" s="114"/>
      <c r="D92" s="162"/>
      <c r="E92" s="35"/>
      <c r="F92" s="22" t="s">
        <v>24</v>
      </c>
      <c r="G92" s="33"/>
      <c r="H92" s="22" t="s">
        <v>25</v>
      </c>
      <c r="K92" s="221"/>
      <c r="L92" s="215"/>
      <c r="M92" s="215"/>
      <c r="N92" s="216"/>
    </row>
    <row r="93" spans="1:14" ht="31.2" customHeight="1" thickBot="1" x14ac:dyDescent="0.35">
      <c r="A93" s="210" t="s">
        <v>293</v>
      </c>
      <c r="B93" s="182"/>
      <c r="C93" s="182"/>
      <c r="D93" s="211"/>
      <c r="E93" s="36"/>
      <c r="F93" s="22" t="s">
        <v>294</v>
      </c>
      <c r="G93" s="16"/>
      <c r="H93" s="22" t="s">
        <v>295</v>
      </c>
      <c r="I93" s="16"/>
      <c r="J93" s="22" t="s">
        <v>296</v>
      </c>
      <c r="N93" s="20"/>
    </row>
    <row r="94" spans="1:14" x14ac:dyDescent="0.3">
      <c r="A94" s="21"/>
      <c r="N94" s="20"/>
    </row>
    <row r="95" spans="1:14" s="6" customFormat="1" ht="19.5" customHeight="1" x14ac:dyDescent="0.3">
      <c r="A95" s="185" t="s">
        <v>297</v>
      </c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86"/>
    </row>
    <row r="96" spans="1:14" ht="31.8" customHeight="1" x14ac:dyDescent="0.3">
      <c r="A96" s="203" t="s">
        <v>298</v>
      </c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86"/>
    </row>
    <row r="97" spans="1:14" s="6" customFormat="1" ht="31.5" customHeight="1" thickBot="1" x14ac:dyDescent="0.35">
      <c r="A97" s="24" t="s">
        <v>299</v>
      </c>
      <c r="B97" s="13" t="s">
        <v>300</v>
      </c>
      <c r="C97" s="172" t="s">
        <v>301</v>
      </c>
      <c r="D97" s="114"/>
      <c r="E97" s="114"/>
      <c r="F97" s="13" t="s">
        <v>302</v>
      </c>
      <c r="G97" s="172" t="s">
        <v>303</v>
      </c>
      <c r="H97" s="114"/>
      <c r="I97" s="13" t="s">
        <v>304</v>
      </c>
      <c r="J97" s="13" t="s">
        <v>305</v>
      </c>
      <c r="K97" s="13" t="s">
        <v>306</v>
      </c>
      <c r="L97" s="13" t="s">
        <v>307</v>
      </c>
      <c r="M97" s="13" t="s">
        <v>308</v>
      </c>
      <c r="N97" s="25" t="s">
        <v>309</v>
      </c>
    </row>
    <row r="98" spans="1:14" ht="18" customHeight="1" thickBot="1" x14ac:dyDescent="0.35">
      <c r="A98" s="26">
        <v>1</v>
      </c>
      <c r="B98" s="105" t="s">
        <v>26</v>
      </c>
      <c r="C98" s="168"/>
      <c r="D98" s="114"/>
      <c r="E98" s="114"/>
      <c r="F98" s="14"/>
      <c r="G98" s="168"/>
      <c r="H98" s="114"/>
      <c r="I98" s="16"/>
      <c r="J98" s="16"/>
      <c r="K98" s="16"/>
      <c r="L98" s="16"/>
      <c r="M98" s="16"/>
      <c r="N98" s="27"/>
    </row>
    <row r="99" spans="1:14" ht="18" customHeight="1" thickBot="1" x14ac:dyDescent="0.35">
      <c r="A99" s="26">
        <v>2</v>
      </c>
      <c r="B99" s="105" t="s">
        <v>26</v>
      </c>
      <c r="C99" s="168"/>
      <c r="D99" s="114"/>
      <c r="E99" s="114"/>
      <c r="F99" s="14"/>
      <c r="G99" s="168"/>
      <c r="H99" s="114"/>
      <c r="I99" s="16"/>
      <c r="J99" s="16"/>
      <c r="K99" s="16"/>
      <c r="L99" s="16"/>
      <c r="M99" s="16"/>
      <c r="N99" s="27"/>
    </row>
    <row r="100" spans="1:14" ht="18" customHeight="1" thickBot="1" x14ac:dyDescent="0.35">
      <c r="A100" s="26">
        <v>3</v>
      </c>
      <c r="B100" s="105" t="s">
        <v>26</v>
      </c>
      <c r="C100" s="168"/>
      <c r="D100" s="114"/>
      <c r="E100" s="114"/>
      <c r="F100" s="14"/>
      <c r="G100" s="168"/>
      <c r="H100" s="114"/>
      <c r="I100" s="16"/>
      <c r="J100" s="16"/>
      <c r="K100" s="16"/>
      <c r="L100" s="16"/>
      <c r="M100" s="16"/>
      <c r="N100" s="27"/>
    </row>
    <row r="101" spans="1:14" ht="18" customHeight="1" thickBot="1" x14ac:dyDescent="0.35">
      <c r="A101" s="26">
        <v>4</v>
      </c>
      <c r="B101" s="105" t="s">
        <v>26</v>
      </c>
      <c r="C101" s="168"/>
      <c r="D101" s="114"/>
      <c r="E101" s="114"/>
      <c r="F101" s="14"/>
      <c r="G101" s="168"/>
      <c r="H101" s="114"/>
      <c r="I101" s="16"/>
      <c r="J101" s="16"/>
      <c r="K101" s="16"/>
      <c r="L101" s="16"/>
      <c r="M101" s="16"/>
      <c r="N101" s="27"/>
    </row>
    <row r="102" spans="1:14" ht="18" customHeight="1" thickBot="1" x14ac:dyDescent="0.35">
      <c r="A102" s="26">
        <v>5</v>
      </c>
      <c r="B102" s="105" t="s">
        <v>26</v>
      </c>
      <c r="C102" s="168"/>
      <c r="D102" s="114"/>
      <c r="E102" s="114"/>
      <c r="F102" s="14"/>
      <c r="G102" s="168"/>
      <c r="H102" s="114"/>
      <c r="I102" s="16"/>
      <c r="J102" s="16"/>
      <c r="K102" s="16"/>
      <c r="L102" s="16"/>
      <c r="M102" s="16"/>
      <c r="N102" s="27"/>
    </row>
    <row r="103" spans="1:14" ht="18" customHeight="1" thickBot="1" x14ac:dyDescent="0.35">
      <c r="A103" s="26">
        <v>6</v>
      </c>
      <c r="B103" s="105" t="s">
        <v>26</v>
      </c>
      <c r="C103" s="168"/>
      <c r="D103" s="114"/>
      <c r="E103" s="114"/>
      <c r="F103" s="14"/>
      <c r="G103" s="168"/>
      <c r="H103" s="114"/>
      <c r="I103" s="16"/>
      <c r="J103" s="16"/>
      <c r="K103" s="16"/>
      <c r="L103" s="16"/>
      <c r="M103" s="16"/>
      <c r="N103" s="27"/>
    </row>
    <row r="104" spans="1:14" ht="18" customHeight="1" thickBot="1" x14ac:dyDescent="0.35">
      <c r="A104" s="26">
        <v>7</v>
      </c>
      <c r="B104" s="105" t="s">
        <v>26</v>
      </c>
      <c r="C104" s="168"/>
      <c r="D104" s="114"/>
      <c r="E104" s="114"/>
      <c r="F104" s="14"/>
      <c r="G104" s="168"/>
      <c r="H104" s="114"/>
      <c r="I104" s="16"/>
      <c r="J104" s="16"/>
      <c r="K104" s="16"/>
      <c r="L104" s="16"/>
      <c r="M104" s="16"/>
      <c r="N104" s="27"/>
    </row>
    <row r="105" spans="1:14" ht="18" customHeight="1" thickBot="1" x14ac:dyDescent="0.35">
      <c r="A105" s="26">
        <v>8</v>
      </c>
      <c r="B105" s="105" t="s">
        <v>26</v>
      </c>
      <c r="C105" s="168"/>
      <c r="D105" s="114"/>
      <c r="E105" s="114"/>
      <c r="F105" s="14"/>
      <c r="G105" s="168"/>
      <c r="H105" s="114"/>
      <c r="I105" s="16"/>
      <c r="J105" s="16"/>
      <c r="K105" s="16"/>
      <c r="L105" s="16"/>
      <c r="M105" s="16"/>
      <c r="N105" s="27"/>
    </row>
    <row r="106" spans="1:14" x14ac:dyDescent="0.3">
      <c r="A106" s="21"/>
      <c r="N106" s="20"/>
    </row>
    <row r="107" spans="1:14" ht="15" customHeight="1" x14ac:dyDescent="0.3">
      <c r="A107" s="165" t="s">
        <v>310</v>
      </c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62"/>
    </row>
    <row r="108" spans="1:14" ht="15.75" customHeight="1" x14ac:dyDescent="0.3">
      <c r="A108" s="28" t="s">
        <v>311</v>
      </c>
      <c r="B108" s="168" t="s">
        <v>312</v>
      </c>
      <c r="C108" s="114"/>
      <c r="D108" s="114"/>
      <c r="E108" s="114"/>
      <c r="F108" s="17" t="s">
        <v>313</v>
      </c>
      <c r="G108" s="168" t="s">
        <v>314</v>
      </c>
      <c r="H108" s="114"/>
      <c r="I108" s="114"/>
      <c r="J108" s="114"/>
      <c r="K108" s="17" t="s">
        <v>315</v>
      </c>
      <c r="L108" s="179" t="s">
        <v>316</v>
      </c>
      <c r="M108" s="114"/>
      <c r="N108" s="162"/>
    </row>
    <row r="109" spans="1:14" ht="25.8" customHeight="1" x14ac:dyDescent="0.3">
      <c r="A109" s="28" t="s">
        <v>317</v>
      </c>
      <c r="B109" s="168" t="s">
        <v>318</v>
      </c>
      <c r="C109" s="114"/>
      <c r="D109" s="114"/>
      <c r="E109" s="114"/>
      <c r="F109" s="17" t="s">
        <v>319</v>
      </c>
      <c r="G109" s="168" t="s">
        <v>320</v>
      </c>
      <c r="H109" s="114"/>
      <c r="I109" s="114"/>
      <c r="J109" s="114"/>
      <c r="K109" s="17" t="s">
        <v>321</v>
      </c>
      <c r="L109" s="179" t="s">
        <v>322</v>
      </c>
      <c r="M109" s="114"/>
      <c r="N109" s="162"/>
    </row>
    <row r="110" spans="1:14" ht="15.75" customHeight="1" x14ac:dyDescent="0.3">
      <c r="A110" s="28" t="s">
        <v>323</v>
      </c>
      <c r="B110" s="168" t="s">
        <v>324</v>
      </c>
      <c r="C110" s="114"/>
      <c r="D110" s="114"/>
      <c r="E110" s="114"/>
      <c r="F110" s="17" t="s">
        <v>325</v>
      </c>
      <c r="G110" s="168" t="s">
        <v>326</v>
      </c>
      <c r="H110" s="114"/>
      <c r="I110" s="114"/>
      <c r="J110" s="114"/>
      <c r="K110" s="17" t="s">
        <v>327</v>
      </c>
      <c r="L110" s="179" t="s">
        <v>328</v>
      </c>
      <c r="M110" s="114"/>
      <c r="N110" s="162"/>
    </row>
    <row r="111" spans="1:14" ht="15.75" customHeight="1" x14ac:dyDescent="0.3">
      <c r="A111" s="28" t="s">
        <v>329</v>
      </c>
      <c r="B111" s="168" t="s">
        <v>330</v>
      </c>
      <c r="C111" s="114"/>
      <c r="D111" s="114"/>
      <c r="E111" s="114"/>
      <c r="F111" s="17" t="s">
        <v>331</v>
      </c>
      <c r="G111" s="168" t="s">
        <v>332</v>
      </c>
      <c r="H111" s="114"/>
      <c r="I111" s="114"/>
      <c r="J111" s="114"/>
      <c r="K111" s="17" t="s">
        <v>333</v>
      </c>
      <c r="L111" s="179" t="s">
        <v>334</v>
      </c>
      <c r="M111" s="114"/>
      <c r="N111" s="162"/>
    </row>
    <row r="112" spans="1:14" ht="15.75" customHeight="1" x14ac:dyDescent="0.3">
      <c r="A112" s="28" t="s">
        <v>335</v>
      </c>
      <c r="B112" s="168" t="s">
        <v>336</v>
      </c>
      <c r="C112" s="114"/>
      <c r="D112" s="114"/>
      <c r="E112" s="114"/>
      <c r="F112" s="17" t="s">
        <v>337</v>
      </c>
      <c r="G112" s="168" t="s">
        <v>338</v>
      </c>
      <c r="H112" s="114"/>
      <c r="I112" s="114"/>
      <c r="J112" s="114"/>
      <c r="K112" s="17" t="s">
        <v>339</v>
      </c>
      <c r="L112" s="179" t="s">
        <v>340</v>
      </c>
      <c r="M112" s="114"/>
      <c r="N112" s="162"/>
    </row>
    <row r="113" spans="1:14" ht="15.75" customHeight="1" x14ac:dyDescent="0.3">
      <c r="A113" s="28" t="s">
        <v>341</v>
      </c>
      <c r="B113" s="168" t="s">
        <v>342</v>
      </c>
      <c r="C113" s="114"/>
      <c r="D113" s="114"/>
      <c r="E113" s="114"/>
      <c r="F113" s="17" t="s">
        <v>343</v>
      </c>
      <c r="G113" s="168" t="s">
        <v>223</v>
      </c>
      <c r="H113" s="114"/>
      <c r="I113" s="114"/>
      <c r="J113" s="114"/>
      <c r="K113" s="17"/>
      <c r="L113" s="184"/>
      <c r="M113" s="114"/>
      <c r="N113" s="162"/>
    </row>
    <row r="114" spans="1:14" x14ac:dyDescent="0.3">
      <c r="A114" s="21"/>
      <c r="N114" s="20"/>
    </row>
    <row r="115" spans="1:14" s="6" customFormat="1" ht="19.5" customHeight="1" x14ac:dyDescent="0.3">
      <c r="A115" s="185" t="s">
        <v>344</v>
      </c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86"/>
    </row>
    <row r="116" spans="1:14" ht="18" customHeight="1" x14ac:dyDescent="0.3">
      <c r="A116" s="191" t="s">
        <v>345</v>
      </c>
      <c r="B116" s="128"/>
      <c r="C116" s="128"/>
      <c r="D116" s="128"/>
      <c r="E116" s="128"/>
      <c r="F116" s="128"/>
      <c r="G116" s="121"/>
      <c r="H116" s="173"/>
      <c r="I116" s="128"/>
      <c r="J116" s="128"/>
      <c r="K116" s="128"/>
      <c r="L116" s="128"/>
      <c r="M116" s="128"/>
      <c r="N116" s="121"/>
    </row>
    <row r="117" spans="1:14" ht="18" customHeight="1" x14ac:dyDescent="0.3">
      <c r="A117" s="191" t="s">
        <v>346</v>
      </c>
      <c r="B117" s="128"/>
      <c r="C117" s="128"/>
      <c r="D117" s="128"/>
      <c r="E117" s="128"/>
      <c r="F117" s="128"/>
      <c r="G117" s="121"/>
      <c r="H117" s="173"/>
      <c r="I117" s="128"/>
      <c r="J117" s="128"/>
      <c r="K117" s="128"/>
      <c r="L117" s="128"/>
      <c r="M117" s="128"/>
      <c r="N117" s="121"/>
    </row>
    <row r="118" spans="1:14" ht="18" customHeight="1" x14ac:dyDescent="0.3">
      <c r="A118" s="191" t="s">
        <v>347</v>
      </c>
      <c r="B118" s="128"/>
      <c r="C118" s="128"/>
      <c r="D118" s="128"/>
      <c r="E118" s="128"/>
      <c r="F118" s="128"/>
      <c r="G118" s="121"/>
      <c r="H118" s="173"/>
      <c r="I118" s="128"/>
      <c r="J118" s="128"/>
      <c r="K118" s="128"/>
      <c r="L118" s="128"/>
      <c r="M118" s="128"/>
      <c r="N118" s="121"/>
    </row>
    <row r="119" spans="1:14" ht="18" customHeight="1" x14ac:dyDescent="0.3">
      <c r="A119" s="191" t="s">
        <v>348</v>
      </c>
      <c r="B119" s="128"/>
      <c r="C119" s="128"/>
      <c r="D119" s="128"/>
      <c r="E119" s="128"/>
      <c r="F119" s="128"/>
      <c r="G119" s="121"/>
      <c r="H119" s="173"/>
      <c r="I119" s="128"/>
      <c r="J119" s="128"/>
      <c r="K119" s="128"/>
      <c r="L119" s="128"/>
      <c r="M119" s="128"/>
      <c r="N119" s="121"/>
    </row>
    <row r="120" spans="1:14" ht="18" customHeight="1" x14ac:dyDescent="0.3">
      <c r="A120" s="191" t="s">
        <v>349</v>
      </c>
      <c r="B120" s="128"/>
      <c r="C120" s="128"/>
      <c r="D120" s="128"/>
      <c r="E120" s="128"/>
      <c r="F120" s="128"/>
      <c r="G120" s="121"/>
      <c r="H120" s="173"/>
      <c r="I120" s="128"/>
      <c r="J120" s="128"/>
      <c r="K120" s="128"/>
      <c r="L120" s="128"/>
      <c r="M120" s="128"/>
      <c r="N120" s="121"/>
    </row>
    <row r="121" spans="1:14" ht="15.75" customHeight="1" thickBot="1" x14ac:dyDescent="0.35">
      <c r="A121" s="234" t="s">
        <v>350</v>
      </c>
      <c r="B121" s="156"/>
      <c r="C121" s="156"/>
      <c r="D121" s="156"/>
      <c r="E121" s="156"/>
      <c r="F121" s="156"/>
      <c r="G121" s="156"/>
      <c r="H121" s="44"/>
      <c r="I121" s="29" t="s">
        <v>24</v>
      </c>
      <c r="J121" s="44"/>
      <c r="K121" s="22" t="s">
        <v>25</v>
      </c>
      <c r="L121" s="230"/>
      <c r="M121" s="231"/>
      <c r="N121" s="232"/>
    </row>
    <row r="122" spans="1:14" ht="15.75" customHeight="1" thickBot="1" x14ac:dyDescent="0.35">
      <c r="A122" s="160" t="s">
        <v>351</v>
      </c>
      <c r="B122" s="114"/>
      <c r="C122" s="114"/>
      <c r="D122" s="114"/>
      <c r="E122" s="114"/>
      <c r="F122" s="114"/>
      <c r="G122" s="114"/>
      <c r="H122" s="15"/>
      <c r="I122" s="29" t="s">
        <v>24</v>
      </c>
      <c r="J122" s="15"/>
      <c r="K122" s="22" t="s">
        <v>25</v>
      </c>
      <c r="L122" s="118"/>
      <c r="M122" s="118"/>
      <c r="N122" s="186"/>
    </row>
    <row r="123" spans="1:14" ht="15.75" customHeight="1" thickBot="1" x14ac:dyDescent="0.35">
      <c r="A123" s="160" t="s">
        <v>352</v>
      </c>
      <c r="B123" s="114"/>
      <c r="C123" s="114"/>
      <c r="D123" s="114"/>
      <c r="E123" s="114"/>
      <c r="F123" s="114"/>
      <c r="G123" s="114"/>
      <c r="H123" s="15"/>
      <c r="I123" s="29" t="s">
        <v>24</v>
      </c>
      <c r="J123" s="15"/>
      <c r="K123" s="22" t="s">
        <v>25</v>
      </c>
      <c r="L123" s="118"/>
      <c r="M123" s="118"/>
      <c r="N123" s="186"/>
    </row>
    <row r="124" spans="1:14" ht="15.75" customHeight="1" thickBot="1" x14ac:dyDescent="0.35">
      <c r="A124" s="160" t="s">
        <v>353</v>
      </c>
      <c r="B124" s="114"/>
      <c r="C124" s="114"/>
      <c r="D124" s="114"/>
      <c r="E124" s="114"/>
      <c r="F124" s="114"/>
      <c r="G124" s="114"/>
      <c r="H124" s="15"/>
      <c r="I124" s="29" t="s">
        <v>24</v>
      </c>
      <c r="J124" s="15"/>
      <c r="K124" s="22" t="s">
        <v>25</v>
      </c>
      <c r="L124" s="118"/>
      <c r="M124" s="118"/>
      <c r="N124" s="186"/>
    </row>
    <row r="125" spans="1:14" ht="15.75" customHeight="1" thickBot="1" x14ac:dyDescent="0.35">
      <c r="A125" s="160" t="s">
        <v>354</v>
      </c>
      <c r="B125" s="114"/>
      <c r="C125" s="114"/>
      <c r="D125" s="114"/>
      <c r="E125" s="114"/>
      <c r="F125" s="114"/>
      <c r="G125" s="114"/>
      <c r="H125" s="15"/>
      <c r="I125" s="29" t="s">
        <v>24</v>
      </c>
      <c r="J125" s="15"/>
      <c r="K125" s="22" t="s">
        <v>25</v>
      </c>
      <c r="L125" s="156"/>
      <c r="M125" s="156"/>
      <c r="N125" s="157"/>
    </row>
    <row r="126" spans="1:14" ht="18" customHeight="1" x14ac:dyDescent="0.3">
      <c r="A126" s="160" t="s">
        <v>355</v>
      </c>
      <c r="B126" s="114"/>
      <c r="C126" s="114"/>
      <c r="D126" s="114"/>
      <c r="E126" s="114"/>
      <c r="F126" s="114"/>
      <c r="G126" s="114"/>
      <c r="H126" s="179"/>
      <c r="I126" s="114"/>
      <c r="J126" s="114"/>
      <c r="K126" s="114"/>
      <c r="L126" s="114"/>
      <c r="M126" s="114"/>
      <c r="N126" s="162"/>
    </row>
    <row r="127" spans="1:14" ht="15" customHeight="1" thickBot="1" x14ac:dyDescent="0.35">
      <c r="A127" s="165" t="s">
        <v>356</v>
      </c>
      <c r="B127" s="114"/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62"/>
    </row>
    <row r="128" spans="1:14" ht="18" customHeight="1" thickBot="1" x14ac:dyDescent="0.35">
      <c r="A128" s="30"/>
      <c r="B128" s="181" t="s">
        <v>182</v>
      </c>
      <c r="C128" s="182"/>
      <c r="D128" s="182"/>
      <c r="E128" s="182"/>
      <c r="F128" s="31"/>
      <c r="G128" s="181" t="s">
        <v>183</v>
      </c>
      <c r="H128" s="182"/>
      <c r="I128" s="182"/>
      <c r="J128" s="182"/>
      <c r="K128" s="31"/>
      <c r="L128" s="218" t="s">
        <v>184</v>
      </c>
      <c r="M128" s="182"/>
      <c r="N128" s="211"/>
    </row>
    <row r="130" spans="1:14" s="6" customFormat="1" ht="19.5" customHeight="1" x14ac:dyDescent="0.3">
      <c r="A130" s="208" t="s">
        <v>357</v>
      </c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</row>
    <row r="131" spans="1:14" ht="19.5" customHeight="1" x14ac:dyDescent="0.3">
      <c r="A131" s="183"/>
      <c r="B131" s="114"/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114"/>
      <c r="N131" s="114"/>
    </row>
    <row r="132" spans="1:14" ht="19.5" customHeight="1" x14ac:dyDescent="0.3">
      <c r="A132" s="183"/>
      <c r="B132" s="114"/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</row>
    <row r="133" spans="1:14" ht="19.5" customHeight="1" x14ac:dyDescent="0.3">
      <c r="A133" s="183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</row>
    <row r="134" spans="1:14" ht="19.5" customHeight="1" x14ac:dyDescent="0.3">
      <c r="A134" s="183"/>
      <c r="B134" s="114"/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114"/>
      <c r="N134" s="114"/>
    </row>
    <row r="135" spans="1:14" ht="19.5" customHeight="1" x14ac:dyDescent="0.3">
      <c r="A135" s="183"/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</row>
    <row r="137" spans="1:14" ht="15" customHeight="1" x14ac:dyDescent="0.3">
      <c r="A137" s="122" t="s">
        <v>56</v>
      </c>
      <c r="B137" s="118"/>
      <c r="C137" s="118"/>
      <c r="D137" s="118"/>
      <c r="E137" s="118"/>
      <c r="F137" s="118"/>
      <c r="H137" s="122" t="s">
        <v>56</v>
      </c>
      <c r="I137" s="118"/>
      <c r="J137" s="118"/>
      <c r="K137" s="118"/>
      <c r="L137" s="118"/>
      <c r="M137" s="118"/>
      <c r="N137" s="118"/>
    </row>
    <row r="138" spans="1:14" ht="27.75" customHeight="1" x14ac:dyDescent="0.3">
      <c r="A138" s="117" t="s">
        <v>358</v>
      </c>
      <c r="B138" s="118"/>
      <c r="C138" s="118"/>
      <c r="D138" s="118"/>
      <c r="E138" s="118"/>
      <c r="F138" s="118"/>
      <c r="H138" s="117" t="s">
        <v>359</v>
      </c>
      <c r="I138" s="118"/>
      <c r="J138" s="118"/>
      <c r="K138" s="118"/>
      <c r="L138" s="118"/>
      <c r="M138" s="118"/>
      <c r="N138" s="118"/>
    </row>
  </sheetData>
  <mergeCells count="281">
    <mergeCell ref="A138:F138"/>
    <mergeCell ref="F82:G82"/>
    <mergeCell ref="C97:E97"/>
    <mergeCell ref="G30:J30"/>
    <mergeCell ref="A19:N19"/>
    <mergeCell ref="B56:G56"/>
    <mergeCell ref="A78:C78"/>
    <mergeCell ref="B128:E128"/>
    <mergeCell ref="C100:E100"/>
    <mergeCell ref="M87:N87"/>
    <mergeCell ref="G45:J45"/>
    <mergeCell ref="A127:N127"/>
    <mergeCell ref="L109:N109"/>
    <mergeCell ref="A87:C87"/>
    <mergeCell ref="A8:C8"/>
    <mergeCell ref="L84:N84"/>
    <mergeCell ref="L22:N22"/>
    <mergeCell ref="H126:N126"/>
    <mergeCell ref="H20:K20"/>
    <mergeCell ref="I73:N73"/>
    <mergeCell ref="B46:E46"/>
    <mergeCell ref="G36:J36"/>
    <mergeCell ref="L21:N21"/>
    <mergeCell ref="A10:C10"/>
    <mergeCell ref="A74:N74"/>
    <mergeCell ref="A27:N27"/>
    <mergeCell ref="C102:E102"/>
    <mergeCell ref="H118:N118"/>
    <mergeCell ref="I9:K9"/>
    <mergeCell ref="A9:C9"/>
    <mergeCell ref="A33:N33"/>
    <mergeCell ref="B75:G75"/>
    <mergeCell ref="H21:K21"/>
    <mergeCell ref="A39:C39"/>
    <mergeCell ref="I65:N65"/>
    <mergeCell ref="A125:G125"/>
    <mergeCell ref="L39:N39"/>
    <mergeCell ref="L45:N45"/>
    <mergeCell ref="A43:D43"/>
    <mergeCell ref="A51:N51"/>
    <mergeCell ref="G98:H98"/>
    <mergeCell ref="A107:N107"/>
    <mergeCell ref="G8:H8"/>
    <mergeCell ref="B53:G53"/>
    <mergeCell ref="L20:N20"/>
    <mergeCell ref="E90:G90"/>
    <mergeCell ref="B85:E85"/>
    <mergeCell ref="C105:E105"/>
    <mergeCell ref="L29:N29"/>
    <mergeCell ref="A88:N88"/>
    <mergeCell ref="A121:G121"/>
    <mergeCell ref="A70:N70"/>
    <mergeCell ref="H116:N116"/>
    <mergeCell ref="B111:E111"/>
    <mergeCell ref="A48:C48"/>
    <mergeCell ref="G28:J28"/>
    <mergeCell ref="B54:G54"/>
    <mergeCell ref="I11:K11"/>
    <mergeCell ref="A11:C11"/>
    <mergeCell ref="A135:N135"/>
    <mergeCell ref="I77:N77"/>
    <mergeCell ref="C98:E98"/>
    <mergeCell ref="L57:N57"/>
    <mergeCell ref="A118:G118"/>
    <mergeCell ref="E7:F7"/>
    <mergeCell ref="E23:G23"/>
    <mergeCell ref="A21:D21"/>
    <mergeCell ref="B71:G71"/>
    <mergeCell ref="I87:L87"/>
    <mergeCell ref="A134:N134"/>
    <mergeCell ref="A57:D57"/>
    <mergeCell ref="B34:E34"/>
    <mergeCell ref="B28:E28"/>
    <mergeCell ref="A13:N13"/>
    <mergeCell ref="A44:N44"/>
    <mergeCell ref="H57:K57"/>
    <mergeCell ref="I41:K41"/>
    <mergeCell ref="D69:E69"/>
    <mergeCell ref="H22:K22"/>
    <mergeCell ref="A23:D23"/>
    <mergeCell ref="L121:N125"/>
    <mergeCell ref="A31:N31"/>
    <mergeCell ref="A41:C41"/>
    <mergeCell ref="A124:G124"/>
    <mergeCell ref="A2:N2"/>
    <mergeCell ref="L110:N110"/>
    <mergeCell ref="A95:N95"/>
    <mergeCell ref="E21:G21"/>
    <mergeCell ref="B60:E60"/>
    <mergeCell ref="B72:G72"/>
    <mergeCell ref="L82:N82"/>
    <mergeCell ref="B16:G16"/>
    <mergeCell ref="B81:G81"/>
    <mergeCell ref="I90:J90"/>
    <mergeCell ref="G105:H105"/>
    <mergeCell ref="B108:E108"/>
    <mergeCell ref="A122:G122"/>
    <mergeCell ref="F18:K18"/>
    <mergeCell ref="B17:G17"/>
    <mergeCell ref="B30:E30"/>
    <mergeCell ref="A64:N64"/>
    <mergeCell ref="L30:N30"/>
    <mergeCell ref="D82:E82"/>
    <mergeCell ref="A117:G117"/>
    <mergeCell ref="D8:F8"/>
    <mergeCell ref="B15:G15"/>
    <mergeCell ref="A18:E18"/>
    <mergeCell ref="M40:N40"/>
    <mergeCell ref="B55:G55"/>
    <mergeCell ref="L90:N90"/>
    <mergeCell ref="B80:G80"/>
    <mergeCell ref="A123:G123"/>
    <mergeCell ref="E22:G22"/>
    <mergeCell ref="D87:H87"/>
    <mergeCell ref="H138:N138"/>
    <mergeCell ref="G9:H9"/>
    <mergeCell ref="A7:C7"/>
    <mergeCell ref="B77:G77"/>
    <mergeCell ref="I54:N54"/>
    <mergeCell ref="B84:E84"/>
    <mergeCell ref="I72:N72"/>
    <mergeCell ref="A137:F137"/>
    <mergeCell ref="G26:J26"/>
    <mergeCell ref="A91:D91"/>
    <mergeCell ref="B67:G67"/>
    <mergeCell ref="G35:J35"/>
    <mergeCell ref="A24:N24"/>
    <mergeCell ref="A130:N130"/>
    <mergeCell ref="D10:N10"/>
    <mergeCell ref="M9:N9"/>
    <mergeCell ref="I56:N56"/>
    <mergeCell ref="I71:N71"/>
    <mergeCell ref="G25:J25"/>
    <mergeCell ref="D40:H40"/>
    <mergeCell ref="A93:D93"/>
    <mergeCell ref="J40:K40"/>
    <mergeCell ref="A132:N132"/>
    <mergeCell ref="A42:C42"/>
    <mergeCell ref="A133:N133"/>
    <mergeCell ref="G61:J61"/>
    <mergeCell ref="A119:G119"/>
    <mergeCell ref="A3:N3"/>
    <mergeCell ref="H137:N137"/>
    <mergeCell ref="A12:N12"/>
    <mergeCell ref="L36:N36"/>
    <mergeCell ref="G104:H104"/>
    <mergeCell ref="A40:C40"/>
    <mergeCell ref="A5:N5"/>
    <mergeCell ref="G112:J112"/>
    <mergeCell ref="F69:H69"/>
    <mergeCell ref="I15:N15"/>
    <mergeCell ref="A82:C82"/>
    <mergeCell ref="B61:E61"/>
    <mergeCell ref="I80:N80"/>
    <mergeCell ref="C104:E104"/>
    <mergeCell ref="A120:G120"/>
    <mergeCell ref="A4:N4"/>
    <mergeCell ref="L28:N28"/>
    <mergeCell ref="A38:N38"/>
    <mergeCell ref="B66:G66"/>
    <mergeCell ref="A96:N96"/>
    <mergeCell ref="B89:C89"/>
    <mergeCell ref="L8:N8"/>
    <mergeCell ref="G29:J29"/>
    <mergeCell ref="I53:N53"/>
    <mergeCell ref="G85:J85"/>
    <mergeCell ref="L26:N26"/>
    <mergeCell ref="A1:N1"/>
    <mergeCell ref="B32:E32"/>
    <mergeCell ref="I68:N68"/>
    <mergeCell ref="B26:E26"/>
    <mergeCell ref="G84:J84"/>
    <mergeCell ref="B35:E35"/>
    <mergeCell ref="L41:N41"/>
    <mergeCell ref="G7:H7"/>
    <mergeCell ref="I55:N55"/>
    <mergeCell ref="I7:J7"/>
    <mergeCell ref="B25:E25"/>
    <mergeCell ref="E43:N43"/>
    <mergeCell ref="L34:N34"/>
    <mergeCell ref="B29:E29"/>
    <mergeCell ref="G60:J60"/>
    <mergeCell ref="A6:N6"/>
    <mergeCell ref="E11:G11"/>
    <mergeCell ref="M11:N11"/>
    <mergeCell ref="M69:N69"/>
    <mergeCell ref="E20:G20"/>
    <mergeCell ref="I76:N76"/>
    <mergeCell ref="I16:N16"/>
    <mergeCell ref="C99:E99"/>
    <mergeCell ref="A116:G116"/>
    <mergeCell ref="A83:N83"/>
    <mergeCell ref="A22:D22"/>
    <mergeCell ref="B14:G14"/>
    <mergeCell ref="B90:C90"/>
    <mergeCell ref="L89:N89"/>
    <mergeCell ref="G110:J110"/>
    <mergeCell ref="I66:N66"/>
    <mergeCell ref="G113:J113"/>
    <mergeCell ref="L113:N113"/>
    <mergeCell ref="G99:H99"/>
    <mergeCell ref="G101:H101"/>
    <mergeCell ref="A92:D92"/>
    <mergeCell ref="I39:K39"/>
    <mergeCell ref="L18:M18"/>
    <mergeCell ref="I17:N17"/>
    <mergeCell ref="D49:N49"/>
    <mergeCell ref="K92:N92"/>
    <mergeCell ref="G103:H103"/>
    <mergeCell ref="H117:N117"/>
    <mergeCell ref="F78:H78"/>
    <mergeCell ref="I81:N81"/>
    <mergeCell ref="G128:J128"/>
    <mergeCell ref="L32:N32"/>
    <mergeCell ref="A49:C49"/>
    <mergeCell ref="H119:N119"/>
    <mergeCell ref="G100:H100"/>
    <mergeCell ref="A131:N131"/>
    <mergeCell ref="L112:N112"/>
    <mergeCell ref="G34:J34"/>
    <mergeCell ref="A52:N52"/>
    <mergeCell ref="D42:N42"/>
    <mergeCell ref="L47:N47"/>
    <mergeCell ref="A63:N63"/>
    <mergeCell ref="B112:E112"/>
    <mergeCell ref="I69:J69"/>
    <mergeCell ref="G108:J108"/>
    <mergeCell ref="A69:C69"/>
    <mergeCell ref="A115:N115"/>
    <mergeCell ref="K69:L69"/>
    <mergeCell ref="G102:H102"/>
    <mergeCell ref="C103:E103"/>
    <mergeCell ref="L128:N128"/>
    <mergeCell ref="K7:N7"/>
    <mergeCell ref="B73:G73"/>
    <mergeCell ref="L35:N35"/>
    <mergeCell ref="G97:H97"/>
    <mergeCell ref="B36:E36"/>
    <mergeCell ref="G32:J32"/>
    <mergeCell ref="H120:N120"/>
    <mergeCell ref="G46:J46"/>
    <mergeCell ref="B45:E45"/>
    <mergeCell ref="A79:N79"/>
    <mergeCell ref="E89:G89"/>
    <mergeCell ref="L25:N25"/>
    <mergeCell ref="B110:E110"/>
    <mergeCell ref="L85:N85"/>
    <mergeCell ref="A58:D58"/>
    <mergeCell ref="I67:N67"/>
    <mergeCell ref="G111:J111"/>
    <mergeCell ref="B113:E113"/>
    <mergeCell ref="I14:N14"/>
    <mergeCell ref="L60:N60"/>
    <mergeCell ref="I8:K8"/>
    <mergeCell ref="E57:G57"/>
    <mergeCell ref="D9:F9"/>
    <mergeCell ref="B65:G65"/>
    <mergeCell ref="H82:I82"/>
    <mergeCell ref="J82:K82"/>
    <mergeCell ref="F86:N86"/>
    <mergeCell ref="L91:M91"/>
    <mergeCell ref="A126:G126"/>
    <mergeCell ref="I75:N75"/>
    <mergeCell ref="I89:J89"/>
    <mergeCell ref="A20:D20"/>
    <mergeCell ref="A59:N59"/>
    <mergeCell ref="E91:K91"/>
    <mergeCell ref="G109:J109"/>
    <mergeCell ref="G47:J47"/>
    <mergeCell ref="B47:E47"/>
    <mergeCell ref="B109:E109"/>
    <mergeCell ref="B68:G68"/>
    <mergeCell ref="I78:N78"/>
    <mergeCell ref="L46:N46"/>
    <mergeCell ref="D78:E78"/>
    <mergeCell ref="B76:G76"/>
    <mergeCell ref="L111:N111"/>
    <mergeCell ref="B86:E86"/>
    <mergeCell ref="L108:N108"/>
    <mergeCell ref="L61:N61"/>
    <mergeCell ref="C101:E101"/>
  </mergeCells>
  <printOptions horizontalCentered="1"/>
  <pageMargins left="0.1" right="0.1" top="0.5" bottom="0.25" header="0.511811023622047" footer="0.511811023622047"/>
  <pageSetup paperSize="9" scale="75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1A000000}">
          <x14:formula1>
            <xm:f>_Listas!$S$2:$S$18</xm:f>
          </x14:formula1>
          <xm:sqref>B98 B99 B100 B101 B102 B103 B104 B105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0"/>
  <sheetViews>
    <sheetView topLeftCell="B1" zoomScaleNormal="100" workbookViewId="0">
      <pane ySplit="6" topLeftCell="A7" activePane="bottomLeft" state="frozen"/>
      <selection pane="bottomLeft" activeCell="D34" sqref="D34"/>
    </sheetView>
  </sheetViews>
  <sheetFormatPr baseColWidth="10" defaultColWidth="8.6640625" defaultRowHeight="14.4" x14ac:dyDescent="0.3"/>
  <cols>
    <col min="1" max="1" width="4" customWidth="1"/>
    <col min="2" max="2" width="24" customWidth="1"/>
    <col min="3" max="3" width="16.88671875" customWidth="1"/>
    <col min="4" max="4" width="26" customWidth="1"/>
    <col min="5" max="5" width="11.88671875" customWidth="1"/>
    <col min="6" max="6" width="9.77734375" customWidth="1"/>
    <col min="7" max="7" width="9.6640625" customWidth="1"/>
    <col min="8" max="8" width="10.33203125" customWidth="1"/>
    <col min="9" max="9" width="23.109375" customWidth="1"/>
    <col min="10" max="10" width="36.44140625" customWidth="1"/>
    <col min="11" max="12" width="14" customWidth="1"/>
    <col min="13" max="13" width="15.109375" customWidth="1"/>
    <col min="14" max="14" width="3" customWidth="1"/>
  </cols>
  <sheetData>
    <row r="1" spans="1:14" s="6" customFormat="1" ht="19.95" customHeight="1" x14ac:dyDescent="0.3">
      <c r="A1" s="125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s="6" customFormat="1" ht="19.95" customHeight="1" x14ac:dyDescent="0.3">
      <c r="A2" s="138" t="s">
        <v>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3" spans="1:14" s="6" customFormat="1" ht="33.6" customHeight="1" x14ac:dyDescent="0.3">
      <c r="A3" s="126" t="s">
        <v>2</v>
      </c>
      <c r="B3" s="112"/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</row>
    <row r="4" spans="1:14" s="6" customFormat="1" ht="19.95" customHeight="1" x14ac:dyDescent="0.3">
      <c r="A4" s="132" t="s">
        <v>360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</row>
    <row r="5" spans="1:14" s="53" customFormat="1" ht="24" customHeight="1" x14ac:dyDescent="0.3">
      <c r="A5" s="129" t="s">
        <v>361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</row>
    <row r="6" spans="1:14" s="50" customFormat="1" ht="19.5" customHeight="1" x14ac:dyDescent="0.3">
      <c r="A6" s="244" t="s">
        <v>5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</row>
    <row r="7" spans="1:14" s="51" customFormat="1" ht="42" customHeight="1" x14ac:dyDescent="0.3">
      <c r="A7" s="246" t="s">
        <v>362</v>
      </c>
      <c r="B7" s="121"/>
      <c r="C7" s="47"/>
      <c r="D7" s="48" t="s">
        <v>7</v>
      </c>
      <c r="E7" s="240"/>
      <c r="F7" s="128"/>
      <c r="G7" s="128"/>
      <c r="H7" s="121"/>
      <c r="I7" s="46" t="s">
        <v>8</v>
      </c>
      <c r="J7" s="49"/>
      <c r="K7" s="246" t="s">
        <v>363</v>
      </c>
      <c r="L7" s="121"/>
      <c r="M7" s="251"/>
      <c r="N7" s="252"/>
    </row>
    <row r="8" spans="1:14" s="51" customFormat="1" ht="36" customHeight="1" x14ac:dyDescent="0.3">
      <c r="A8" s="246" t="s">
        <v>364</v>
      </c>
      <c r="B8" s="121"/>
      <c r="C8" s="47"/>
      <c r="D8" s="48" t="s">
        <v>10</v>
      </c>
      <c r="E8" s="241"/>
      <c r="F8" s="128"/>
      <c r="G8" s="128"/>
      <c r="H8" s="128"/>
      <c r="I8" s="121"/>
      <c r="J8" s="260" t="s">
        <v>365</v>
      </c>
      <c r="K8" s="121"/>
      <c r="L8" s="240"/>
      <c r="M8" s="128"/>
      <c r="N8" s="121"/>
    </row>
    <row r="10" spans="1:14" s="50" customFormat="1" ht="19.5" customHeight="1" x14ac:dyDescent="0.3">
      <c r="A10" s="244" t="s">
        <v>366</v>
      </c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</row>
    <row r="11" spans="1:14" s="54" customFormat="1" ht="43.5" customHeight="1" x14ac:dyDescent="0.3">
      <c r="A11" s="248" t="s">
        <v>367</v>
      </c>
      <c r="B11" s="114"/>
      <c r="C11" s="114"/>
      <c r="D11" s="114"/>
      <c r="E11" s="248" t="s">
        <v>368</v>
      </c>
      <c r="F11" s="114"/>
      <c r="G11" s="114"/>
      <c r="H11" s="114"/>
      <c r="I11" s="248" t="s">
        <v>369</v>
      </c>
      <c r="J11" s="114"/>
      <c r="K11" s="114"/>
      <c r="L11" s="114"/>
      <c r="M11" s="114"/>
      <c r="N11" s="114"/>
    </row>
    <row r="13" spans="1:14" s="50" customFormat="1" ht="19.5" customHeight="1" x14ac:dyDescent="0.3">
      <c r="A13" s="244" t="s">
        <v>370</v>
      </c>
      <c r="B13" s="245"/>
      <c r="C13" s="245"/>
      <c r="D13" s="245"/>
      <c r="E13" s="245"/>
      <c r="F13" s="245"/>
      <c r="G13" s="245"/>
      <c r="H13" s="245"/>
      <c r="I13" s="245"/>
      <c r="J13" s="245"/>
      <c r="K13" s="245"/>
      <c r="L13" s="245"/>
      <c r="M13" s="245"/>
      <c r="N13" s="245"/>
    </row>
    <row r="14" spans="1:14" s="55" customFormat="1" ht="13.5" customHeight="1" x14ac:dyDescent="0.3">
      <c r="A14" s="257" t="s">
        <v>371</v>
      </c>
      <c r="B14" s="258"/>
      <c r="C14" s="258"/>
      <c r="D14" s="258"/>
      <c r="E14" s="258"/>
      <c r="F14" s="258"/>
      <c r="G14" s="258"/>
      <c r="H14" s="258"/>
      <c r="I14" s="258"/>
      <c r="J14" s="258"/>
      <c r="K14" s="258"/>
      <c r="L14" s="258"/>
      <c r="M14" s="258"/>
      <c r="N14" s="258"/>
    </row>
    <row r="15" spans="1:14" s="50" customFormat="1" ht="31.5" customHeight="1" x14ac:dyDescent="0.3">
      <c r="A15" s="57" t="s">
        <v>299</v>
      </c>
      <c r="B15" s="57" t="s">
        <v>372</v>
      </c>
      <c r="C15" s="57" t="s">
        <v>373</v>
      </c>
      <c r="D15" s="57" t="s">
        <v>374</v>
      </c>
      <c r="E15" s="57" t="s">
        <v>375</v>
      </c>
      <c r="F15" s="57" t="s">
        <v>376</v>
      </c>
      <c r="G15" s="57" t="s">
        <v>377</v>
      </c>
      <c r="H15" s="57" t="s">
        <v>378</v>
      </c>
      <c r="I15" s="57" t="s">
        <v>19</v>
      </c>
      <c r="J15" s="57" t="s">
        <v>379</v>
      </c>
      <c r="K15" s="249" t="s">
        <v>380</v>
      </c>
      <c r="L15" s="128"/>
      <c r="M15" s="128"/>
      <c r="N15" s="121"/>
    </row>
    <row r="16" spans="1:14" ht="34.950000000000003" customHeight="1" x14ac:dyDescent="0.3">
      <c r="A16" s="8">
        <v>1</v>
      </c>
      <c r="B16" s="11"/>
      <c r="C16" s="106" t="s">
        <v>26</v>
      </c>
      <c r="D16" s="11"/>
      <c r="E16" s="106" t="s">
        <v>26</v>
      </c>
      <c r="F16" s="106" t="s">
        <v>26</v>
      </c>
      <c r="G16" s="106" t="s">
        <v>26</v>
      </c>
      <c r="H16" s="106" t="s">
        <v>26</v>
      </c>
      <c r="I16" s="11"/>
      <c r="J16" s="11"/>
      <c r="K16" s="173"/>
      <c r="L16" s="128"/>
      <c r="M16" s="128"/>
      <c r="N16" s="121"/>
    </row>
    <row r="17" spans="1:14" ht="34.950000000000003" customHeight="1" x14ac:dyDescent="0.3">
      <c r="A17" s="8">
        <v>2</v>
      </c>
      <c r="B17" s="11"/>
      <c r="C17" s="106" t="s">
        <v>26</v>
      </c>
      <c r="D17" s="11"/>
      <c r="E17" s="106" t="s">
        <v>26</v>
      </c>
      <c r="F17" s="106" t="s">
        <v>26</v>
      </c>
      <c r="G17" s="106" t="s">
        <v>26</v>
      </c>
      <c r="H17" s="106" t="s">
        <v>26</v>
      </c>
      <c r="I17" s="11"/>
      <c r="J17" s="11"/>
      <c r="K17" s="173"/>
      <c r="L17" s="128"/>
      <c r="M17" s="128"/>
      <c r="N17" s="121"/>
    </row>
    <row r="18" spans="1:14" ht="34.950000000000003" customHeight="1" x14ac:dyDescent="0.3">
      <c r="A18" s="8">
        <v>3</v>
      </c>
      <c r="B18" s="11"/>
      <c r="C18" s="106" t="s">
        <v>26</v>
      </c>
      <c r="D18" s="11"/>
      <c r="E18" s="106" t="s">
        <v>26</v>
      </c>
      <c r="F18" s="106" t="s">
        <v>26</v>
      </c>
      <c r="G18" s="106" t="s">
        <v>26</v>
      </c>
      <c r="H18" s="106" t="s">
        <v>26</v>
      </c>
      <c r="I18" s="11"/>
      <c r="J18" s="11"/>
      <c r="K18" s="173"/>
      <c r="L18" s="128"/>
      <c r="M18" s="128"/>
      <c r="N18" s="121"/>
    </row>
    <row r="19" spans="1:14" ht="34.950000000000003" customHeight="1" x14ac:dyDescent="0.3">
      <c r="A19" s="8">
        <v>4</v>
      </c>
      <c r="B19" s="11"/>
      <c r="C19" s="106" t="s">
        <v>26</v>
      </c>
      <c r="D19" s="11"/>
      <c r="E19" s="106" t="s">
        <v>26</v>
      </c>
      <c r="F19" s="106" t="s">
        <v>26</v>
      </c>
      <c r="G19" s="106" t="s">
        <v>26</v>
      </c>
      <c r="H19" s="106" t="s">
        <v>26</v>
      </c>
      <c r="I19" s="11"/>
      <c r="J19" s="11"/>
      <c r="K19" s="173"/>
      <c r="L19" s="128"/>
      <c r="M19" s="128"/>
      <c r="N19" s="121"/>
    </row>
    <row r="20" spans="1:14" ht="34.950000000000003" customHeight="1" x14ac:dyDescent="0.3">
      <c r="A20" s="8">
        <v>5</v>
      </c>
      <c r="B20" s="11"/>
      <c r="C20" s="106" t="s">
        <v>26</v>
      </c>
      <c r="D20" s="11"/>
      <c r="E20" s="106" t="s">
        <v>26</v>
      </c>
      <c r="F20" s="106" t="s">
        <v>26</v>
      </c>
      <c r="G20" s="106" t="s">
        <v>26</v>
      </c>
      <c r="H20" s="106" t="s">
        <v>26</v>
      </c>
      <c r="I20" s="11"/>
      <c r="J20" s="11"/>
      <c r="K20" s="173"/>
      <c r="L20" s="128"/>
      <c r="M20" s="128"/>
      <c r="N20" s="121"/>
    </row>
    <row r="21" spans="1:14" ht="34.950000000000003" customHeight="1" x14ac:dyDescent="0.3">
      <c r="A21" s="8">
        <v>6</v>
      </c>
      <c r="B21" s="11"/>
      <c r="C21" s="106" t="s">
        <v>26</v>
      </c>
      <c r="D21" s="11"/>
      <c r="E21" s="106" t="s">
        <v>26</v>
      </c>
      <c r="F21" s="106" t="s">
        <v>26</v>
      </c>
      <c r="G21" s="106" t="s">
        <v>26</v>
      </c>
      <c r="H21" s="106" t="s">
        <v>26</v>
      </c>
      <c r="I21" s="11"/>
      <c r="J21" s="11"/>
      <c r="K21" s="173"/>
      <c r="L21" s="128"/>
      <c r="M21" s="128"/>
      <c r="N21" s="121"/>
    </row>
    <row r="22" spans="1:14" ht="34.950000000000003" customHeight="1" x14ac:dyDescent="0.3">
      <c r="A22" s="8">
        <v>7</v>
      </c>
      <c r="B22" s="11"/>
      <c r="C22" s="106" t="s">
        <v>26</v>
      </c>
      <c r="D22" s="11"/>
      <c r="E22" s="106" t="s">
        <v>26</v>
      </c>
      <c r="F22" s="106" t="s">
        <v>26</v>
      </c>
      <c r="G22" s="106" t="s">
        <v>26</v>
      </c>
      <c r="H22" s="106" t="s">
        <v>26</v>
      </c>
      <c r="I22" s="11"/>
      <c r="J22" s="11"/>
      <c r="K22" s="173"/>
      <c r="L22" s="128"/>
      <c r="M22" s="128"/>
      <c r="N22" s="121"/>
    </row>
    <row r="23" spans="1:14" ht="34.950000000000003" customHeight="1" x14ac:dyDescent="0.3">
      <c r="A23" s="8">
        <v>8</v>
      </c>
      <c r="B23" s="11"/>
      <c r="C23" s="106" t="s">
        <v>26</v>
      </c>
      <c r="D23" s="11"/>
      <c r="E23" s="106" t="s">
        <v>26</v>
      </c>
      <c r="F23" s="106" t="s">
        <v>26</v>
      </c>
      <c r="G23" s="106" t="s">
        <v>26</v>
      </c>
      <c r="H23" s="106" t="s">
        <v>26</v>
      </c>
      <c r="I23" s="11"/>
      <c r="J23" s="11"/>
      <c r="K23" s="173"/>
      <c r="L23" s="128"/>
      <c r="M23" s="128"/>
      <c r="N23" s="121"/>
    </row>
    <row r="24" spans="1:14" ht="34.950000000000003" customHeight="1" x14ac:dyDescent="0.3">
      <c r="A24" s="8">
        <v>9</v>
      </c>
      <c r="B24" s="11"/>
      <c r="C24" s="106" t="s">
        <v>26</v>
      </c>
      <c r="D24" s="11"/>
      <c r="E24" s="106" t="s">
        <v>26</v>
      </c>
      <c r="F24" s="106" t="s">
        <v>26</v>
      </c>
      <c r="G24" s="106" t="s">
        <v>26</v>
      </c>
      <c r="H24" s="106" t="s">
        <v>26</v>
      </c>
      <c r="I24" s="11"/>
      <c r="J24" s="11"/>
      <c r="K24" s="173"/>
      <c r="L24" s="128"/>
      <c r="M24" s="128"/>
      <c r="N24" s="121"/>
    </row>
    <row r="25" spans="1:14" ht="34.950000000000003" customHeight="1" x14ac:dyDescent="0.3">
      <c r="A25" s="8">
        <v>10</v>
      </c>
      <c r="B25" s="11"/>
      <c r="C25" s="106" t="s">
        <v>26</v>
      </c>
      <c r="D25" s="11"/>
      <c r="E25" s="106" t="s">
        <v>26</v>
      </c>
      <c r="F25" s="106" t="s">
        <v>26</v>
      </c>
      <c r="G25" s="106" t="s">
        <v>26</v>
      </c>
      <c r="H25" s="106" t="s">
        <v>26</v>
      </c>
      <c r="I25" s="11"/>
      <c r="J25" s="11"/>
      <c r="K25" s="173"/>
      <c r="L25" s="128"/>
      <c r="M25" s="128"/>
      <c r="N25" s="121"/>
    </row>
    <row r="26" spans="1:14" ht="34.950000000000003" customHeight="1" x14ac:dyDescent="0.3">
      <c r="A26" s="8">
        <v>11</v>
      </c>
      <c r="B26" s="11"/>
      <c r="C26" s="106" t="s">
        <v>26</v>
      </c>
      <c r="D26" s="11"/>
      <c r="E26" s="106" t="s">
        <v>26</v>
      </c>
      <c r="F26" s="106" t="s">
        <v>26</v>
      </c>
      <c r="G26" s="106" t="s">
        <v>26</v>
      </c>
      <c r="H26" s="106" t="s">
        <v>26</v>
      </c>
      <c r="I26" s="11"/>
      <c r="J26" s="11"/>
      <c r="K26" s="173"/>
      <c r="L26" s="128"/>
      <c r="M26" s="128"/>
      <c r="N26" s="121"/>
    </row>
    <row r="27" spans="1:14" ht="34.950000000000003" customHeight="1" x14ac:dyDescent="0.3">
      <c r="A27" s="8">
        <v>12</v>
      </c>
      <c r="B27" s="11"/>
      <c r="C27" s="106" t="s">
        <v>26</v>
      </c>
      <c r="D27" s="11"/>
      <c r="E27" s="106" t="s">
        <v>26</v>
      </c>
      <c r="F27" s="106" t="s">
        <v>26</v>
      </c>
      <c r="G27" s="106" t="s">
        <v>26</v>
      </c>
      <c r="H27" s="106" t="s">
        <v>26</v>
      </c>
      <c r="I27" s="11"/>
      <c r="J27" s="11"/>
      <c r="K27" s="173"/>
      <c r="L27" s="128"/>
      <c r="M27" s="128"/>
      <c r="N27" s="121"/>
    </row>
    <row r="28" spans="1:14" ht="34.950000000000003" customHeight="1" x14ac:dyDescent="0.3">
      <c r="A28" s="8">
        <v>13</v>
      </c>
      <c r="B28" s="11"/>
      <c r="C28" s="106" t="s">
        <v>26</v>
      </c>
      <c r="D28" s="11"/>
      <c r="E28" s="106" t="s">
        <v>26</v>
      </c>
      <c r="F28" s="106" t="s">
        <v>26</v>
      </c>
      <c r="G28" s="106" t="s">
        <v>26</v>
      </c>
      <c r="H28" s="106" t="s">
        <v>26</v>
      </c>
      <c r="I28" s="11"/>
      <c r="J28" s="11"/>
      <c r="K28" s="173"/>
      <c r="L28" s="128"/>
      <c r="M28" s="128"/>
      <c r="N28" s="121"/>
    </row>
    <row r="29" spans="1:14" ht="34.950000000000003" customHeight="1" x14ac:dyDescent="0.3">
      <c r="A29" s="8">
        <v>14</v>
      </c>
      <c r="B29" s="11"/>
      <c r="C29" s="106" t="s">
        <v>26</v>
      </c>
      <c r="D29" s="11"/>
      <c r="E29" s="106" t="s">
        <v>26</v>
      </c>
      <c r="F29" s="106" t="s">
        <v>26</v>
      </c>
      <c r="G29" s="106" t="s">
        <v>26</v>
      </c>
      <c r="H29" s="106" t="s">
        <v>26</v>
      </c>
      <c r="I29" s="11"/>
      <c r="J29" s="11"/>
      <c r="K29" s="173"/>
      <c r="L29" s="128"/>
      <c r="M29" s="128"/>
      <c r="N29" s="121"/>
    </row>
    <row r="30" spans="1:14" ht="34.950000000000003" customHeight="1" x14ac:dyDescent="0.3">
      <c r="A30" s="8">
        <v>15</v>
      </c>
      <c r="B30" s="11"/>
      <c r="C30" s="106" t="s">
        <v>26</v>
      </c>
      <c r="D30" s="11"/>
      <c r="E30" s="106" t="s">
        <v>26</v>
      </c>
      <c r="F30" s="106" t="s">
        <v>26</v>
      </c>
      <c r="G30" s="106" t="s">
        <v>26</v>
      </c>
      <c r="H30" s="106" t="s">
        <v>26</v>
      </c>
      <c r="I30" s="11"/>
      <c r="J30" s="11"/>
      <c r="K30" s="173"/>
      <c r="L30" s="128"/>
      <c r="M30" s="128"/>
      <c r="N30" s="121"/>
    </row>
    <row r="31" spans="1:14" ht="34.950000000000003" customHeight="1" x14ac:dyDescent="0.3">
      <c r="A31" s="8">
        <v>16</v>
      </c>
      <c r="B31" s="11"/>
      <c r="C31" s="106" t="s">
        <v>26</v>
      </c>
      <c r="D31" s="11"/>
      <c r="E31" s="106" t="s">
        <v>26</v>
      </c>
      <c r="F31" s="106" t="s">
        <v>26</v>
      </c>
      <c r="G31" s="106" t="s">
        <v>26</v>
      </c>
      <c r="H31" s="106" t="s">
        <v>26</v>
      </c>
      <c r="I31" s="11"/>
      <c r="J31" s="11"/>
      <c r="K31" s="173"/>
      <c r="L31" s="128"/>
      <c r="M31" s="128"/>
      <c r="N31" s="121"/>
    </row>
    <row r="32" spans="1:14" ht="34.950000000000003" customHeight="1" x14ac:dyDescent="0.3">
      <c r="A32" s="8">
        <v>17</v>
      </c>
      <c r="B32" s="11"/>
      <c r="C32" s="106" t="s">
        <v>26</v>
      </c>
      <c r="D32" s="11"/>
      <c r="E32" s="106" t="s">
        <v>26</v>
      </c>
      <c r="F32" s="106" t="s">
        <v>26</v>
      </c>
      <c r="G32" s="106" t="s">
        <v>26</v>
      </c>
      <c r="H32" s="106" t="s">
        <v>26</v>
      </c>
      <c r="I32" s="11"/>
      <c r="J32" s="11"/>
      <c r="K32" s="173"/>
      <c r="L32" s="128"/>
      <c r="M32" s="128"/>
      <c r="N32" s="121"/>
    </row>
    <row r="33" spans="1:14" ht="34.950000000000003" customHeight="1" x14ac:dyDescent="0.3">
      <c r="A33" s="8">
        <v>18</v>
      </c>
      <c r="B33" s="11"/>
      <c r="C33" s="106" t="s">
        <v>26</v>
      </c>
      <c r="D33" s="11"/>
      <c r="E33" s="106" t="s">
        <v>26</v>
      </c>
      <c r="F33" s="106" t="s">
        <v>26</v>
      </c>
      <c r="G33" s="106" t="s">
        <v>26</v>
      </c>
      <c r="H33" s="106" t="s">
        <v>26</v>
      </c>
      <c r="I33" s="11"/>
      <c r="J33" s="11"/>
      <c r="K33" s="173"/>
      <c r="L33" s="128"/>
      <c r="M33" s="128"/>
      <c r="N33" s="121"/>
    </row>
    <row r="34" spans="1:14" ht="34.950000000000003" customHeight="1" x14ac:dyDescent="0.3">
      <c r="A34" s="8">
        <v>19</v>
      </c>
      <c r="B34" s="11"/>
      <c r="C34" s="106" t="s">
        <v>26</v>
      </c>
      <c r="D34" s="11"/>
      <c r="E34" s="106" t="s">
        <v>26</v>
      </c>
      <c r="F34" s="106" t="s">
        <v>26</v>
      </c>
      <c r="G34" s="106" t="s">
        <v>26</v>
      </c>
      <c r="H34" s="106" t="s">
        <v>26</v>
      </c>
      <c r="I34" s="11"/>
      <c r="J34" s="11"/>
      <c r="K34" s="173"/>
      <c r="L34" s="128"/>
      <c r="M34" s="128"/>
      <c r="N34" s="121"/>
    </row>
    <row r="35" spans="1:14" ht="34.950000000000003" customHeight="1" x14ac:dyDescent="0.3">
      <c r="A35" s="8">
        <v>20</v>
      </c>
      <c r="B35" s="11"/>
      <c r="C35" s="106" t="s">
        <v>26</v>
      </c>
      <c r="D35" s="11"/>
      <c r="E35" s="106" t="s">
        <v>26</v>
      </c>
      <c r="F35" s="106" t="s">
        <v>26</v>
      </c>
      <c r="G35" s="106" t="s">
        <v>26</v>
      </c>
      <c r="H35" s="106" t="s">
        <v>26</v>
      </c>
      <c r="I35" s="11"/>
      <c r="J35" s="11"/>
      <c r="K35" s="173"/>
      <c r="L35" s="128"/>
      <c r="M35" s="128"/>
      <c r="N35" s="121"/>
    </row>
    <row r="37" spans="1:14" s="50" customFormat="1" ht="19.5" customHeight="1" x14ac:dyDescent="0.3">
      <c r="A37" s="250" t="s">
        <v>381</v>
      </c>
      <c r="B37" s="245"/>
      <c r="C37" s="245"/>
      <c r="D37" s="245"/>
      <c r="E37" s="245"/>
      <c r="F37" s="245"/>
      <c r="G37" s="245"/>
      <c r="H37" s="245"/>
      <c r="I37" s="245"/>
      <c r="J37" s="245"/>
      <c r="K37" s="245"/>
      <c r="L37" s="245"/>
      <c r="M37" s="245"/>
      <c r="N37" s="245"/>
    </row>
    <row r="38" spans="1:14" s="51" customFormat="1" ht="27.75" customHeight="1" x14ac:dyDescent="0.3">
      <c r="A38" s="239" t="s">
        <v>382</v>
      </c>
      <c r="B38" s="114"/>
      <c r="C38" s="114"/>
      <c r="D38" s="114"/>
      <c r="E38" s="256" t="s">
        <v>383</v>
      </c>
      <c r="F38" s="114"/>
      <c r="G38" s="114"/>
      <c r="H38" s="114"/>
      <c r="I38" s="114"/>
      <c r="J38" s="114"/>
      <c r="K38" s="114"/>
      <c r="L38" s="114"/>
      <c r="M38" s="114"/>
      <c r="N38" s="114"/>
    </row>
    <row r="39" spans="1:14" s="51" customFormat="1" ht="27.75" customHeight="1" x14ac:dyDescent="0.3">
      <c r="A39" s="247" t="s">
        <v>384</v>
      </c>
      <c r="B39" s="114"/>
      <c r="C39" s="114"/>
      <c r="D39" s="114"/>
      <c r="E39" s="253" t="s">
        <v>385</v>
      </c>
      <c r="F39" s="114"/>
      <c r="G39" s="114"/>
      <c r="H39" s="114"/>
      <c r="I39" s="114"/>
      <c r="J39" s="114"/>
      <c r="K39" s="114"/>
      <c r="L39" s="114"/>
      <c r="M39" s="114"/>
      <c r="N39" s="114"/>
    </row>
    <row r="40" spans="1:14" s="51" customFormat="1" ht="27.75" customHeight="1" x14ac:dyDescent="0.3">
      <c r="A40" s="243" t="s">
        <v>386</v>
      </c>
      <c r="B40" s="114"/>
      <c r="C40" s="114"/>
      <c r="D40" s="114"/>
      <c r="E40" s="259" t="s">
        <v>387</v>
      </c>
      <c r="F40" s="114"/>
      <c r="G40" s="114"/>
      <c r="H40" s="114"/>
      <c r="I40" s="114"/>
      <c r="J40" s="114"/>
      <c r="K40" s="114"/>
      <c r="L40" s="114"/>
      <c r="M40" s="114"/>
      <c r="N40" s="114"/>
    </row>
    <row r="41" spans="1:14" s="51" customFormat="1" ht="27.75" customHeight="1" x14ac:dyDescent="0.3">
      <c r="A41" s="254" t="s">
        <v>388</v>
      </c>
      <c r="B41" s="114"/>
      <c r="C41" s="114"/>
      <c r="D41" s="114"/>
      <c r="E41" s="242" t="s">
        <v>389</v>
      </c>
      <c r="F41" s="114"/>
      <c r="G41" s="114"/>
      <c r="H41" s="114"/>
      <c r="I41" s="114"/>
      <c r="J41" s="114"/>
      <c r="K41" s="114"/>
      <c r="L41" s="114"/>
      <c r="M41" s="114"/>
      <c r="N41" s="114"/>
    </row>
    <row r="42" spans="1:14" s="51" customFormat="1" ht="15.6" customHeight="1" x14ac:dyDescent="0.3"/>
    <row r="43" spans="1:14" s="50" customFormat="1" ht="19.5" customHeight="1" x14ac:dyDescent="0.3">
      <c r="A43" s="244" t="s">
        <v>390</v>
      </c>
      <c r="B43" s="245"/>
      <c r="C43" s="245"/>
      <c r="D43" s="245"/>
      <c r="E43" s="245"/>
      <c r="F43" s="245"/>
      <c r="G43" s="245"/>
      <c r="H43" s="245"/>
      <c r="I43" s="245"/>
      <c r="J43" s="245"/>
      <c r="K43" s="245"/>
      <c r="L43" s="245"/>
      <c r="M43" s="245"/>
      <c r="N43" s="245"/>
    </row>
    <row r="44" spans="1:14" s="51" customFormat="1" ht="30" customHeight="1" x14ac:dyDescent="0.3">
      <c r="A44" s="237" t="s">
        <v>391</v>
      </c>
      <c r="B44" s="114"/>
      <c r="C44" s="114"/>
      <c r="D44" s="114"/>
      <c r="E44" s="114"/>
      <c r="F44" s="238"/>
      <c r="G44" s="114"/>
      <c r="H44" s="114"/>
      <c r="I44" s="114"/>
      <c r="J44" s="114"/>
      <c r="K44" s="114"/>
      <c r="L44" s="114"/>
      <c r="M44" s="114"/>
      <c r="N44" s="114"/>
    </row>
    <row r="45" spans="1:14" s="51" customFormat="1" ht="30" customHeight="1" x14ac:dyDescent="0.3">
      <c r="A45" s="237" t="s">
        <v>392</v>
      </c>
      <c r="B45" s="114"/>
      <c r="C45" s="114"/>
      <c r="D45" s="114"/>
      <c r="E45" s="114"/>
      <c r="F45" s="238"/>
      <c r="G45" s="114"/>
      <c r="H45" s="114"/>
      <c r="I45" s="114"/>
      <c r="J45" s="114"/>
      <c r="K45" s="114"/>
      <c r="L45" s="114"/>
      <c r="M45" s="114"/>
      <c r="N45" s="114"/>
    </row>
    <row r="46" spans="1:14" s="51" customFormat="1" ht="30" customHeight="1" x14ac:dyDescent="0.3">
      <c r="A46" s="237" t="s">
        <v>393</v>
      </c>
      <c r="B46" s="114"/>
      <c r="C46" s="114"/>
      <c r="D46" s="114"/>
      <c r="E46" s="114"/>
      <c r="F46" s="238"/>
      <c r="G46" s="114"/>
      <c r="H46" s="114"/>
      <c r="I46" s="114"/>
      <c r="J46" s="114"/>
      <c r="K46" s="114"/>
      <c r="L46" s="114"/>
      <c r="M46" s="114"/>
      <c r="N46" s="114"/>
    </row>
    <row r="47" spans="1:14" s="51" customFormat="1" ht="30" customHeight="1" x14ac:dyDescent="0.3">
      <c r="A47" s="237" t="s">
        <v>394</v>
      </c>
      <c r="B47" s="114"/>
      <c r="C47" s="114"/>
      <c r="D47" s="114"/>
      <c r="E47" s="114"/>
      <c r="F47" s="238"/>
      <c r="G47" s="114"/>
      <c r="H47" s="114"/>
      <c r="I47" s="114"/>
      <c r="J47" s="114"/>
      <c r="K47" s="114"/>
      <c r="L47" s="114"/>
      <c r="M47" s="114"/>
      <c r="N47" s="114"/>
    </row>
    <row r="48" spans="1:14" s="51" customFormat="1" ht="30" customHeight="1" x14ac:dyDescent="0.3">
      <c r="A48" s="237" t="s">
        <v>395</v>
      </c>
      <c r="B48" s="114"/>
      <c r="C48" s="114"/>
      <c r="D48" s="114"/>
      <c r="E48" s="114"/>
      <c r="F48" s="238"/>
      <c r="G48" s="114"/>
      <c r="H48" s="114"/>
      <c r="I48" s="114"/>
      <c r="J48" s="114"/>
      <c r="K48" s="114"/>
      <c r="L48" s="114"/>
      <c r="M48" s="114"/>
      <c r="N48" s="114"/>
    </row>
    <row r="50" spans="1:14" s="6" customFormat="1" ht="19.5" customHeight="1" x14ac:dyDescent="0.3">
      <c r="A50" s="250" t="s">
        <v>357</v>
      </c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</row>
    <row r="51" spans="1:14" ht="19.5" customHeight="1" x14ac:dyDescent="0.3">
      <c r="A51" s="183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</row>
    <row r="52" spans="1:14" ht="19.5" customHeight="1" x14ac:dyDescent="0.3">
      <c r="A52" s="183"/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</row>
    <row r="53" spans="1:14" ht="19.5" customHeight="1" x14ac:dyDescent="0.3">
      <c r="A53" s="183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</row>
    <row r="54" spans="1:14" ht="19.5" customHeight="1" x14ac:dyDescent="0.3">
      <c r="A54" s="183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</row>
    <row r="55" spans="1:14" ht="19.5" customHeight="1" x14ac:dyDescent="0.3">
      <c r="A55" s="183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</row>
    <row r="56" spans="1:14" ht="19.5" customHeight="1" x14ac:dyDescent="0.3">
      <c r="A56" s="183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9" spans="1:14" ht="15" customHeight="1" x14ac:dyDescent="0.3">
      <c r="A59" s="122" t="s">
        <v>56</v>
      </c>
      <c r="B59" s="118"/>
      <c r="C59" s="118"/>
      <c r="D59" s="118"/>
      <c r="E59" s="118"/>
      <c r="F59" s="118"/>
      <c r="H59" s="122" t="s">
        <v>56</v>
      </c>
      <c r="I59" s="118"/>
      <c r="J59" s="118"/>
      <c r="K59" s="118"/>
      <c r="L59" s="118"/>
      <c r="M59" s="118"/>
      <c r="N59" s="118"/>
    </row>
    <row r="60" spans="1:14" ht="15" customHeight="1" x14ac:dyDescent="0.3">
      <c r="A60" s="117" t="s">
        <v>396</v>
      </c>
      <c r="B60" s="118"/>
      <c r="C60" s="118"/>
      <c r="D60" s="118"/>
      <c r="E60" s="118"/>
      <c r="F60" s="118"/>
      <c r="H60" s="117" t="s">
        <v>397</v>
      </c>
      <c r="I60" s="118"/>
      <c r="J60" s="118"/>
      <c r="K60" s="118"/>
      <c r="L60" s="118"/>
      <c r="M60" s="118"/>
      <c r="N60" s="118"/>
    </row>
  </sheetData>
  <mergeCells count="72">
    <mergeCell ref="H60:N60"/>
    <mergeCell ref="K31:N31"/>
    <mergeCell ref="K7:L7"/>
    <mergeCell ref="K22:N22"/>
    <mergeCell ref="I11:N11"/>
    <mergeCell ref="A53:N53"/>
    <mergeCell ref="A60:F60"/>
    <mergeCell ref="E40:N40"/>
    <mergeCell ref="A52:N52"/>
    <mergeCell ref="A43:N43"/>
    <mergeCell ref="A10:N10"/>
    <mergeCell ref="A44:E44"/>
    <mergeCell ref="E11:H11"/>
    <mergeCell ref="J8:K8"/>
    <mergeCell ref="A13:N13"/>
    <mergeCell ref="K27:N27"/>
    <mergeCell ref="H59:N59"/>
    <mergeCell ref="A41:D41"/>
    <mergeCell ref="A5:N5"/>
    <mergeCell ref="K32:N32"/>
    <mergeCell ref="A8:B8"/>
    <mergeCell ref="E38:N38"/>
    <mergeCell ref="A14:N14"/>
    <mergeCell ref="F44:N44"/>
    <mergeCell ref="A59:F59"/>
    <mergeCell ref="A56:N56"/>
    <mergeCell ref="M7:N7"/>
    <mergeCell ref="A3:N3"/>
    <mergeCell ref="E39:N39"/>
    <mergeCell ref="A50:N50"/>
    <mergeCell ref="K26:N26"/>
    <mergeCell ref="K21:N21"/>
    <mergeCell ref="A55:N55"/>
    <mergeCell ref="K29:N29"/>
    <mergeCell ref="K35:N35"/>
    <mergeCell ref="K20:N20"/>
    <mergeCell ref="A47:E47"/>
    <mergeCell ref="A4:N4"/>
    <mergeCell ref="A54:N54"/>
    <mergeCell ref="K25:N25"/>
    <mergeCell ref="K34:N34"/>
    <mergeCell ref="A39:D39"/>
    <mergeCell ref="K16:N16"/>
    <mergeCell ref="A46:E46"/>
    <mergeCell ref="K24:N24"/>
    <mergeCell ref="K30:N30"/>
    <mergeCell ref="A37:N37"/>
    <mergeCell ref="K33:N33"/>
    <mergeCell ref="F48:N48"/>
    <mergeCell ref="A1:N1"/>
    <mergeCell ref="A6:N6"/>
    <mergeCell ref="K18:N18"/>
    <mergeCell ref="A7:B7"/>
    <mergeCell ref="F46:N46"/>
    <mergeCell ref="A11:D11"/>
    <mergeCell ref="K15:N15"/>
    <mergeCell ref="A2:N2"/>
    <mergeCell ref="L8:N8"/>
    <mergeCell ref="A45:E45"/>
    <mergeCell ref="E7:H7"/>
    <mergeCell ref="A51:N51"/>
    <mergeCell ref="E8:I8"/>
    <mergeCell ref="K19:N19"/>
    <mergeCell ref="F47:N47"/>
    <mergeCell ref="E41:N41"/>
    <mergeCell ref="K28:N28"/>
    <mergeCell ref="A40:D40"/>
    <mergeCell ref="K23:N23"/>
    <mergeCell ref="A48:E48"/>
    <mergeCell ref="K17:N17"/>
    <mergeCell ref="F45:N45"/>
    <mergeCell ref="A38:D38"/>
  </mergeCells>
  <printOptions horizontalCentered="1"/>
  <pageMargins left="0.1" right="0.1" top="0.5" bottom="0.5" header="0.511811023622047" footer="0.511811023622047"/>
  <pageSetup paperSize="9" scale="61" fitToHeight="2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200-000000000000}">
          <x14:formula1>
            <xm:f>_Listas!$U$2:$U$16</xm:f>
          </x14:formula1>
          <xm:sqref>C16 C17 C18 C19 C20 C21 C22 C23 C24 C25 C26 C27 C28 C29 C30 C31 C32 C33 C34 C35</xm:sqref>
        </x14:dataValidation>
        <x14:dataValidation type="list" allowBlank="1" xr:uid="{00000000-0002-0000-0200-000001000000}">
          <x14:formula1>
            <xm:f>_Listas!$D$2:$D$4</xm:f>
          </x14:formula1>
          <xm:sqref>E16:F35</xm:sqref>
        </x14:dataValidation>
        <x14:dataValidation type="list" allowBlank="1" xr:uid="{00000000-0002-0000-0200-000003000000}">
          <x14:formula1>
            <xm:f>_Listas!$W$2:$W$6</xm:f>
          </x14:formula1>
          <xm:sqref>G16 G17 G18 G19 G20 G21 G22 G23 G24 G25 G26 G27 G28 G29 G30 G31 G32 G33 G34 G35</xm:sqref>
        </x14:dataValidation>
        <x14:dataValidation type="list" allowBlank="1" xr:uid="{00000000-0002-0000-0200-000004000000}">
          <x14:formula1>
            <xm:f>_Listas!$V$2:$V$7</xm:f>
          </x14:formula1>
          <xm:sqref>H16 H17 H18 H19 H20 H21 H22 H23 H24 H25 H26 H27 H28 H29 H30 H31 H32 H33 H34 H35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20"/>
  <sheetViews>
    <sheetView zoomScaleNormal="100" workbookViewId="0">
      <pane ySplit="6" topLeftCell="A74" activePane="bottomLeft" state="frozen"/>
      <selection pane="bottomLeft" activeCell="O1" sqref="O1:O1048576"/>
    </sheetView>
  </sheetViews>
  <sheetFormatPr baseColWidth="10" defaultColWidth="8.6640625" defaultRowHeight="14.4" x14ac:dyDescent="0.3"/>
  <cols>
    <col min="1" max="1" width="5" customWidth="1"/>
    <col min="2" max="2" width="24" customWidth="1"/>
    <col min="3" max="3" width="4" customWidth="1"/>
    <col min="4" max="4" width="18" customWidth="1"/>
    <col min="5" max="5" width="4" customWidth="1"/>
    <col min="6" max="6" width="18" customWidth="1"/>
    <col min="7" max="7" width="4" customWidth="1"/>
    <col min="8" max="8" width="16.5546875" customWidth="1"/>
    <col min="9" max="9" width="4" customWidth="1"/>
    <col min="10" max="10" width="18" customWidth="1"/>
    <col min="11" max="11" width="5.21875" customWidth="1"/>
    <col min="12" max="12" width="18" customWidth="1"/>
    <col min="13" max="13" width="4" customWidth="1"/>
    <col min="14" max="14" width="15" customWidth="1"/>
  </cols>
  <sheetData>
    <row r="1" spans="1:14" ht="19.5" customHeight="1" x14ac:dyDescent="0.3">
      <c r="A1" s="125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5" customHeight="1" x14ac:dyDescent="0.3">
      <c r="A2" s="138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33.6" customHeight="1" x14ac:dyDescent="0.3">
      <c r="A3" s="126" t="s">
        <v>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25.5" customHeight="1" x14ac:dyDescent="0.3">
      <c r="A4" s="132" t="s">
        <v>3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s="54" customFormat="1" ht="24" customHeight="1" x14ac:dyDescent="0.3">
      <c r="A5" s="129" t="s">
        <v>4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</row>
    <row r="6" spans="1:14" s="6" customFormat="1" ht="19.5" customHeight="1" x14ac:dyDescent="0.3">
      <c r="A6" s="111" t="s">
        <v>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</row>
    <row r="7" spans="1:14" ht="30" customHeight="1" x14ac:dyDescent="0.3">
      <c r="A7" s="133" t="s">
        <v>6</v>
      </c>
      <c r="B7" s="128"/>
      <c r="C7" s="121"/>
      <c r="D7" s="127"/>
      <c r="E7" s="128"/>
      <c r="F7" s="121"/>
      <c r="G7" s="133" t="s">
        <v>7</v>
      </c>
      <c r="H7" s="128"/>
      <c r="I7" s="121"/>
      <c r="J7" s="127"/>
      <c r="K7" s="128"/>
      <c r="L7" s="128"/>
      <c r="M7" s="128"/>
      <c r="N7" s="121"/>
    </row>
    <row r="8" spans="1:14" ht="31.8" customHeight="1" x14ac:dyDescent="0.3">
      <c r="A8" s="133" t="s">
        <v>8</v>
      </c>
      <c r="B8" s="128"/>
      <c r="C8" s="121"/>
      <c r="D8" s="140"/>
      <c r="E8" s="121"/>
      <c r="F8" s="137" t="s">
        <v>9</v>
      </c>
      <c r="G8" s="121"/>
      <c r="H8" s="120" t="str">
        <f>IFERROR(VLOOKUP($D$8,_Datos!$A$2:$H$128,2,FALSE()),"")</f>
        <v/>
      </c>
      <c r="I8" s="128"/>
      <c r="J8" s="121"/>
      <c r="K8" s="137" t="s">
        <v>10</v>
      </c>
      <c r="L8" s="121"/>
      <c r="M8" s="120" t="str">
        <f>IFERROR(VLOOKUP($D$8,_Datos!$A$2:$H$128,4,FALSE()),"")</f>
        <v/>
      </c>
      <c r="N8" s="121"/>
    </row>
    <row r="9" spans="1:14" s="6" customFormat="1" ht="19.5" customHeight="1" x14ac:dyDescent="0.3">
      <c r="A9" s="111" t="s">
        <v>11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</row>
    <row r="10" spans="1:14" ht="28.05" customHeight="1" x14ac:dyDescent="0.3">
      <c r="A10" s="124" t="s">
        <v>12</v>
      </c>
      <c r="B10" s="114"/>
      <c r="C10" s="114"/>
      <c r="D10" s="113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1:14" ht="28.05" customHeight="1" x14ac:dyDescent="0.3">
      <c r="A11" s="115" t="s">
        <v>13</v>
      </c>
      <c r="B11" s="114"/>
      <c r="C11" s="114"/>
      <c r="D11" s="113"/>
      <c r="E11" s="114"/>
      <c r="F11" s="114"/>
      <c r="G11" s="115" t="s">
        <v>14</v>
      </c>
      <c r="H11" s="114"/>
      <c r="I11" s="113"/>
      <c r="J11" s="114"/>
      <c r="K11" s="115" t="s">
        <v>15</v>
      </c>
      <c r="L11" s="114"/>
      <c r="M11" s="136"/>
      <c r="N11" s="118"/>
    </row>
    <row r="12" spans="1:14" ht="28.05" customHeight="1" x14ac:dyDescent="0.3">
      <c r="A12" s="124" t="s">
        <v>16</v>
      </c>
      <c r="B12" s="114"/>
      <c r="C12" s="114"/>
      <c r="D12" s="113"/>
      <c r="E12" s="114"/>
      <c r="F12" s="114"/>
      <c r="G12" s="114"/>
      <c r="H12" s="114"/>
      <c r="I12" s="114"/>
      <c r="J12" s="114"/>
      <c r="K12" s="114"/>
      <c r="L12" s="114"/>
      <c r="M12" s="114"/>
      <c r="N12" s="114"/>
    </row>
    <row r="13" spans="1:14" ht="28.05" customHeight="1" x14ac:dyDescent="0.3">
      <c r="A13" s="115" t="s">
        <v>17</v>
      </c>
      <c r="B13" s="114"/>
      <c r="C13" s="114"/>
      <c r="D13" s="113"/>
      <c r="E13" s="114"/>
      <c r="F13" s="114"/>
      <c r="G13" s="114"/>
      <c r="H13" s="114"/>
      <c r="I13" s="114"/>
      <c r="J13" s="114"/>
      <c r="K13" s="114"/>
      <c r="L13" s="114"/>
      <c r="M13" s="114"/>
      <c r="N13" s="114"/>
    </row>
    <row r="14" spans="1:14" ht="28.05" customHeight="1" x14ac:dyDescent="0.3">
      <c r="A14" s="115" t="s">
        <v>18</v>
      </c>
      <c r="B14" s="114"/>
      <c r="C14" s="114"/>
      <c r="D14" s="45"/>
      <c r="E14" s="123" t="s">
        <v>19</v>
      </c>
      <c r="F14" s="114"/>
      <c r="G14" s="58"/>
      <c r="H14" s="59"/>
      <c r="I14" s="139" t="s">
        <v>20</v>
      </c>
      <c r="J14" s="135"/>
      <c r="K14" s="45"/>
      <c r="L14" s="134"/>
      <c r="M14" s="114"/>
      <c r="N14" s="135"/>
    </row>
    <row r="15" spans="1:14" ht="28.05" customHeight="1" x14ac:dyDescent="0.3">
      <c r="A15" s="115" t="s">
        <v>21</v>
      </c>
      <c r="B15" s="114"/>
      <c r="C15" s="114"/>
      <c r="D15" s="113"/>
      <c r="E15" s="114"/>
      <c r="F15" s="114"/>
      <c r="G15" s="114"/>
      <c r="H15" s="114"/>
      <c r="I15" s="114"/>
      <c r="J15" s="114"/>
      <c r="K15" s="115" t="s">
        <v>22</v>
      </c>
      <c r="L15" s="114"/>
      <c r="M15" s="113"/>
      <c r="N15" s="114"/>
    </row>
    <row r="16" spans="1:14" ht="28.05" customHeight="1" x14ac:dyDescent="0.3">
      <c r="A16" s="115" t="s">
        <v>23</v>
      </c>
      <c r="B16" s="114"/>
      <c r="C16" s="114"/>
      <c r="D16" s="114"/>
      <c r="E16" s="114"/>
      <c r="F16" s="114"/>
      <c r="G16" s="114"/>
      <c r="H16" s="62"/>
      <c r="I16" s="2" t="s">
        <v>24</v>
      </c>
      <c r="J16" s="62"/>
      <c r="K16" s="2" t="s">
        <v>25</v>
      </c>
    </row>
    <row r="17" spans="1:14" ht="28.05" customHeight="1" x14ac:dyDescent="0.3">
      <c r="A17" s="115" t="s">
        <v>27</v>
      </c>
      <c r="B17" s="114"/>
      <c r="C17" s="114"/>
      <c r="D17" s="114"/>
      <c r="E17" s="114"/>
      <c r="F17" s="114"/>
      <c r="G17" s="114"/>
      <c r="H17" s="62"/>
      <c r="I17" s="2" t="s">
        <v>24</v>
      </c>
      <c r="J17" s="62"/>
      <c r="K17" s="2" t="s">
        <v>25</v>
      </c>
    </row>
    <row r="18" spans="1:14" ht="28.05" customHeight="1" x14ac:dyDescent="0.3">
      <c r="A18" s="115" t="s">
        <v>28</v>
      </c>
      <c r="B18" s="114"/>
      <c r="C18" s="114"/>
      <c r="D18" s="114"/>
      <c r="E18" s="114"/>
      <c r="F18" s="114"/>
      <c r="G18" s="114"/>
      <c r="H18" s="62"/>
      <c r="I18" s="2" t="s">
        <v>24</v>
      </c>
      <c r="J18" s="62"/>
      <c r="K18" s="2" t="s">
        <v>25</v>
      </c>
    </row>
    <row r="19" spans="1:14" s="6" customFormat="1" ht="19.5" customHeight="1" x14ac:dyDescent="0.3">
      <c r="A19" s="111" t="s">
        <v>29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</row>
    <row r="20" spans="1:14" s="60" customFormat="1" ht="30" customHeight="1" x14ac:dyDescent="0.3">
      <c r="A20" s="119" t="s">
        <v>30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</row>
    <row r="21" spans="1:14" ht="18" customHeight="1" x14ac:dyDescent="0.3">
      <c r="A21" s="116"/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</row>
    <row r="22" spans="1:14" ht="18" customHeight="1" x14ac:dyDescent="0.3">
      <c r="A22" s="116"/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</row>
    <row r="23" spans="1:14" ht="18" customHeight="1" x14ac:dyDescent="0.3">
      <c r="A23" s="116"/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</row>
    <row r="24" spans="1:14" ht="18" customHeight="1" x14ac:dyDescent="0.3">
      <c r="A24" s="116"/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</row>
    <row r="26" spans="1:14" s="60" customFormat="1" ht="30" customHeight="1" x14ac:dyDescent="0.3">
      <c r="A26" s="119" t="s">
        <v>31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</row>
    <row r="27" spans="1:14" ht="18" customHeight="1" x14ac:dyDescent="0.3">
      <c r="A27" s="116"/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</row>
    <row r="28" spans="1:14" ht="18" customHeight="1" x14ac:dyDescent="0.3">
      <c r="A28" s="116"/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</row>
    <row r="29" spans="1:14" ht="18" customHeight="1" x14ac:dyDescent="0.3">
      <c r="A29" s="116"/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</row>
    <row r="30" spans="1:14" ht="18" customHeight="1" x14ac:dyDescent="0.3">
      <c r="A30" s="116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</row>
    <row r="31" spans="1:14" s="60" customFormat="1" ht="30" customHeight="1" x14ac:dyDescent="0.3">
      <c r="A31" s="119" t="s">
        <v>32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</row>
    <row r="32" spans="1:14" ht="18" customHeight="1" x14ac:dyDescent="0.3">
      <c r="A32" s="116"/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</row>
    <row r="33" spans="1:14" ht="18" customHeight="1" x14ac:dyDescent="0.3">
      <c r="A33" s="116"/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</row>
    <row r="34" spans="1:14" ht="18" customHeight="1" x14ac:dyDescent="0.3">
      <c r="A34" s="116"/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</row>
    <row r="35" spans="1:14" ht="18" customHeight="1" x14ac:dyDescent="0.3">
      <c r="A35" s="116"/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</row>
    <row r="36" spans="1:14" s="60" customFormat="1" ht="30" customHeight="1" x14ac:dyDescent="0.3">
      <c r="A36" s="119" t="s">
        <v>33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</row>
    <row r="37" spans="1:14" ht="18" customHeight="1" x14ac:dyDescent="0.3">
      <c r="A37" s="116"/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</row>
    <row r="38" spans="1:14" ht="18" customHeight="1" x14ac:dyDescent="0.3">
      <c r="A38" s="116"/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1:14" ht="18" customHeight="1" x14ac:dyDescent="0.3">
      <c r="A39" s="116"/>
      <c r="B39" s="114"/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</row>
    <row r="40" spans="1:14" ht="18" customHeight="1" x14ac:dyDescent="0.3">
      <c r="A40" s="116"/>
      <c r="B40" s="114"/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</row>
    <row r="41" spans="1:14" s="6" customFormat="1" ht="19.5" customHeight="1" x14ac:dyDescent="0.3">
      <c r="A41" s="111" t="s">
        <v>34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</row>
    <row r="42" spans="1:14" s="60" customFormat="1" ht="30" customHeight="1" x14ac:dyDescent="0.3">
      <c r="A42" s="119" t="s">
        <v>35</v>
      </c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</row>
    <row r="43" spans="1:14" ht="18" customHeight="1" x14ac:dyDescent="0.3">
      <c r="A43" s="116"/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</row>
    <row r="44" spans="1:14" ht="18" customHeight="1" x14ac:dyDescent="0.3">
      <c r="A44" s="116"/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</row>
    <row r="45" spans="1:14" ht="18" customHeight="1" x14ac:dyDescent="0.3">
      <c r="A45" s="116"/>
      <c r="B45" s="114"/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</row>
    <row r="46" spans="1:14" ht="18" customHeight="1" x14ac:dyDescent="0.3">
      <c r="A46" s="116"/>
      <c r="B46" s="114"/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</row>
    <row r="47" spans="1:14" s="60" customFormat="1" ht="30" customHeight="1" x14ac:dyDescent="0.3">
      <c r="A47" s="119" t="s">
        <v>36</v>
      </c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</row>
    <row r="48" spans="1:14" ht="18" customHeight="1" x14ac:dyDescent="0.3">
      <c r="A48" s="116"/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</row>
    <row r="49" spans="1:14" ht="18" customHeight="1" x14ac:dyDescent="0.3">
      <c r="A49" s="116"/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</row>
    <row r="50" spans="1:14" ht="18" customHeight="1" x14ac:dyDescent="0.3">
      <c r="A50" s="116"/>
      <c r="B50" s="114"/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</row>
    <row r="51" spans="1:14" ht="18" customHeight="1" x14ac:dyDescent="0.3">
      <c r="A51" s="116"/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</row>
    <row r="52" spans="1:14" s="60" customFormat="1" ht="30" customHeight="1" x14ac:dyDescent="0.3">
      <c r="A52" s="119" t="s">
        <v>37</v>
      </c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</row>
    <row r="53" spans="1:14" ht="18" customHeight="1" x14ac:dyDescent="0.3">
      <c r="A53" s="116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</row>
    <row r="54" spans="1:14" ht="18" customHeight="1" x14ac:dyDescent="0.3">
      <c r="A54" s="116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</row>
    <row r="55" spans="1:14" ht="18" customHeight="1" x14ac:dyDescent="0.3">
      <c r="A55" s="116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</row>
    <row r="56" spans="1:14" ht="18" customHeight="1" x14ac:dyDescent="0.3">
      <c r="A56" s="116"/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7" spans="1:14" s="60" customFormat="1" ht="30" customHeight="1" x14ac:dyDescent="0.3">
      <c r="A57" s="119" t="s">
        <v>38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</row>
    <row r="58" spans="1:14" ht="18" customHeight="1" x14ac:dyDescent="0.3">
      <c r="A58" s="116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</row>
    <row r="59" spans="1:14" ht="18" customHeight="1" x14ac:dyDescent="0.3">
      <c r="A59" s="116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</row>
    <row r="60" spans="1:14" ht="18" customHeight="1" x14ac:dyDescent="0.3">
      <c r="A60" s="116"/>
      <c r="B60" s="114"/>
      <c r="C60" s="114"/>
      <c r="D60" s="114"/>
      <c r="E60" s="114"/>
      <c r="F60" s="114"/>
      <c r="G60" s="114"/>
      <c r="H60" s="114"/>
      <c r="I60" s="114"/>
      <c r="J60" s="114"/>
      <c r="K60" s="114"/>
      <c r="L60" s="114"/>
      <c r="M60" s="114"/>
      <c r="N60" s="114"/>
    </row>
    <row r="61" spans="1:14" s="6" customFormat="1" ht="19.5" customHeight="1" x14ac:dyDescent="0.3">
      <c r="A61" s="111" t="s">
        <v>39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</row>
    <row r="62" spans="1:14" s="60" customFormat="1" ht="30" customHeight="1" x14ac:dyDescent="0.3">
      <c r="A62" s="119" t="s">
        <v>40</v>
      </c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</row>
    <row r="63" spans="1:14" ht="18" customHeight="1" x14ac:dyDescent="0.3">
      <c r="A63" s="116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</row>
    <row r="64" spans="1:14" ht="18" customHeight="1" x14ac:dyDescent="0.3">
      <c r="A64" s="116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</row>
    <row r="65" spans="1:14" ht="18" customHeight="1" x14ac:dyDescent="0.3">
      <c r="A65" s="116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</row>
    <row r="66" spans="1:14" ht="18" customHeight="1" x14ac:dyDescent="0.3">
      <c r="A66" s="116"/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4"/>
      <c r="N66" s="114"/>
    </row>
    <row r="67" spans="1:14" s="60" customFormat="1" ht="30" customHeight="1" x14ac:dyDescent="0.3">
      <c r="A67" s="119" t="s">
        <v>41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</row>
    <row r="68" spans="1:14" ht="18" customHeight="1" x14ac:dyDescent="0.3">
      <c r="A68" s="116"/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</row>
    <row r="69" spans="1:14" ht="18" customHeight="1" x14ac:dyDescent="0.3">
      <c r="A69" s="116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</row>
    <row r="70" spans="1:14" ht="18" customHeight="1" x14ac:dyDescent="0.3">
      <c r="A70" s="116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</row>
    <row r="71" spans="1:14" ht="18" customHeight="1" x14ac:dyDescent="0.3">
      <c r="A71" s="116"/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4"/>
      <c r="N71" s="114"/>
    </row>
    <row r="72" spans="1:14" s="60" customFormat="1" ht="30" customHeight="1" x14ac:dyDescent="0.3">
      <c r="A72" s="119" t="s">
        <v>42</v>
      </c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4"/>
      <c r="N72" s="114"/>
    </row>
    <row r="73" spans="1:14" ht="18" customHeight="1" x14ac:dyDescent="0.3">
      <c r="A73" s="116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</row>
    <row r="74" spans="1:14" ht="18" customHeight="1" x14ac:dyDescent="0.3">
      <c r="A74" s="116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</row>
    <row r="75" spans="1:14" ht="18" customHeight="1" x14ac:dyDescent="0.3">
      <c r="A75" s="116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4"/>
      <c r="N75" s="114"/>
    </row>
    <row r="76" spans="1:14" ht="18" customHeight="1" x14ac:dyDescent="0.3">
      <c r="A76" s="116"/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</row>
    <row r="77" spans="1:14" s="6" customFormat="1" ht="19.5" customHeight="1" x14ac:dyDescent="0.3">
      <c r="A77" s="111" t="s">
        <v>43</v>
      </c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</row>
    <row r="78" spans="1:14" s="60" customFormat="1" ht="30" customHeight="1" x14ac:dyDescent="0.3">
      <c r="A78" s="119" t="s">
        <v>44</v>
      </c>
      <c r="B78" s="114"/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  <c r="N78" s="114"/>
    </row>
    <row r="79" spans="1:14" ht="18" customHeight="1" x14ac:dyDescent="0.3">
      <c r="A79" s="61"/>
      <c r="B79" s="131" t="s">
        <v>45</v>
      </c>
      <c r="C79" s="114"/>
      <c r="D79" s="114"/>
      <c r="E79" s="114"/>
      <c r="F79" s="114"/>
      <c r="G79" s="114"/>
      <c r="H79" s="61"/>
      <c r="I79" s="131" t="s">
        <v>46</v>
      </c>
      <c r="J79" s="114"/>
      <c r="K79" s="114"/>
      <c r="L79" s="114"/>
      <c r="M79" s="114"/>
      <c r="N79" s="114"/>
    </row>
    <row r="80" spans="1:14" ht="18" customHeight="1" x14ac:dyDescent="0.3">
      <c r="A80" s="61"/>
      <c r="B80" s="131" t="s">
        <v>47</v>
      </c>
      <c r="C80" s="114"/>
      <c r="D80" s="114"/>
      <c r="E80" s="114"/>
      <c r="F80" s="114"/>
      <c r="G80" s="114"/>
      <c r="H80" s="61"/>
      <c r="I80" s="131" t="s">
        <v>48</v>
      </c>
      <c r="J80" s="114"/>
      <c r="K80" s="114"/>
      <c r="L80" s="114"/>
      <c r="M80" s="114"/>
      <c r="N80" s="114"/>
    </row>
    <row r="81" spans="1:14" s="60" customFormat="1" ht="30" customHeight="1" x14ac:dyDescent="0.3">
      <c r="A81" s="119" t="s">
        <v>49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</row>
    <row r="82" spans="1:14" ht="18" customHeight="1" x14ac:dyDescent="0.3">
      <c r="A82" s="116"/>
      <c r="B82" s="114"/>
      <c r="C82" s="114"/>
      <c r="D82" s="114"/>
      <c r="E82" s="114"/>
      <c r="F82" s="114"/>
      <c r="G82" s="114"/>
      <c r="H82" s="114"/>
      <c r="I82" s="114"/>
      <c r="J82" s="114"/>
      <c r="K82" s="114"/>
      <c r="L82" s="114"/>
      <c r="M82" s="114"/>
      <c r="N82" s="114"/>
    </row>
    <row r="83" spans="1:14" ht="18" customHeight="1" x14ac:dyDescent="0.3">
      <c r="A83" s="116"/>
      <c r="B83" s="114"/>
      <c r="C83" s="114"/>
      <c r="D83" s="114"/>
      <c r="E83" s="114"/>
      <c r="F83" s="114"/>
      <c r="G83" s="114"/>
      <c r="H83" s="114"/>
      <c r="I83" s="114"/>
      <c r="J83" s="114"/>
      <c r="K83" s="114"/>
      <c r="L83" s="114"/>
      <c r="M83" s="114"/>
      <c r="N83" s="114"/>
    </row>
    <row r="84" spans="1:14" ht="18" customHeight="1" x14ac:dyDescent="0.3">
      <c r="A84" s="116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</row>
    <row r="85" spans="1:14" s="60" customFormat="1" ht="30" customHeight="1" x14ac:dyDescent="0.3">
      <c r="A85" s="119" t="s">
        <v>50</v>
      </c>
      <c r="B85" s="114"/>
      <c r="C85" s="114"/>
      <c r="D85" s="1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</row>
    <row r="86" spans="1:14" ht="18" customHeight="1" x14ac:dyDescent="0.3">
      <c r="A86" s="116"/>
      <c r="B86" s="114"/>
      <c r="C86" s="114"/>
      <c r="D86" s="114"/>
      <c r="E86" s="114"/>
      <c r="F86" s="114"/>
      <c r="G86" s="114"/>
      <c r="H86" s="114"/>
      <c r="I86" s="114"/>
      <c r="J86" s="114"/>
      <c r="K86" s="114"/>
      <c r="L86" s="114"/>
      <c r="M86" s="114"/>
      <c r="N86" s="114"/>
    </row>
    <row r="87" spans="1:14" ht="18" customHeight="1" x14ac:dyDescent="0.3">
      <c r="A87" s="116"/>
      <c r="B87" s="114"/>
      <c r="C87" s="114"/>
      <c r="D87" s="114"/>
      <c r="E87" s="114"/>
      <c r="F87" s="114"/>
      <c r="G87" s="114"/>
      <c r="H87" s="114"/>
      <c r="I87" s="114"/>
      <c r="J87" s="114"/>
      <c r="K87" s="114"/>
      <c r="L87" s="114"/>
      <c r="M87" s="114"/>
      <c r="N87" s="114"/>
    </row>
    <row r="88" spans="1:14" ht="18" customHeight="1" x14ac:dyDescent="0.3">
      <c r="A88" s="116"/>
      <c r="B88" s="114"/>
      <c r="C88" s="114"/>
      <c r="D88" s="114"/>
      <c r="E88" s="114"/>
      <c r="F88" s="114"/>
      <c r="G88" s="114"/>
      <c r="H88" s="114"/>
      <c r="I88" s="114"/>
      <c r="J88" s="114"/>
      <c r="K88" s="114"/>
      <c r="L88" s="114"/>
      <c r="M88" s="114"/>
      <c r="N88" s="114"/>
    </row>
    <row r="89" spans="1:14" ht="18" customHeight="1" x14ac:dyDescent="0.3">
      <c r="A89" s="116"/>
      <c r="B89" s="114"/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  <c r="N89" s="114"/>
    </row>
    <row r="90" spans="1:14" s="60" customFormat="1" ht="30" customHeight="1" x14ac:dyDescent="0.3">
      <c r="A90" s="119" t="s">
        <v>51</v>
      </c>
      <c r="B90" s="114"/>
      <c r="C90" s="114"/>
      <c r="D90" s="114"/>
      <c r="E90" s="114"/>
      <c r="F90" s="114"/>
      <c r="G90" s="114"/>
      <c r="H90" s="114"/>
      <c r="I90" s="114"/>
      <c r="J90" s="114"/>
      <c r="K90" s="114"/>
      <c r="L90" s="114"/>
      <c r="M90" s="114"/>
      <c r="N90" s="114"/>
    </row>
    <row r="91" spans="1:14" ht="18" customHeight="1" x14ac:dyDescent="0.3">
      <c r="A91" s="116"/>
      <c r="B91" s="114"/>
      <c r="C91" s="114"/>
      <c r="D91" s="114"/>
      <c r="E91" s="114"/>
      <c r="F91" s="114"/>
      <c r="G91" s="114"/>
      <c r="H91" s="114"/>
      <c r="I91" s="114"/>
      <c r="J91" s="114"/>
      <c r="K91" s="114"/>
      <c r="L91" s="114"/>
      <c r="M91" s="114"/>
      <c r="N91" s="114"/>
    </row>
    <row r="92" spans="1:14" ht="18" customHeight="1" x14ac:dyDescent="0.3">
      <c r="A92" s="116"/>
      <c r="B92" s="114"/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N92" s="114"/>
    </row>
    <row r="93" spans="1:14" ht="18" customHeight="1" x14ac:dyDescent="0.3">
      <c r="A93" s="116"/>
      <c r="B93" s="114"/>
      <c r="C93" s="114"/>
      <c r="D93" s="114"/>
      <c r="E93" s="114"/>
      <c r="F93" s="114"/>
      <c r="G93" s="114"/>
      <c r="H93" s="114"/>
      <c r="I93" s="114"/>
      <c r="J93" s="114"/>
      <c r="K93" s="114"/>
      <c r="L93" s="114"/>
      <c r="M93" s="114"/>
      <c r="N93" s="114"/>
    </row>
    <row r="94" spans="1:14" ht="18" customHeight="1" x14ac:dyDescent="0.3">
      <c r="A94" s="116"/>
      <c r="B94" s="114"/>
      <c r="C94" s="114"/>
      <c r="D94" s="114"/>
      <c r="E94" s="114"/>
      <c r="F94" s="114"/>
      <c r="G94" s="114"/>
      <c r="H94" s="114"/>
      <c r="I94" s="114"/>
      <c r="J94" s="114"/>
      <c r="K94" s="114"/>
      <c r="L94" s="114"/>
      <c r="M94" s="114"/>
      <c r="N94" s="114"/>
    </row>
    <row r="95" spans="1:14" s="60" customFormat="1" ht="30" customHeight="1" x14ac:dyDescent="0.3">
      <c r="A95" s="119" t="s">
        <v>52</v>
      </c>
      <c r="B95" s="114"/>
      <c r="C95" s="114"/>
      <c r="D95" s="114"/>
      <c r="E95" s="114"/>
      <c r="F95" s="114"/>
      <c r="G95" s="114"/>
      <c r="H95" s="114"/>
      <c r="I95" s="114"/>
      <c r="J95" s="114"/>
      <c r="K95" s="114"/>
      <c r="L95" s="114"/>
      <c r="M95" s="114"/>
      <c r="N95" s="114"/>
    </row>
    <row r="96" spans="1:14" ht="18" customHeight="1" x14ac:dyDescent="0.3">
      <c r="A96" s="116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</row>
    <row r="97" spans="1:14" ht="18" customHeight="1" x14ac:dyDescent="0.3">
      <c r="A97" s="116"/>
      <c r="B97" s="114"/>
      <c r="C97" s="114"/>
      <c r="D97" s="114"/>
      <c r="E97" s="114"/>
      <c r="F97" s="114"/>
      <c r="G97" s="114"/>
      <c r="H97" s="114"/>
      <c r="I97" s="114"/>
      <c r="J97" s="114"/>
      <c r="K97" s="114"/>
      <c r="L97" s="114"/>
      <c r="M97" s="114"/>
      <c r="N97" s="114"/>
    </row>
    <row r="98" spans="1:14" ht="18" customHeight="1" x14ac:dyDescent="0.3">
      <c r="A98" s="116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</row>
    <row r="99" spans="1:14" ht="18" customHeight="1" x14ac:dyDescent="0.3">
      <c r="A99" s="116"/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</row>
    <row r="100" spans="1:14" s="60" customFormat="1" ht="30" customHeight="1" x14ac:dyDescent="0.3">
      <c r="A100" s="119" t="s">
        <v>53</v>
      </c>
      <c r="B100" s="114"/>
      <c r="C100" s="114"/>
      <c r="D100" s="114"/>
      <c r="E100" s="114"/>
      <c r="F100" s="114"/>
      <c r="G100" s="114"/>
      <c r="H100" s="114"/>
      <c r="I100" s="114"/>
      <c r="J100" s="114"/>
      <c r="K100" s="114"/>
      <c r="L100" s="114"/>
      <c r="M100" s="114"/>
      <c r="N100" s="114"/>
    </row>
    <row r="101" spans="1:14" ht="18" customHeight="1" x14ac:dyDescent="0.3">
      <c r="A101" s="116"/>
      <c r="B101" s="114"/>
      <c r="C101" s="114"/>
      <c r="D101" s="114"/>
      <c r="E101" s="114"/>
      <c r="F101" s="114"/>
      <c r="G101" s="114"/>
      <c r="H101" s="114"/>
      <c r="I101" s="114"/>
      <c r="J101" s="114"/>
      <c r="K101" s="114"/>
      <c r="L101" s="114"/>
      <c r="M101" s="114"/>
      <c r="N101" s="114"/>
    </row>
    <row r="102" spans="1:14" ht="18" customHeight="1" x14ac:dyDescent="0.3">
      <c r="A102" s="116"/>
      <c r="B102" s="114"/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N102" s="114"/>
    </row>
    <row r="103" spans="1:14" ht="18" customHeight="1" x14ac:dyDescent="0.3">
      <c r="A103" s="116"/>
      <c r="B103" s="114"/>
      <c r="C103" s="114"/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</row>
    <row r="104" spans="1:14" ht="18" customHeight="1" x14ac:dyDescent="0.3">
      <c r="A104" s="116"/>
      <c r="B104" s="114"/>
      <c r="C104" s="114"/>
      <c r="D104" s="114"/>
      <c r="E104" s="114"/>
      <c r="F104" s="114"/>
      <c r="G104" s="114"/>
      <c r="H104" s="114"/>
      <c r="I104" s="114"/>
      <c r="J104" s="114"/>
      <c r="K104" s="114"/>
      <c r="L104" s="114"/>
      <c r="M104" s="114"/>
      <c r="N104" s="114"/>
    </row>
    <row r="105" spans="1:14" s="60" customFormat="1" ht="30" customHeight="1" x14ac:dyDescent="0.3">
      <c r="A105" s="119" t="s">
        <v>54</v>
      </c>
      <c r="B105" s="114"/>
      <c r="C105" s="114"/>
      <c r="D105" s="114"/>
      <c r="E105" s="114"/>
      <c r="F105" s="114"/>
      <c r="G105" s="114"/>
      <c r="H105" s="114"/>
      <c r="I105" s="114"/>
      <c r="J105" s="114"/>
      <c r="K105" s="114"/>
      <c r="L105" s="114"/>
      <c r="M105" s="114"/>
      <c r="N105" s="114"/>
    </row>
    <row r="106" spans="1:14" ht="18" customHeight="1" x14ac:dyDescent="0.3">
      <c r="A106" s="116"/>
      <c r="B106" s="114"/>
      <c r="C106" s="114"/>
      <c r="D106" s="114"/>
      <c r="E106" s="114"/>
      <c r="F106" s="114"/>
      <c r="G106" s="114"/>
      <c r="H106" s="114"/>
      <c r="I106" s="114"/>
      <c r="J106" s="114"/>
      <c r="K106" s="114"/>
      <c r="L106" s="114"/>
      <c r="M106" s="114"/>
      <c r="N106" s="114"/>
    </row>
    <row r="107" spans="1:14" ht="18" customHeight="1" x14ac:dyDescent="0.3">
      <c r="A107" s="116"/>
      <c r="B107" s="114"/>
      <c r="C107" s="114"/>
      <c r="D107" s="114"/>
      <c r="E107" s="114"/>
      <c r="F107" s="114"/>
      <c r="G107" s="114"/>
      <c r="H107" s="114"/>
      <c r="I107" s="114"/>
      <c r="J107" s="114"/>
      <c r="K107" s="114"/>
      <c r="L107" s="114"/>
      <c r="M107" s="114"/>
      <c r="N107" s="114"/>
    </row>
    <row r="108" spans="1:14" ht="18" customHeight="1" x14ac:dyDescent="0.3">
      <c r="A108" s="116"/>
      <c r="B108" s="114"/>
      <c r="C108" s="114"/>
      <c r="D108" s="114"/>
      <c r="E108" s="114"/>
      <c r="F108" s="114"/>
      <c r="G108" s="114"/>
      <c r="H108" s="114"/>
      <c r="I108" s="114"/>
      <c r="J108" s="114"/>
      <c r="K108" s="114"/>
      <c r="L108" s="114"/>
      <c r="M108" s="114"/>
      <c r="N108" s="114"/>
    </row>
    <row r="109" spans="1:14" ht="18" customHeight="1" x14ac:dyDescent="0.3">
      <c r="A109" s="116"/>
      <c r="B109" s="114"/>
      <c r="C109" s="114"/>
      <c r="D109" s="114"/>
      <c r="E109" s="114"/>
      <c r="F109" s="114"/>
      <c r="G109" s="114"/>
      <c r="H109" s="114"/>
      <c r="I109" s="114"/>
      <c r="J109" s="114"/>
      <c r="K109" s="114"/>
      <c r="L109" s="114"/>
      <c r="M109" s="114"/>
      <c r="N109" s="114"/>
    </row>
    <row r="110" spans="1:14" s="6" customFormat="1" ht="19.5" customHeight="1" x14ac:dyDescent="0.3">
      <c r="A110" s="111" t="s">
        <v>55</v>
      </c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</row>
    <row r="111" spans="1:14" ht="19.5" customHeight="1" x14ac:dyDescent="0.3">
      <c r="A111" s="116"/>
      <c r="B111" s="114"/>
      <c r="C111" s="114"/>
      <c r="D111" s="114"/>
      <c r="E111" s="114"/>
      <c r="F111" s="114"/>
      <c r="G111" s="114"/>
      <c r="H111" s="114"/>
      <c r="I111" s="114"/>
      <c r="J111" s="114"/>
      <c r="K111" s="114"/>
      <c r="L111" s="114"/>
      <c r="M111" s="114"/>
      <c r="N111" s="114"/>
    </row>
    <row r="112" spans="1:14" ht="19.5" customHeight="1" x14ac:dyDescent="0.3">
      <c r="A112" s="116"/>
      <c r="B112" s="114"/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N112" s="114"/>
    </row>
    <row r="113" spans="1:14" ht="19.5" customHeight="1" x14ac:dyDescent="0.3">
      <c r="A113" s="116"/>
      <c r="B113" s="114"/>
      <c r="C113" s="114"/>
      <c r="D113" s="114"/>
      <c r="E113" s="114"/>
      <c r="F113" s="114"/>
      <c r="G113" s="114"/>
      <c r="H113" s="114"/>
      <c r="I113" s="114"/>
      <c r="J113" s="114"/>
      <c r="K113" s="114"/>
      <c r="L113" s="114"/>
      <c r="M113" s="114"/>
      <c r="N113" s="114"/>
    </row>
    <row r="114" spans="1:14" ht="19.5" customHeight="1" x14ac:dyDescent="0.3">
      <c r="A114" s="116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</row>
    <row r="115" spans="1:14" ht="19.5" customHeight="1" x14ac:dyDescent="0.3">
      <c r="A115" s="116"/>
      <c r="B115" s="114"/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14"/>
    </row>
    <row r="116" spans="1:14" ht="19.5" customHeight="1" x14ac:dyDescent="0.3">
      <c r="A116" s="116"/>
      <c r="B116" s="114"/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114"/>
      <c r="N116" s="114"/>
    </row>
    <row r="119" spans="1:14" ht="15" customHeight="1" x14ac:dyDescent="0.3">
      <c r="A119" s="122" t="s">
        <v>56</v>
      </c>
      <c r="B119" s="118"/>
      <c r="C119" s="118"/>
      <c r="D119" s="118"/>
      <c r="E119" s="118"/>
      <c r="F119" s="118"/>
      <c r="H119" s="122" t="s">
        <v>56</v>
      </c>
      <c r="I119" s="118"/>
      <c r="J119" s="118"/>
      <c r="K119" s="118"/>
      <c r="L119" s="118"/>
      <c r="M119" s="118"/>
      <c r="N119" s="118"/>
    </row>
    <row r="120" spans="1:14" ht="27.75" customHeight="1" x14ac:dyDescent="0.3">
      <c r="A120" s="117" t="s">
        <v>57</v>
      </c>
      <c r="B120" s="118"/>
      <c r="C120" s="118"/>
      <c r="D120" s="118"/>
      <c r="E120" s="118"/>
      <c r="F120" s="118"/>
      <c r="H120" s="117" t="s">
        <v>58</v>
      </c>
      <c r="I120" s="118"/>
      <c r="J120" s="118"/>
      <c r="K120" s="118"/>
      <c r="L120" s="118"/>
      <c r="M120" s="118"/>
      <c r="N120" s="118"/>
    </row>
  </sheetData>
  <mergeCells count="143">
    <mergeCell ref="D8:E8"/>
    <mergeCell ref="A11:C11"/>
    <mergeCell ref="A22:N22"/>
    <mergeCell ref="A53:N53"/>
    <mergeCell ref="A35:N35"/>
    <mergeCell ref="A109:N109"/>
    <mergeCell ref="A62:N62"/>
    <mergeCell ref="A119:F119"/>
    <mergeCell ref="A19:N19"/>
    <mergeCell ref="A68:N68"/>
    <mergeCell ref="A28:N28"/>
    <mergeCell ref="A111:N111"/>
    <mergeCell ref="A2:N2"/>
    <mergeCell ref="B79:G79"/>
    <mergeCell ref="A86:N86"/>
    <mergeCell ref="H8:J8"/>
    <mergeCell ref="A95:N95"/>
    <mergeCell ref="A16:G16"/>
    <mergeCell ref="A47:N47"/>
    <mergeCell ref="D12:N12"/>
    <mergeCell ref="A18:G18"/>
    <mergeCell ref="A20:N20"/>
    <mergeCell ref="A72:N72"/>
    <mergeCell ref="A29:N29"/>
    <mergeCell ref="A81:N81"/>
    <mergeCell ref="G7:I7"/>
    <mergeCell ref="A44:N44"/>
    <mergeCell ref="A31:N31"/>
    <mergeCell ref="A64:N64"/>
    <mergeCell ref="A73:N73"/>
    <mergeCell ref="A51:N51"/>
    <mergeCell ref="A88:N88"/>
    <mergeCell ref="A70:N70"/>
    <mergeCell ref="A8:C8"/>
    <mergeCell ref="A54:N54"/>
    <mergeCell ref="A41:N41"/>
    <mergeCell ref="D7:F7"/>
    <mergeCell ref="A110:N110"/>
    <mergeCell ref="K11:L11"/>
    <mergeCell ref="A6:N6"/>
    <mergeCell ref="M11:N11"/>
    <mergeCell ref="A108:N108"/>
    <mergeCell ref="A84:N84"/>
    <mergeCell ref="A66:N66"/>
    <mergeCell ref="F8:G8"/>
    <mergeCell ref="B80:G80"/>
    <mergeCell ref="M15:N15"/>
    <mergeCell ref="A50:N50"/>
    <mergeCell ref="K8:L8"/>
    <mergeCell ref="A98:N98"/>
    <mergeCell ref="A107:N107"/>
    <mergeCell ref="A90:N90"/>
    <mergeCell ref="I79:N79"/>
    <mergeCell ref="A99:N99"/>
    <mergeCell ref="A74:N74"/>
    <mergeCell ref="A10:C10"/>
    <mergeCell ref="A56:N56"/>
    <mergeCell ref="A27:N27"/>
    <mergeCell ref="A101:N101"/>
    <mergeCell ref="A76:N76"/>
    <mergeCell ref="A1:N1"/>
    <mergeCell ref="A94:N94"/>
    <mergeCell ref="A69:N69"/>
    <mergeCell ref="A78:N78"/>
    <mergeCell ref="A14:C14"/>
    <mergeCell ref="A65:N65"/>
    <mergeCell ref="D13:N13"/>
    <mergeCell ref="A75:N75"/>
    <mergeCell ref="A3:N3"/>
    <mergeCell ref="A13:C13"/>
    <mergeCell ref="A55:N55"/>
    <mergeCell ref="J7:N7"/>
    <mergeCell ref="A21:N21"/>
    <mergeCell ref="A57:N57"/>
    <mergeCell ref="A5:N5"/>
    <mergeCell ref="A15:C15"/>
    <mergeCell ref="A32:N32"/>
    <mergeCell ref="I80:N80"/>
    <mergeCell ref="A4:N4"/>
    <mergeCell ref="A38:N38"/>
    <mergeCell ref="A43:N43"/>
    <mergeCell ref="A7:C7"/>
    <mergeCell ref="A58:N58"/>
    <mergeCell ref="A40:N40"/>
    <mergeCell ref="M8:N8"/>
    <mergeCell ref="A116:N116"/>
    <mergeCell ref="A91:N91"/>
    <mergeCell ref="H119:N119"/>
    <mergeCell ref="A100:N100"/>
    <mergeCell ref="A52:N52"/>
    <mergeCell ref="A63:N63"/>
    <mergeCell ref="A115:N115"/>
    <mergeCell ref="A93:N93"/>
    <mergeCell ref="A102:N102"/>
    <mergeCell ref="A77:N77"/>
    <mergeCell ref="A34:N34"/>
    <mergeCell ref="A83:N83"/>
    <mergeCell ref="A92:N92"/>
    <mergeCell ref="K15:L15"/>
    <mergeCell ref="E14:F14"/>
    <mergeCell ref="A49:N49"/>
    <mergeCell ref="D15:J15"/>
    <mergeCell ref="A12:C12"/>
    <mergeCell ref="A36:N36"/>
    <mergeCell ref="A104:N104"/>
    <mergeCell ref="A113:N113"/>
    <mergeCell ref="A97:N97"/>
    <mergeCell ref="A106:N106"/>
    <mergeCell ref="H120:N120"/>
    <mergeCell ref="A61:N61"/>
    <mergeCell ref="A87:N87"/>
    <mergeCell ref="A46:N46"/>
    <mergeCell ref="A37:N37"/>
    <mergeCell ref="A89:N89"/>
    <mergeCell ref="A105:N105"/>
    <mergeCell ref="A26:N26"/>
    <mergeCell ref="A71:N71"/>
    <mergeCell ref="A96:N96"/>
    <mergeCell ref="A67:N67"/>
    <mergeCell ref="A82:N82"/>
    <mergeCell ref="A60:N60"/>
    <mergeCell ref="A112:N112"/>
    <mergeCell ref="A114:N114"/>
    <mergeCell ref="A120:F120"/>
    <mergeCell ref="A33:N33"/>
    <mergeCell ref="A42:N42"/>
    <mergeCell ref="A85:N85"/>
    <mergeCell ref="A9:N9"/>
    <mergeCell ref="D11:F11"/>
    <mergeCell ref="A17:G17"/>
    <mergeCell ref="A39:N39"/>
    <mergeCell ref="A48:N48"/>
    <mergeCell ref="A30:N30"/>
    <mergeCell ref="A59:N59"/>
    <mergeCell ref="A45:N45"/>
    <mergeCell ref="A103:N103"/>
    <mergeCell ref="A23:N23"/>
    <mergeCell ref="L14:N14"/>
    <mergeCell ref="A24:N24"/>
    <mergeCell ref="G11:H11"/>
    <mergeCell ref="I11:J11"/>
    <mergeCell ref="D10:N10"/>
    <mergeCell ref="I14:J14"/>
  </mergeCells>
  <printOptions horizontalCentered="1"/>
  <pageMargins left="0.15" right="0.15" top="0.15" bottom="0.15" header="0.511811023622047" footer="0.511811023622047"/>
  <pageSetup paperSize="9" scale="64" fitToHeight="2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83"/>
  <sheetViews>
    <sheetView topLeftCell="F1" zoomScaleNormal="100" workbookViewId="0">
      <pane ySplit="6" topLeftCell="A7" activePane="bottomLeft" state="frozen"/>
      <selection pane="bottomLeft" activeCell="O1" sqref="O1:O1048576"/>
    </sheetView>
  </sheetViews>
  <sheetFormatPr baseColWidth="10" defaultColWidth="8.6640625" defaultRowHeight="14.4" x14ac:dyDescent="0.3"/>
  <cols>
    <col min="1" max="1" width="10.109375" customWidth="1"/>
    <col min="2" max="2" width="19" customWidth="1"/>
    <col min="3" max="3" width="15.44140625" customWidth="1"/>
    <col min="4" max="4" width="25.5546875" customWidth="1"/>
    <col min="5" max="5" width="14" customWidth="1"/>
    <col min="6" max="6" width="12" customWidth="1"/>
    <col min="7" max="7" width="8" customWidth="1"/>
    <col min="8" max="8" width="16" customWidth="1"/>
    <col min="9" max="9" width="10" customWidth="1"/>
    <col min="10" max="10" width="14" customWidth="1"/>
    <col min="11" max="11" width="8" customWidth="1"/>
    <col min="12" max="12" width="12" customWidth="1"/>
    <col min="13" max="13" width="8" customWidth="1"/>
    <col min="14" max="14" width="14" customWidth="1"/>
  </cols>
  <sheetData>
    <row r="1" spans="1:14" ht="19.5" customHeight="1" x14ac:dyDescent="0.3">
      <c r="A1" s="125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5" customHeight="1" x14ac:dyDescent="0.3">
      <c r="A2" s="138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33.6" customHeight="1" x14ac:dyDescent="0.3">
      <c r="A3" s="126" t="s">
        <v>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25.5" customHeight="1" x14ac:dyDescent="0.3">
      <c r="A4" s="132" t="s">
        <v>398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ht="24" customHeight="1" x14ac:dyDescent="0.3">
      <c r="A5" s="273" t="s">
        <v>399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14" s="50" customFormat="1" ht="19.5" customHeight="1" x14ac:dyDescent="0.3">
      <c r="A6" s="244" t="s">
        <v>5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</row>
    <row r="7" spans="1:14" s="51" customFormat="1" ht="39.6" customHeight="1" thickBot="1" x14ac:dyDescent="0.35">
      <c r="A7" s="264" t="s">
        <v>6</v>
      </c>
      <c r="B7" s="114"/>
      <c r="C7" s="238"/>
      <c r="D7" s="114"/>
      <c r="E7" s="114"/>
      <c r="F7" s="264" t="s">
        <v>7</v>
      </c>
      <c r="G7" s="114"/>
      <c r="H7" s="238"/>
      <c r="I7" s="114"/>
      <c r="J7" s="114"/>
      <c r="K7" s="114"/>
      <c r="L7" s="114"/>
      <c r="M7" s="114"/>
      <c r="N7" s="114"/>
    </row>
    <row r="8" spans="1:14" s="51" customFormat="1" ht="39.6" customHeight="1" thickBot="1" x14ac:dyDescent="0.35">
      <c r="A8" s="264" t="s">
        <v>8</v>
      </c>
      <c r="B8" s="114"/>
      <c r="C8" s="275"/>
      <c r="D8" s="276"/>
      <c r="E8" s="237" t="s">
        <v>138</v>
      </c>
      <c r="F8" s="114"/>
      <c r="G8" s="271"/>
      <c r="H8" s="114"/>
      <c r="I8" s="114"/>
      <c r="J8" s="237" t="s">
        <v>10</v>
      </c>
      <c r="K8" s="114"/>
      <c r="L8" s="271" t="str">
        <f>IFERROR(VLOOKUP($C$8,_Datos!$A$2:$H$128,4,FALSE()),"")</f>
        <v/>
      </c>
      <c r="M8" s="114"/>
      <c r="N8" s="114"/>
    </row>
    <row r="9" spans="1:14" s="51" customFormat="1" ht="15.6" customHeight="1" x14ac:dyDescent="0.3"/>
    <row r="10" spans="1:14" s="50" customFormat="1" ht="19.5" customHeight="1" x14ac:dyDescent="0.3">
      <c r="A10" s="244" t="s">
        <v>400</v>
      </c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</row>
    <row r="11" spans="1:14" s="51" customFormat="1" ht="34.200000000000003" customHeight="1" x14ac:dyDescent="0.3">
      <c r="A11" s="264" t="s">
        <v>401</v>
      </c>
      <c r="B11" s="114"/>
      <c r="C11" s="114"/>
      <c r="D11" s="238"/>
      <c r="E11" s="114"/>
      <c r="F11" s="114"/>
      <c r="G11" s="114"/>
      <c r="H11" s="114"/>
      <c r="I11" s="114"/>
      <c r="J11" s="114"/>
      <c r="K11" s="114"/>
      <c r="L11" s="114"/>
      <c r="M11" s="114"/>
      <c r="N11" s="114"/>
    </row>
    <row r="12" spans="1:14" s="51" customFormat="1" ht="34.200000000000003" customHeight="1" x14ac:dyDescent="0.3">
      <c r="A12" s="237" t="s">
        <v>402</v>
      </c>
      <c r="B12" s="114"/>
      <c r="C12" s="114"/>
      <c r="D12" s="238"/>
      <c r="E12" s="114"/>
      <c r="F12" s="114"/>
      <c r="G12" s="114"/>
      <c r="H12" s="114"/>
      <c r="I12" s="114"/>
      <c r="J12" s="114"/>
      <c r="K12" s="114"/>
      <c r="L12" s="114"/>
      <c r="M12" s="114"/>
      <c r="N12" s="114"/>
    </row>
    <row r="13" spans="1:14" s="51" customFormat="1" ht="34.200000000000003" customHeight="1" x14ac:dyDescent="0.3">
      <c r="A13" s="272" t="s">
        <v>403</v>
      </c>
      <c r="B13" s="269"/>
      <c r="C13" s="269"/>
      <c r="D13" s="268"/>
      <c r="E13" s="269"/>
      <c r="F13" s="269"/>
      <c r="G13" s="270" t="s">
        <v>404</v>
      </c>
      <c r="H13" s="269"/>
      <c r="I13" s="268"/>
      <c r="J13" s="269"/>
      <c r="K13" s="270" t="s">
        <v>405</v>
      </c>
      <c r="L13" s="269"/>
      <c r="M13" s="268"/>
      <c r="N13" s="269"/>
    </row>
    <row r="14" spans="1:14" s="51" customFormat="1" ht="34.200000000000003" customHeight="1" x14ac:dyDescent="0.3">
      <c r="A14" s="274" t="s">
        <v>406</v>
      </c>
      <c r="B14" s="156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</row>
    <row r="15" spans="1:14" s="51" customFormat="1" ht="27.6" customHeight="1" x14ac:dyDescent="0.3">
      <c r="A15" s="237" t="s">
        <v>407</v>
      </c>
      <c r="B15" s="114"/>
      <c r="C15" s="114"/>
      <c r="D15" s="114"/>
      <c r="E15" s="238"/>
      <c r="F15" s="114"/>
      <c r="G15" s="114"/>
      <c r="H15" s="237" t="s">
        <v>408</v>
      </c>
      <c r="I15" s="114"/>
      <c r="J15" s="114"/>
      <c r="K15" s="114"/>
      <c r="L15" s="238"/>
      <c r="M15" s="114"/>
      <c r="N15" s="114"/>
    </row>
    <row r="16" spans="1:14" s="51" customFormat="1" ht="27.6" customHeight="1" x14ac:dyDescent="0.3">
      <c r="A16" s="237" t="s">
        <v>409</v>
      </c>
      <c r="B16" s="114"/>
      <c r="C16" s="114"/>
      <c r="D16" s="114"/>
      <c r="E16" s="238"/>
      <c r="F16" s="114"/>
      <c r="G16" s="114"/>
      <c r="H16" s="237" t="s">
        <v>410</v>
      </c>
      <c r="I16" s="114"/>
      <c r="J16" s="114"/>
      <c r="K16" s="114"/>
      <c r="L16" s="238"/>
      <c r="M16" s="114"/>
      <c r="N16" s="114"/>
    </row>
    <row r="17" spans="1:14" s="51" customFormat="1" ht="27.6" customHeight="1" x14ac:dyDescent="0.3">
      <c r="A17" s="237" t="s">
        <v>411</v>
      </c>
      <c r="B17" s="114"/>
      <c r="C17" s="114"/>
      <c r="D17" s="114"/>
      <c r="E17" s="238"/>
      <c r="F17" s="114"/>
      <c r="G17" s="114"/>
      <c r="H17" s="237" t="s">
        <v>412</v>
      </c>
      <c r="I17" s="114"/>
      <c r="J17" s="114"/>
      <c r="K17" s="114"/>
      <c r="L17" s="238"/>
      <c r="M17" s="114"/>
      <c r="N17" s="114"/>
    </row>
    <row r="18" spans="1:14" s="51" customFormat="1" ht="27.6" customHeight="1" x14ac:dyDescent="0.3">
      <c r="A18" s="264" t="s">
        <v>413</v>
      </c>
      <c r="B18" s="114"/>
      <c r="C18" s="114"/>
      <c r="D18" s="238"/>
      <c r="E18" s="114"/>
      <c r="F18" s="114"/>
      <c r="G18" s="114"/>
      <c r="H18" s="114"/>
      <c r="I18" s="114"/>
      <c r="J18" s="114"/>
      <c r="K18" s="114"/>
      <c r="L18" s="114"/>
      <c r="M18" s="114"/>
      <c r="N18" s="114"/>
    </row>
    <row r="19" spans="1:14" s="51" customFormat="1" ht="35.4" customHeight="1" thickBot="1" x14ac:dyDescent="0.35">
      <c r="A19" s="237" t="s">
        <v>414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</row>
    <row r="20" spans="1:14" s="51" customFormat="1" ht="31.8" customHeight="1" thickBot="1" x14ac:dyDescent="0.35">
      <c r="A20" s="69"/>
      <c r="B20" s="263" t="s">
        <v>415</v>
      </c>
      <c r="C20" s="114"/>
      <c r="D20" s="114"/>
      <c r="E20" s="114"/>
      <c r="F20" s="114"/>
      <c r="G20" s="114"/>
      <c r="H20" s="69"/>
      <c r="I20" s="263" t="s">
        <v>416</v>
      </c>
      <c r="J20" s="114"/>
      <c r="K20" s="114"/>
      <c r="L20" s="114"/>
      <c r="M20" s="114"/>
      <c r="N20" s="114"/>
    </row>
    <row r="21" spans="1:14" s="51" customFormat="1" ht="31.8" customHeight="1" thickBot="1" x14ac:dyDescent="0.35">
      <c r="A21" s="69"/>
      <c r="B21" s="263" t="s">
        <v>417</v>
      </c>
      <c r="C21" s="114"/>
      <c r="D21" s="114"/>
      <c r="E21" s="114"/>
      <c r="F21" s="114"/>
      <c r="G21" s="114"/>
      <c r="H21" s="69"/>
      <c r="I21" s="263" t="s">
        <v>418</v>
      </c>
      <c r="J21" s="114"/>
      <c r="K21" s="114"/>
      <c r="L21" s="114"/>
      <c r="M21" s="114"/>
      <c r="N21" s="114"/>
    </row>
    <row r="22" spans="1:14" s="51" customFormat="1" ht="31.8" customHeight="1" thickBot="1" x14ac:dyDescent="0.35">
      <c r="A22" s="69"/>
      <c r="B22" s="263" t="s">
        <v>419</v>
      </c>
      <c r="C22" s="114"/>
      <c r="D22" s="114"/>
      <c r="E22" s="114"/>
      <c r="F22" s="114"/>
      <c r="G22" s="114"/>
      <c r="H22" s="69"/>
      <c r="I22" s="263" t="s">
        <v>420</v>
      </c>
      <c r="J22" s="114"/>
      <c r="K22" s="114"/>
      <c r="L22" s="114"/>
      <c r="M22" s="114"/>
      <c r="N22" s="114"/>
    </row>
    <row r="23" spans="1:14" s="51" customFormat="1" ht="31.8" customHeight="1" thickBot="1" x14ac:dyDescent="0.35">
      <c r="A23" s="69"/>
      <c r="B23" s="263" t="s">
        <v>421</v>
      </c>
      <c r="C23" s="114"/>
      <c r="D23" s="114"/>
      <c r="E23" s="114"/>
      <c r="F23" s="114"/>
      <c r="G23" s="114"/>
      <c r="H23" s="69"/>
      <c r="I23" s="263" t="s">
        <v>422</v>
      </c>
      <c r="J23" s="114"/>
      <c r="K23" s="114"/>
      <c r="L23" s="114"/>
      <c r="M23" s="114"/>
      <c r="N23" s="114"/>
    </row>
    <row r="24" spans="1:14" s="51" customFormat="1" ht="35.4" customHeight="1" thickBot="1" x14ac:dyDescent="0.35">
      <c r="A24" s="237" t="s">
        <v>423</v>
      </c>
      <c r="B24" s="114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</row>
    <row r="25" spans="1:14" s="51" customFormat="1" ht="30.6" customHeight="1" thickBot="1" x14ac:dyDescent="0.35">
      <c r="A25" s="69"/>
      <c r="B25" s="263" t="s">
        <v>424</v>
      </c>
      <c r="C25" s="114"/>
      <c r="D25" s="114"/>
      <c r="E25" s="114"/>
      <c r="F25" s="114"/>
      <c r="G25" s="114"/>
      <c r="H25" s="69"/>
      <c r="I25" s="263" t="s">
        <v>425</v>
      </c>
      <c r="J25" s="114"/>
      <c r="K25" s="114"/>
      <c r="L25" s="114"/>
      <c r="M25" s="114"/>
      <c r="N25" s="114"/>
    </row>
    <row r="26" spans="1:14" s="51" customFormat="1" ht="30.6" customHeight="1" thickBot="1" x14ac:dyDescent="0.35">
      <c r="A26" s="69"/>
      <c r="B26" s="263" t="s">
        <v>426</v>
      </c>
      <c r="C26" s="114"/>
      <c r="D26" s="114"/>
      <c r="E26" s="114"/>
      <c r="F26" s="114"/>
      <c r="G26" s="114"/>
      <c r="H26" s="69"/>
      <c r="I26" s="263" t="s">
        <v>427</v>
      </c>
      <c r="J26" s="114"/>
      <c r="K26" s="114"/>
      <c r="L26" s="114"/>
      <c r="M26" s="114"/>
      <c r="N26" s="114"/>
    </row>
    <row r="27" spans="1:14" s="51" customFormat="1" ht="30.6" customHeight="1" thickBot="1" x14ac:dyDescent="0.35">
      <c r="A27" s="69"/>
      <c r="B27" s="263" t="s">
        <v>428</v>
      </c>
      <c r="C27" s="114"/>
      <c r="D27" s="114"/>
      <c r="E27" s="114"/>
      <c r="F27" s="114"/>
      <c r="G27" s="114"/>
      <c r="H27" s="69"/>
      <c r="I27" s="263" t="s">
        <v>429</v>
      </c>
      <c r="J27" s="114"/>
      <c r="K27" s="114"/>
      <c r="L27" s="114"/>
      <c r="M27" s="114"/>
      <c r="N27" s="114"/>
    </row>
    <row r="28" spans="1:14" s="51" customFormat="1" ht="30.6" customHeight="1" thickBot="1" x14ac:dyDescent="0.35">
      <c r="A28" s="69"/>
      <c r="B28" s="263" t="s">
        <v>430</v>
      </c>
      <c r="C28" s="114"/>
      <c r="D28" s="114"/>
      <c r="E28" s="114"/>
      <c r="F28" s="114"/>
      <c r="G28" s="114"/>
      <c r="H28" s="69"/>
      <c r="I28" s="263" t="s">
        <v>431</v>
      </c>
      <c r="J28" s="114"/>
      <c r="K28" s="114"/>
      <c r="L28" s="114"/>
      <c r="M28" s="114"/>
      <c r="N28" s="114"/>
    </row>
    <row r="29" spans="1:14" s="51" customFormat="1" ht="30.6" customHeight="1" thickBot="1" x14ac:dyDescent="0.35">
      <c r="A29" s="69"/>
      <c r="B29" s="263" t="s">
        <v>432</v>
      </c>
      <c r="C29" s="114"/>
      <c r="D29" s="114"/>
      <c r="E29" s="114"/>
      <c r="F29" s="114"/>
      <c r="G29" s="114"/>
      <c r="H29" s="69"/>
      <c r="I29" s="263" t="s">
        <v>194</v>
      </c>
      <c r="J29" s="114"/>
      <c r="K29" s="114"/>
      <c r="L29" s="114"/>
      <c r="M29" s="114"/>
      <c r="N29" s="114"/>
    </row>
    <row r="30" spans="1:14" s="51" customFormat="1" ht="35.4" customHeight="1" thickBot="1" x14ac:dyDescent="0.35">
      <c r="A30" s="237" t="s">
        <v>433</v>
      </c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</row>
    <row r="31" spans="1:14" s="51" customFormat="1" ht="35.4" customHeight="1" thickBot="1" x14ac:dyDescent="0.35">
      <c r="A31" s="69"/>
      <c r="B31" s="263" t="s">
        <v>168</v>
      </c>
      <c r="C31" s="114"/>
      <c r="D31" s="69"/>
      <c r="E31" s="263" t="s">
        <v>434</v>
      </c>
      <c r="F31" s="114"/>
      <c r="G31" s="114"/>
      <c r="H31" s="69"/>
      <c r="I31" s="263" t="s">
        <v>171</v>
      </c>
      <c r="J31" s="114"/>
      <c r="K31" s="69"/>
      <c r="L31" s="263" t="s">
        <v>223</v>
      </c>
      <c r="M31" s="114"/>
      <c r="N31" s="114"/>
    </row>
    <row r="32" spans="1:14" s="51" customFormat="1" ht="15.6" customHeight="1" x14ac:dyDescent="0.3"/>
    <row r="33" spans="1:14" s="50" customFormat="1" ht="19.5" customHeight="1" thickBot="1" x14ac:dyDescent="0.35">
      <c r="A33" s="244" t="s">
        <v>435</v>
      </c>
      <c r="B33" s="245"/>
      <c r="C33" s="245"/>
      <c r="D33" s="245"/>
      <c r="E33" s="245"/>
      <c r="F33" s="245"/>
      <c r="G33" s="245"/>
      <c r="H33" s="245"/>
      <c r="I33" s="245"/>
      <c r="J33" s="245"/>
      <c r="K33" s="245"/>
      <c r="L33" s="245"/>
      <c r="M33" s="245"/>
      <c r="N33" s="245"/>
    </row>
    <row r="34" spans="1:14" s="50" customFormat="1" ht="38.4" customHeight="1" thickBot="1" x14ac:dyDescent="0.35">
      <c r="A34" s="69" t="s">
        <v>299</v>
      </c>
      <c r="B34" s="277" t="s">
        <v>436</v>
      </c>
      <c r="C34" s="121"/>
      <c r="D34" s="70" t="s">
        <v>13</v>
      </c>
      <c r="E34" s="265" t="s">
        <v>437</v>
      </c>
      <c r="F34" s="266"/>
      <c r="G34" s="265" t="s">
        <v>438</v>
      </c>
      <c r="H34" s="266"/>
      <c r="I34" s="277" t="s">
        <v>19</v>
      </c>
      <c r="J34" s="121"/>
      <c r="K34" s="70" t="s">
        <v>439</v>
      </c>
      <c r="L34" s="70" t="s">
        <v>14</v>
      </c>
      <c r="M34" s="277" t="s">
        <v>440</v>
      </c>
      <c r="N34" s="121"/>
    </row>
    <row r="35" spans="1:14" s="51" customFormat="1" ht="42" customHeight="1" x14ac:dyDescent="0.3">
      <c r="A35" s="66">
        <v>1</v>
      </c>
      <c r="B35" s="261"/>
      <c r="C35" s="121"/>
      <c r="D35" s="68"/>
      <c r="E35" s="261"/>
      <c r="F35" s="121"/>
      <c r="G35" s="261"/>
      <c r="H35" s="121"/>
      <c r="I35" s="261"/>
      <c r="J35" s="121"/>
      <c r="K35" s="68"/>
      <c r="L35" s="68"/>
      <c r="M35" s="261"/>
      <c r="N35" s="121"/>
    </row>
    <row r="36" spans="1:14" s="51" customFormat="1" ht="42" customHeight="1" x14ac:dyDescent="0.3">
      <c r="A36" s="66">
        <v>2</v>
      </c>
      <c r="B36" s="261"/>
      <c r="C36" s="121"/>
      <c r="D36" s="68"/>
      <c r="E36" s="261"/>
      <c r="F36" s="121"/>
      <c r="G36" s="261"/>
      <c r="H36" s="121"/>
      <c r="I36" s="261"/>
      <c r="J36" s="121"/>
      <c r="K36" s="68"/>
      <c r="L36" s="68"/>
      <c r="M36" s="261"/>
      <c r="N36" s="121"/>
    </row>
    <row r="37" spans="1:14" s="51" customFormat="1" ht="42" customHeight="1" x14ac:dyDescent="0.3">
      <c r="A37" s="66">
        <v>3</v>
      </c>
      <c r="B37" s="261"/>
      <c r="C37" s="121"/>
      <c r="D37" s="68"/>
      <c r="E37" s="261"/>
      <c r="F37" s="121"/>
      <c r="G37" s="261"/>
      <c r="H37" s="121"/>
      <c r="I37" s="261"/>
      <c r="J37" s="121"/>
      <c r="K37" s="68"/>
      <c r="L37" s="68"/>
      <c r="M37" s="261"/>
      <c r="N37" s="121"/>
    </row>
    <row r="38" spans="1:14" s="51" customFormat="1" ht="42" customHeight="1" x14ac:dyDescent="0.3">
      <c r="A38" s="66">
        <v>4</v>
      </c>
      <c r="B38" s="261"/>
      <c r="C38" s="121"/>
      <c r="D38" s="68"/>
      <c r="E38" s="261"/>
      <c r="F38" s="121"/>
      <c r="G38" s="261"/>
      <c r="H38" s="121"/>
      <c r="I38" s="261"/>
      <c r="J38" s="121"/>
      <c r="K38" s="68"/>
      <c r="L38" s="68"/>
      <c r="M38" s="261"/>
      <c r="N38" s="121"/>
    </row>
    <row r="39" spans="1:14" s="51" customFormat="1" ht="42" customHeight="1" x14ac:dyDescent="0.3">
      <c r="A39" s="66">
        <v>5</v>
      </c>
      <c r="B39" s="261"/>
      <c r="C39" s="121"/>
      <c r="D39" s="68"/>
      <c r="E39" s="261"/>
      <c r="F39" s="121"/>
      <c r="G39" s="261"/>
      <c r="H39" s="121"/>
      <c r="I39" s="261"/>
      <c r="J39" s="121"/>
      <c r="K39" s="68"/>
      <c r="L39" s="68"/>
      <c r="M39" s="261"/>
      <c r="N39" s="121"/>
    </row>
    <row r="40" spans="1:14" s="51" customFormat="1" ht="42" customHeight="1" x14ac:dyDescent="0.3">
      <c r="A40" s="66">
        <v>6</v>
      </c>
      <c r="B40" s="261"/>
      <c r="C40" s="121"/>
      <c r="D40" s="68"/>
      <c r="E40" s="261"/>
      <c r="F40" s="121"/>
      <c r="G40" s="261"/>
      <c r="H40" s="121"/>
      <c r="I40" s="261"/>
      <c r="J40" s="121"/>
      <c r="K40" s="68"/>
      <c r="L40" s="68"/>
      <c r="M40" s="261"/>
      <c r="N40" s="121"/>
    </row>
    <row r="41" spans="1:14" s="51" customFormat="1" ht="42" customHeight="1" x14ac:dyDescent="0.3">
      <c r="A41" s="66">
        <v>7</v>
      </c>
      <c r="B41" s="261"/>
      <c r="C41" s="121"/>
      <c r="D41" s="68"/>
      <c r="E41" s="261"/>
      <c r="F41" s="121"/>
      <c r="G41" s="261"/>
      <c r="H41" s="121"/>
      <c r="I41" s="261"/>
      <c r="J41" s="121"/>
      <c r="K41" s="68"/>
      <c r="L41" s="68"/>
      <c r="M41" s="261"/>
      <c r="N41" s="121"/>
    </row>
    <row r="42" spans="1:14" s="51" customFormat="1" ht="42" customHeight="1" x14ac:dyDescent="0.3">
      <c r="A42" s="66">
        <v>8</v>
      </c>
      <c r="B42" s="261"/>
      <c r="C42" s="121"/>
      <c r="D42" s="68"/>
      <c r="E42" s="261"/>
      <c r="F42" s="121"/>
      <c r="G42" s="261"/>
      <c r="H42" s="121"/>
      <c r="I42" s="261"/>
      <c r="J42" s="121"/>
      <c r="K42" s="68"/>
      <c r="L42" s="68"/>
      <c r="M42" s="261"/>
      <c r="N42" s="121"/>
    </row>
    <row r="43" spans="1:14" s="51" customFormat="1" ht="42" customHeight="1" x14ac:dyDescent="0.3">
      <c r="A43" s="66">
        <v>9</v>
      </c>
      <c r="B43" s="261"/>
      <c r="C43" s="121"/>
      <c r="D43" s="68"/>
      <c r="E43" s="261"/>
      <c r="F43" s="121"/>
      <c r="G43" s="261"/>
      <c r="H43" s="121"/>
      <c r="I43" s="261"/>
      <c r="J43" s="121"/>
      <c r="K43" s="68"/>
      <c r="L43" s="68"/>
      <c r="M43" s="261"/>
      <c r="N43" s="121"/>
    </row>
    <row r="44" spans="1:14" s="51" customFormat="1" ht="42" customHeight="1" x14ac:dyDescent="0.3">
      <c r="A44" s="66">
        <v>10</v>
      </c>
      <c r="B44" s="261"/>
      <c r="C44" s="121"/>
      <c r="D44" s="68"/>
      <c r="E44" s="261"/>
      <c r="F44" s="121"/>
      <c r="G44" s="261"/>
      <c r="H44" s="121"/>
      <c r="I44" s="261"/>
      <c r="J44" s="121"/>
      <c r="K44" s="68"/>
      <c r="L44" s="68"/>
      <c r="M44" s="261"/>
      <c r="N44" s="121"/>
    </row>
    <row r="45" spans="1:14" s="51" customFormat="1" ht="42" customHeight="1" x14ac:dyDescent="0.3">
      <c r="A45" s="66">
        <v>11</v>
      </c>
      <c r="B45" s="261"/>
      <c r="C45" s="121"/>
      <c r="D45" s="68"/>
      <c r="E45" s="261"/>
      <c r="F45" s="121"/>
      <c r="G45" s="261"/>
      <c r="H45" s="121"/>
      <c r="I45" s="261"/>
      <c r="J45" s="121"/>
      <c r="K45" s="68"/>
      <c r="L45" s="68"/>
      <c r="M45" s="261"/>
      <c r="N45" s="121"/>
    </row>
    <row r="46" spans="1:14" s="51" customFormat="1" ht="42" customHeight="1" x14ac:dyDescent="0.3">
      <c r="A46" s="66">
        <v>12</v>
      </c>
      <c r="B46" s="261"/>
      <c r="C46" s="121"/>
      <c r="D46" s="68"/>
      <c r="E46" s="261"/>
      <c r="F46" s="121"/>
      <c r="G46" s="261"/>
      <c r="H46" s="121"/>
      <c r="I46" s="261"/>
      <c r="J46" s="121"/>
      <c r="K46" s="68"/>
      <c r="L46" s="68"/>
      <c r="M46" s="261"/>
      <c r="N46" s="121"/>
    </row>
    <row r="47" spans="1:14" s="51" customFormat="1" ht="42" customHeight="1" x14ac:dyDescent="0.3">
      <c r="A47" s="66">
        <v>13</v>
      </c>
      <c r="B47" s="261"/>
      <c r="C47" s="121"/>
      <c r="D47" s="68"/>
      <c r="E47" s="261"/>
      <c r="F47" s="121"/>
      <c r="G47" s="261"/>
      <c r="H47" s="121"/>
      <c r="I47" s="261"/>
      <c r="J47" s="121"/>
      <c r="K47" s="68"/>
      <c r="L47" s="68"/>
      <c r="M47" s="261"/>
      <c r="N47" s="121"/>
    </row>
    <row r="48" spans="1:14" s="51" customFormat="1" ht="42" customHeight="1" x14ac:dyDescent="0.3">
      <c r="A48" s="66">
        <v>14</v>
      </c>
      <c r="B48" s="261"/>
      <c r="C48" s="121"/>
      <c r="D48" s="68"/>
      <c r="E48" s="261"/>
      <c r="F48" s="121"/>
      <c r="G48" s="261"/>
      <c r="H48" s="121"/>
      <c r="I48" s="261"/>
      <c r="J48" s="121"/>
      <c r="K48" s="68"/>
      <c r="L48" s="68"/>
      <c r="M48" s="261"/>
      <c r="N48" s="121"/>
    </row>
    <row r="49" spans="1:14" s="51" customFormat="1" ht="42" customHeight="1" x14ac:dyDescent="0.3">
      <c r="A49" s="66">
        <v>15</v>
      </c>
      <c r="B49" s="261"/>
      <c r="C49" s="121"/>
      <c r="D49" s="68"/>
      <c r="E49" s="261"/>
      <c r="F49" s="121"/>
      <c r="G49" s="261"/>
      <c r="H49" s="121"/>
      <c r="I49" s="261"/>
      <c r="J49" s="121"/>
      <c r="K49" s="68"/>
      <c r="L49" s="68"/>
      <c r="M49" s="261"/>
      <c r="N49" s="121"/>
    </row>
    <row r="50" spans="1:14" s="51" customFormat="1" ht="42" customHeight="1" x14ac:dyDescent="0.3">
      <c r="A50" s="66">
        <v>16</v>
      </c>
      <c r="B50" s="261"/>
      <c r="C50" s="121"/>
      <c r="D50" s="68"/>
      <c r="E50" s="261"/>
      <c r="F50" s="121"/>
      <c r="G50" s="261"/>
      <c r="H50" s="121"/>
      <c r="I50" s="261"/>
      <c r="J50" s="121"/>
      <c r="K50" s="68"/>
      <c r="L50" s="68"/>
      <c r="M50" s="261"/>
      <c r="N50" s="121"/>
    </row>
    <row r="51" spans="1:14" s="51" customFormat="1" ht="42" customHeight="1" x14ac:dyDescent="0.3">
      <c r="A51" s="66">
        <v>17</v>
      </c>
      <c r="B51" s="261"/>
      <c r="C51" s="121"/>
      <c r="D51" s="68"/>
      <c r="E51" s="261"/>
      <c r="F51" s="121"/>
      <c r="G51" s="261"/>
      <c r="H51" s="121"/>
      <c r="I51" s="261"/>
      <c r="J51" s="121"/>
      <c r="K51" s="68"/>
      <c r="L51" s="68"/>
      <c r="M51" s="261"/>
      <c r="N51" s="121"/>
    </row>
    <row r="52" spans="1:14" s="51" customFormat="1" ht="42" customHeight="1" x14ac:dyDescent="0.3">
      <c r="A52" s="66">
        <v>18</v>
      </c>
      <c r="B52" s="261"/>
      <c r="C52" s="121"/>
      <c r="D52" s="68"/>
      <c r="E52" s="261"/>
      <c r="F52" s="121"/>
      <c r="G52" s="261"/>
      <c r="H52" s="121"/>
      <c r="I52" s="261"/>
      <c r="J52" s="121"/>
      <c r="K52" s="68"/>
      <c r="L52" s="68"/>
      <c r="M52" s="261"/>
      <c r="N52" s="121"/>
    </row>
    <row r="53" spans="1:14" s="51" customFormat="1" ht="42" customHeight="1" x14ac:dyDescent="0.3">
      <c r="A53" s="66">
        <v>19</v>
      </c>
      <c r="B53" s="261"/>
      <c r="C53" s="121"/>
      <c r="D53" s="68"/>
      <c r="E53" s="261"/>
      <c r="F53" s="121"/>
      <c r="G53" s="261"/>
      <c r="H53" s="121"/>
      <c r="I53" s="261"/>
      <c r="J53" s="121"/>
      <c r="K53" s="68"/>
      <c r="L53" s="68"/>
      <c r="M53" s="261"/>
      <c r="N53" s="121"/>
    </row>
    <row r="54" spans="1:14" s="51" customFormat="1" ht="42" customHeight="1" x14ac:dyDescent="0.3">
      <c r="A54" s="66">
        <v>20</v>
      </c>
      <c r="B54" s="261"/>
      <c r="C54" s="121"/>
      <c r="D54" s="68"/>
      <c r="E54" s="261"/>
      <c r="F54" s="121"/>
      <c r="G54" s="261"/>
      <c r="H54" s="121"/>
      <c r="I54" s="261"/>
      <c r="J54" s="121"/>
      <c r="K54" s="68"/>
      <c r="L54" s="68"/>
      <c r="M54" s="261"/>
      <c r="N54" s="121"/>
    </row>
    <row r="55" spans="1:14" s="51" customFormat="1" ht="15.6" customHeight="1" x14ac:dyDescent="0.3"/>
    <row r="56" spans="1:14" s="50" customFormat="1" ht="19.5" customHeight="1" x14ac:dyDescent="0.3">
      <c r="A56" s="244" t="s">
        <v>441</v>
      </c>
      <c r="B56" s="245"/>
      <c r="C56" s="245"/>
      <c r="D56" s="245"/>
      <c r="E56" s="245"/>
      <c r="F56" s="245"/>
      <c r="G56" s="245"/>
      <c r="H56" s="245"/>
      <c r="I56" s="245"/>
      <c r="J56" s="245"/>
      <c r="K56" s="245"/>
      <c r="L56" s="245"/>
      <c r="M56" s="245"/>
      <c r="N56" s="245"/>
    </row>
    <row r="57" spans="1:14" s="50" customFormat="1" ht="25.5" customHeight="1" x14ac:dyDescent="0.3">
      <c r="A57" s="57" t="s">
        <v>299</v>
      </c>
      <c r="B57" s="57" t="s">
        <v>442</v>
      </c>
      <c r="C57" s="249" t="s">
        <v>443</v>
      </c>
      <c r="D57" s="128"/>
      <c r="E57" s="128"/>
      <c r="F57" s="128"/>
      <c r="G57" s="121"/>
      <c r="H57" s="249" t="s">
        <v>444</v>
      </c>
      <c r="I57" s="128"/>
      <c r="J57" s="121"/>
      <c r="K57" s="249" t="s">
        <v>445</v>
      </c>
      <c r="L57" s="128"/>
      <c r="M57" s="128"/>
      <c r="N57" s="121"/>
    </row>
    <row r="58" spans="1:14" s="51" customFormat="1" ht="40.049999999999997" customHeight="1" x14ac:dyDescent="0.3">
      <c r="A58" s="66">
        <v>1</v>
      </c>
      <c r="B58" s="67"/>
      <c r="C58" s="261"/>
      <c r="D58" s="128"/>
      <c r="E58" s="128"/>
      <c r="F58" s="128"/>
      <c r="G58" s="121"/>
      <c r="H58" s="261"/>
      <c r="I58" s="128"/>
      <c r="J58" s="121"/>
      <c r="K58" s="261"/>
      <c r="L58" s="128"/>
      <c r="M58" s="128"/>
      <c r="N58" s="121"/>
    </row>
    <row r="59" spans="1:14" s="51" customFormat="1" ht="40.049999999999997" customHeight="1" x14ac:dyDescent="0.3">
      <c r="A59" s="66">
        <v>2</v>
      </c>
      <c r="B59" s="67"/>
      <c r="C59" s="261"/>
      <c r="D59" s="128"/>
      <c r="E59" s="128"/>
      <c r="F59" s="128"/>
      <c r="G59" s="121"/>
      <c r="H59" s="261"/>
      <c r="I59" s="128"/>
      <c r="J59" s="121"/>
      <c r="K59" s="261"/>
      <c r="L59" s="128"/>
      <c r="M59" s="128"/>
      <c r="N59" s="121"/>
    </row>
    <row r="60" spans="1:14" s="51" customFormat="1" ht="40.049999999999997" customHeight="1" x14ac:dyDescent="0.3">
      <c r="A60" s="66">
        <v>3</v>
      </c>
      <c r="B60" s="67"/>
      <c r="C60" s="261"/>
      <c r="D60" s="128"/>
      <c r="E60" s="128"/>
      <c r="F60" s="128"/>
      <c r="G60" s="121"/>
      <c r="H60" s="261"/>
      <c r="I60" s="128"/>
      <c r="J60" s="121"/>
      <c r="K60" s="261"/>
      <c r="L60" s="128"/>
      <c r="M60" s="128"/>
      <c r="N60" s="121"/>
    </row>
    <row r="61" spans="1:14" s="51" customFormat="1" ht="40.049999999999997" customHeight="1" x14ac:dyDescent="0.3">
      <c r="A61" s="66">
        <v>4</v>
      </c>
      <c r="B61" s="67"/>
      <c r="C61" s="261"/>
      <c r="D61" s="128"/>
      <c r="E61" s="128"/>
      <c r="F61" s="128"/>
      <c r="G61" s="121"/>
      <c r="H61" s="261"/>
      <c r="I61" s="128"/>
      <c r="J61" s="121"/>
      <c r="K61" s="261"/>
      <c r="L61" s="128"/>
      <c r="M61" s="128"/>
      <c r="N61" s="121"/>
    </row>
    <row r="62" spans="1:14" s="51" customFormat="1" ht="40.049999999999997" customHeight="1" x14ac:dyDescent="0.3">
      <c r="A62" s="66">
        <v>5</v>
      </c>
      <c r="B62" s="67"/>
      <c r="C62" s="261"/>
      <c r="D62" s="128"/>
      <c r="E62" s="128"/>
      <c r="F62" s="128"/>
      <c r="G62" s="121"/>
      <c r="H62" s="261"/>
      <c r="I62" s="128"/>
      <c r="J62" s="121"/>
      <c r="K62" s="261"/>
      <c r="L62" s="128"/>
      <c r="M62" s="128"/>
      <c r="N62" s="121"/>
    </row>
    <row r="63" spans="1:14" s="51" customFormat="1" ht="15.6" customHeight="1" x14ac:dyDescent="0.3"/>
    <row r="64" spans="1:14" s="50" customFormat="1" ht="19.5" customHeight="1" x14ac:dyDescent="0.3">
      <c r="A64" s="244" t="s">
        <v>446</v>
      </c>
      <c r="B64" s="245"/>
      <c r="C64" s="245"/>
      <c r="D64" s="245"/>
      <c r="E64" s="245"/>
      <c r="F64" s="245"/>
      <c r="G64" s="245"/>
      <c r="H64" s="245"/>
      <c r="I64" s="245"/>
      <c r="J64" s="245"/>
      <c r="K64" s="245"/>
      <c r="L64" s="245"/>
      <c r="M64" s="245"/>
      <c r="N64" s="245"/>
    </row>
    <row r="65" spans="1:14" s="50" customFormat="1" ht="25.5" customHeight="1" x14ac:dyDescent="0.3">
      <c r="A65" s="57" t="s">
        <v>299</v>
      </c>
      <c r="B65" s="249" t="s">
        <v>447</v>
      </c>
      <c r="C65" s="128"/>
      <c r="D65" s="128"/>
      <c r="E65" s="128"/>
      <c r="F65" s="121"/>
      <c r="G65" s="249" t="s">
        <v>444</v>
      </c>
      <c r="H65" s="128"/>
      <c r="I65" s="121"/>
      <c r="J65" s="249" t="s">
        <v>448</v>
      </c>
      <c r="K65" s="121"/>
      <c r="L65" s="249" t="s">
        <v>449</v>
      </c>
      <c r="M65" s="128"/>
      <c r="N65" s="121"/>
    </row>
    <row r="66" spans="1:14" s="51" customFormat="1" ht="40.049999999999997" customHeight="1" x14ac:dyDescent="0.3">
      <c r="A66" s="66">
        <v>1</v>
      </c>
      <c r="B66" s="261"/>
      <c r="C66" s="128"/>
      <c r="D66" s="128"/>
      <c r="E66" s="128"/>
      <c r="F66" s="121"/>
      <c r="G66" s="261"/>
      <c r="H66" s="128"/>
      <c r="I66" s="121"/>
      <c r="J66" s="261"/>
      <c r="K66" s="121"/>
      <c r="L66" s="261"/>
      <c r="M66" s="128"/>
      <c r="N66" s="121"/>
    </row>
    <row r="67" spans="1:14" s="51" customFormat="1" ht="40.049999999999997" customHeight="1" x14ac:dyDescent="0.3">
      <c r="A67" s="66">
        <v>2</v>
      </c>
      <c r="B67" s="261"/>
      <c r="C67" s="128"/>
      <c r="D67" s="128"/>
      <c r="E67" s="128"/>
      <c r="F67" s="121"/>
      <c r="G67" s="261"/>
      <c r="H67" s="128"/>
      <c r="I67" s="121"/>
      <c r="J67" s="261"/>
      <c r="K67" s="121"/>
      <c r="L67" s="261"/>
      <c r="M67" s="128"/>
      <c r="N67" s="121"/>
    </row>
    <row r="68" spans="1:14" s="51" customFormat="1" ht="40.049999999999997" customHeight="1" x14ac:dyDescent="0.3">
      <c r="A68" s="66">
        <v>3</v>
      </c>
      <c r="B68" s="261"/>
      <c r="C68" s="128"/>
      <c r="D68" s="128"/>
      <c r="E68" s="128"/>
      <c r="F68" s="121"/>
      <c r="G68" s="261"/>
      <c r="H68" s="128"/>
      <c r="I68" s="121"/>
      <c r="J68" s="261"/>
      <c r="K68" s="121"/>
      <c r="L68" s="261"/>
      <c r="M68" s="128"/>
      <c r="N68" s="121"/>
    </row>
    <row r="69" spans="1:14" s="51" customFormat="1" ht="40.049999999999997" customHeight="1" x14ac:dyDescent="0.3">
      <c r="A69" s="66">
        <v>4</v>
      </c>
      <c r="B69" s="261"/>
      <c r="C69" s="128"/>
      <c r="D69" s="128"/>
      <c r="E69" s="128"/>
      <c r="F69" s="121"/>
      <c r="G69" s="261"/>
      <c r="H69" s="128"/>
      <c r="I69" s="121"/>
      <c r="J69" s="261"/>
      <c r="K69" s="121"/>
      <c r="L69" s="261"/>
      <c r="M69" s="128"/>
      <c r="N69" s="121"/>
    </row>
    <row r="70" spans="1:14" s="51" customFormat="1" ht="40.049999999999997" customHeight="1" x14ac:dyDescent="0.3">
      <c r="A70" s="66">
        <v>5</v>
      </c>
      <c r="B70" s="261"/>
      <c r="C70" s="128"/>
      <c r="D70" s="128"/>
      <c r="E70" s="128"/>
      <c r="F70" s="121"/>
      <c r="G70" s="261"/>
      <c r="H70" s="128"/>
      <c r="I70" s="121"/>
      <c r="J70" s="261"/>
      <c r="K70" s="121"/>
      <c r="L70" s="261"/>
      <c r="M70" s="128"/>
      <c r="N70" s="121"/>
    </row>
    <row r="71" spans="1:14" s="51" customFormat="1" ht="15.6" customHeight="1" x14ac:dyDescent="0.3"/>
    <row r="72" spans="1:14" s="51" customFormat="1" ht="15.6" customHeight="1" x14ac:dyDescent="0.3"/>
    <row r="73" spans="1:14" s="50" customFormat="1" ht="19.5" customHeight="1" x14ac:dyDescent="0.3">
      <c r="A73" s="250" t="s">
        <v>450</v>
      </c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5"/>
      <c r="N73" s="245"/>
    </row>
    <row r="74" spans="1:14" s="51" customFormat="1" ht="30" customHeight="1" x14ac:dyDescent="0.3">
      <c r="A74" s="238" t="s">
        <v>451</v>
      </c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4"/>
      <c r="N74" s="114"/>
    </row>
    <row r="75" spans="1:14" s="51" customFormat="1" ht="15.6" customHeight="1" x14ac:dyDescent="0.3"/>
    <row r="76" spans="1:14" s="51" customFormat="1" ht="15.6" customHeight="1" x14ac:dyDescent="0.3"/>
    <row r="77" spans="1:14" s="51" customFormat="1" ht="15.6" customHeight="1" x14ac:dyDescent="0.3"/>
    <row r="78" spans="1:14" s="51" customFormat="1" ht="15.6" customHeight="1" x14ac:dyDescent="0.3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</row>
    <row r="79" spans="1:14" s="51" customFormat="1" ht="15.6" customHeight="1" x14ac:dyDescent="0.3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</row>
    <row r="80" spans="1:14" ht="15" customHeight="1" x14ac:dyDescent="0.3">
      <c r="A80" s="262" t="s">
        <v>56</v>
      </c>
      <c r="B80" s="118"/>
      <c r="C80" s="118"/>
      <c r="D80" s="118"/>
      <c r="E80" s="118"/>
      <c r="F80" s="118"/>
      <c r="G80" s="55"/>
      <c r="H80" s="262" t="s">
        <v>56</v>
      </c>
      <c r="I80" s="118"/>
      <c r="J80" s="118"/>
      <c r="K80" s="118"/>
      <c r="L80" s="118"/>
      <c r="M80" s="118"/>
      <c r="N80" s="118"/>
    </row>
    <row r="81" spans="1:14" ht="27.75" customHeight="1" x14ac:dyDescent="0.3">
      <c r="A81" s="267" t="s">
        <v>452</v>
      </c>
      <c r="B81" s="118"/>
      <c r="C81" s="118"/>
      <c r="D81" s="118"/>
      <c r="E81" s="118"/>
      <c r="F81" s="118"/>
      <c r="G81" s="55"/>
      <c r="H81" s="267" t="s">
        <v>453</v>
      </c>
      <c r="I81" s="118"/>
      <c r="J81" s="118"/>
      <c r="K81" s="118"/>
      <c r="L81" s="118"/>
      <c r="M81" s="118"/>
      <c r="N81" s="118"/>
    </row>
    <row r="82" spans="1:14" x14ac:dyDescent="0.3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</row>
    <row r="83" spans="1:14" x14ac:dyDescent="0.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</row>
  </sheetData>
  <mergeCells count="223">
    <mergeCell ref="J8:K8"/>
    <mergeCell ref="I40:J40"/>
    <mergeCell ref="E47:F47"/>
    <mergeCell ref="A11:C11"/>
    <mergeCell ref="I38:J38"/>
    <mergeCell ref="I27:N27"/>
    <mergeCell ref="G47:H47"/>
    <mergeCell ref="G67:I67"/>
    <mergeCell ref="K59:N59"/>
    <mergeCell ref="B36:C36"/>
    <mergeCell ref="E37:F37"/>
    <mergeCell ref="A19:N19"/>
    <mergeCell ref="G46:H46"/>
    <mergeCell ref="B50:C50"/>
    <mergeCell ref="I31:J31"/>
    <mergeCell ref="G40:H40"/>
    <mergeCell ref="A74:N74"/>
    <mergeCell ref="J70:K70"/>
    <mergeCell ref="A56:N56"/>
    <mergeCell ref="B20:G20"/>
    <mergeCell ref="H62:J62"/>
    <mergeCell ref="B69:F69"/>
    <mergeCell ref="M46:N46"/>
    <mergeCell ref="L70:N70"/>
    <mergeCell ref="M42:N42"/>
    <mergeCell ref="E45:F45"/>
    <mergeCell ref="K60:N60"/>
    <mergeCell ref="A33:N33"/>
    <mergeCell ref="G45:H45"/>
    <mergeCell ref="I39:J39"/>
    <mergeCell ref="I48:J48"/>
    <mergeCell ref="H81:N81"/>
    <mergeCell ref="L68:N68"/>
    <mergeCell ref="E43:F43"/>
    <mergeCell ref="I34:J34"/>
    <mergeCell ref="G43:H43"/>
    <mergeCell ref="D13:F13"/>
    <mergeCell ref="B47:C47"/>
    <mergeCell ref="J67:K67"/>
    <mergeCell ref="G52:H52"/>
    <mergeCell ref="C62:G62"/>
    <mergeCell ref="A80:F80"/>
    <mergeCell ref="A64:N64"/>
    <mergeCell ref="B46:C46"/>
    <mergeCell ref="E42:F42"/>
    <mergeCell ref="I49:J49"/>
    <mergeCell ref="G36:H36"/>
    <mergeCell ref="B66:F66"/>
    <mergeCell ref="A73:N73"/>
    <mergeCell ref="I36:J36"/>
    <mergeCell ref="J69:K69"/>
    <mergeCell ref="K57:N57"/>
    <mergeCell ref="B39:C39"/>
    <mergeCell ref="E35:F35"/>
    <mergeCell ref="B48:C48"/>
    <mergeCell ref="A2:N2"/>
    <mergeCell ref="B26:G26"/>
    <mergeCell ref="L17:N17"/>
    <mergeCell ref="J66:K66"/>
    <mergeCell ref="B65:F65"/>
    <mergeCell ref="G51:H51"/>
    <mergeCell ref="D12:N12"/>
    <mergeCell ref="I51:J51"/>
    <mergeCell ref="E54:F54"/>
    <mergeCell ref="G54:H54"/>
    <mergeCell ref="L66:N66"/>
    <mergeCell ref="M38:N38"/>
    <mergeCell ref="E41:F41"/>
    <mergeCell ref="G41:H41"/>
    <mergeCell ref="B45:C45"/>
    <mergeCell ref="H16:K16"/>
    <mergeCell ref="G50:H50"/>
    <mergeCell ref="I50:J50"/>
    <mergeCell ref="B28:G28"/>
    <mergeCell ref="L31:N31"/>
    <mergeCell ref="G53:H53"/>
    <mergeCell ref="I53:J53"/>
    <mergeCell ref="D18:N18"/>
    <mergeCell ref="L16:N16"/>
    <mergeCell ref="A4:N4"/>
    <mergeCell ref="H17:K17"/>
    <mergeCell ref="B27:G27"/>
    <mergeCell ref="G8:I8"/>
    <mergeCell ref="E17:G17"/>
    <mergeCell ref="H7:N7"/>
    <mergeCell ref="M53:N53"/>
    <mergeCell ref="H59:J59"/>
    <mergeCell ref="E50:F50"/>
    <mergeCell ref="B54:C54"/>
    <mergeCell ref="M34:N34"/>
    <mergeCell ref="A24:N24"/>
    <mergeCell ref="G42:H42"/>
    <mergeCell ref="A18:C18"/>
    <mergeCell ref="M52:N52"/>
    <mergeCell ref="I45:J45"/>
    <mergeCell ref="M49:N49"/>
    <mergeCell ref="E52:F52"/>
    <mergeCell ref="M39:N39"/>
    <mergeCell ref="E39:F39"/>
    <mergeCell ref="B29:G29"/>
    <mergeCell ref="M48:N48"/>
    <mergeCell ref="F7:G7"/>
    <mergeCell ref="G39:H39"/>
    <mergeCell ref="A5:N5"/>
    <mergeCell ref="C61:G61"/>
    <mergeCell ref="A8:B8"/>
    <mergeCell ref="A14:N14"/>
    <mergeCell ref="C8:D8"/>
    <mergeCell ref="B25:G25"/>
    <mergeCell ref="G35:H35"/>
    <mergeCell ref="B68:F68"/>
    <mergeCell ref="L67:N67"/>
    <mergeCell ref="I35:J35"/>
    <mergeCell ref="G66:I66"/>
    <mergeCell ref="H61:J61"/>
    <mergeCell ref="G68:I68"/>
    <mergeCell ref="B43:C43"/>
    <mergeCell ref="E44:F44"/>
    <mergeCell ref="B52:C52"/>
    <mergeCell ref="A6:N6"/>
    <mergeCell ref="I47:J47"/>
    <mergeCell ref="B42:C42"/>
    <mergeCell ref="G37:H37"/>
    <mergeCell ref="I37:J37"/>
    <mergeCell ref="J65:K65"/>
    <mergeCell ref="G13:H13"/>
    <mergeCell ref="M40:N40"/>
    <mergeCell ref="L8:N8"/>
    <mergeCell ref="A12:C12"/>
    <mergeCell ref="H15:K15"/>
    <mergeCell ref="E48:F48"/>
    <mergeCell ref="G48:H48"/>
    <mergeCell ref="A1:N1"/>
    <mergeCell ref="B70:F70"/>
    <mergeCell ref="E38:F38"/>
    <mergeCell ref="M51:N51"/>
    <mergeCell ref="G38:H38"/>
    <mergeCell ref="I54:J54"/>
    <mergeCell ref="H57:J57"/>
    <mergeCell ref="I41:J41"/>
    <mergeCell ref="D11:N11"/>
    <mergeCell ref="E40:F40"/>
    <mergeCell ref="I20:N20"/>
    <mergeCell ref="B53:C53"/>
    <mergeCell ref="M13:N13"/>
    <mergeCell ref="I29:N29"/>
    <mergeCell ref="G49:H49"/>
    <mergeCell ref="I43:J43"/>
    <mergeCell ref="C59:G59"/>
    <mergeCell ref="A3:N3"/>
    <mergeCell ref="A13:C13"/>
    <mergeCell ref="A81:F81"/>
    <mergeCell ref="G34:H34"/>
    <mergeCell ref="B38:C38"/>
    <mergeCell ref="I42:J42"/>
    <mergeCell ref="C60:G60"/>
    <mergeCell ref="E49:F49"/>
    <mergeCell ref="M36:N36"/>
    <mergeCell ref="E36:F36"/>
    <mergeCell ref="M45:N45"/>
    <mergeCell ref="B40:C40"/>
    <mergeCell ref="I52:J52"/>
    <mergeCell ref="B49:C49"/>
    <mergeCell ref="I44:J44"/>
    <mergeCell ref="M47:N47"/>
    <mergeCell ref="K58:N58"/>
    <mergeCell ref="B51:C51"/>
    <mergeCell ref="C57:G57"/>
    <mergeCell ref="H58:J58"/>
    <mergeCell ref="M50:N50"/>
    <mergeCell ref="G44:H44"/>
    <mergeCell ref="B41:C41"/>
    <mergeCell ref="E53:F53"/>
    <mergeCell ref="B35:C35"/>
    <mergeCell ref="H60:J60"/>
    <mergeCell ref="E15:G15"/>
    <mergeCell ref="E8:F8"/>
    <mergeCell ref="I21:N21"/>
    <mergeCell ref="E51:F51"/>
    <mergeCell ref="K62:N62"/>
    <mergeCell ref="M35:N35"/>
    <mergeCell ref="J68:K68"/>
    <mergeCell ref="A7:B7"/>
    <mergeCell ref="G65:I65"/>
    <mergeCell ref="M54:N54"/>
    <mergeCell ref="A15:D15"/>
    <mergeCell ref="I23:N23"/>
    <mergeCell ref="C7:E7"/>
    <mergeCell ref="E16:G16"/>
    <mergeCell ref="E34:F34"/>
    <mergeCell ref="A16:D16"/>
    <mergeCell ref="B22:G22"/>
    <mergeCell ref="I26:N26"/>
    <mergeCell ref="I13:J13"/>
    <mergeCell ref="A10:N10"/>
    <mergeCell ref="K13:L13"/>
    <mergeCell ref="B21:G21"/>
    <mergeCell ref="L15:N15"/>
    <mergeCell ref="A17:D17"/>
    <mergeCell ref="K61:N61"/>
    <mergeCell ref="H80:N80"/>
    <mergeCell ref="M43:N43"/>
    <mergeCell ref="I22:N22"/>
    <mergeCell ref="I28:N28"/>
    <mergeCell ref="A30:N30"/>
    <mergeCell ref="E31:G31"/>
    <mergeCell ref="C58:G58"/>
    <mergeCell ref="B31:C31"/>
    <mergeCell ref="L69:N69"/>
    <mergeCell ref="I25:N25"/>
    <mergeCell ref="I46:J46"/>
    <mergeCell ref="B23:G23"/>
    <mergeCell ref="M44:N44"/>
    <mergeCell ref="G69:I69"/>
    <mergeCell ref="B37:C37"/>
    <mergeCell ref="M41:N41"/>
    <mergeCell ref="B44:C44"/>
    <mergeCell ref="L65:N65"/>
    <mergeCell ref="E46:F46"/>
    <mergeCell ref="M37:N37"/>
    <mergeCell ref="B34:C34"/>
    <mergeCell ref="G70:I70"/>
    <mergeCell ref="B67:F67"/>
  </mergeCells>
  <printOptions horizontalCentered="1"/>
  <pageMargins left="0.15" right="0.15" top="0.75" bottom="0.75" header="0.511811023622047" footer="0.511811023622047"/>
  <pageSetup paperSize="9" scale="54" fitToHeight="2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3"/>
  <sheetViews>
    <sheetView topLeftCell="H1" zoomScaleNormal="100" workbookViewId="0">
      <pane ySplit="6" topLeftCell="A7" activePane="bottomLeft" state="frozen"/>
      <selection pane="bottomLeft" activeCell="T11" sqref="T11"/>
    </sheetView>
  </sheetViews>
  <sheetFormatPr baseColWidth="10" defaultColWidth="8.6640625" defaultRowHeight="14.4" x14ac:dyDescent="0.3"/>
  <cols>
    <col min="1" max="1" width="8.5546875" customWidth="1"/>
    <col min="2" max="2" width="8" customWidth="1"/>
    <col min="3" max="3" width="22" customWidth="1"/>
    <col min="4" max="5" width="8" customWidth="1"/>
    <col min="6" max="6" width="26" customWidth="1"/>
    <col min="7" max="7" width="12.33203125" customWidth="1"/>
    <col min="8" max="8" width="26" customWidth="1"/>
    <col min="9" max="9" width="6.77734375" customWidth="1"/>
    <col min="10" max="10" width="10.77734375" customWidth="1"/>
    <col min="11" max="11" width="11.109375" customWidth="1"/>
    <col min="12" max="12" width="6.44140625" customWidth="1"/>
    <col min="13" max="13" width="20" customWidth="1"/>
    <col min="14" max="14" width="10.109375" customWidth="1"/>
  </cols>
  <sheetData>
    <row r="1" spans="1:14" ht="19.5" customHeight="1" x14ac:dyDescent="0.3">
      <c r="A1" s="290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5" customHeight="1" x14ac:dyDescent="0.3">
      <c r="A2" s="297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13.5" customHeight="1" x14ac:dyDescent="0.3">
      <c r="A3" s="293" t="s">
        <v>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25.5" customHeight="1" x14ac:dyDescent="0.3">
      <c r="A4" s="295" t="s">
        <v>454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s="54" customFormat="1" ht="18.600000000000001" customHeight="1" x14ac:dyDescent="0.3">
      <c r="A5" s="129" t="s">
        <v>455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</row>
    <row r="6" spans="1:14" s="71" customFormat="1" ht="19.5" customHeight="1" x14ac:dyDescent="0.3">
      <c r="A6" s="296" t="s">
        <v>5</v>
      </c>
      <c r="B6" s="279"/>
      <c r="C6" s="279"/>
      <c r="D6" s="279"/>
      <c r="E6" s="279"/>
      <c r="F6" s="279"/>
      <c r="G6" s="279"/>
      <c r="H6" s="279"/>
      <c r="I6" s="279"/>
      <c r="J6" s="279"/>
      <c r="K6" s="279"/>
      <c r="L6" s="279"/>
      <c r="M6" s="279"/>
      <c r="N6" s="279"/>
    </row>
    <row r="7" spans="1:14" s="51" customFormat="1" ht="32.4" customHeight="1" thickBot="1" x14ac:dyDescent="0.35">
      <c r="A7" s="264" t="s">
        <v>6</v>
      </c>
      <c r="B7" s="114"/>
      <c r="C7" s="114"/>
      <c r="D7" s="238"/>
      <c r="E7" s="114"/>
      <c r="F7" s="114"/>
      <c r="G7" s="264" t="s">
        <v>7</v>
      </c>
      <c r="H7" s="114"/>
      <c r="I7" s="114"/>
      <c r="J7" s="261"/>
      <c r="K7" s="128"/>
      <c r="L7" s="128"/>
      <c r="M7" s="128"/>
      <c r="N7" s="121"/>
    </row>
    <row r="8" spans="1:14" s="51" customFormat="1" ht="27.6" customHeight="1" thickBot="1" x14ac:dyDescent="0.35">
      <c r="A8" s="264" t="s">
        <v>8</v>
      </c>
      <c r="B8" s="114"/>
      <c r="C8" s="114"/>
      <c r="D8" s="275"/>
      <c r="E8" s="276"/>
      <c r="F8" s="237" t="s">
        <v>9</v>
      </c>
      <c r="G8" s="114"/>
      <c r="H8" s="271" t="str">
        <f>IFERROR(VLOOKUP($D$8,_Datos!$A$2:$H$128,2,FALSE()),"")</f>
        <v/>
      </c>
      <c r="I8" s="114"/>
      <c r="J8" s="114"/>
      <c r="K8" s="274" t="s">
        <v>10</v>
      </c>
      <c r="L8" s="156"/>
      <c r="M8" s="287" t="str">
        <f>IFERROR(VLOOKUP($D$8,_Datos!$A$2:$H$128,4,FALSE()),"")</f>
        <v/>
      </c>
      <c r="N8" s="252"/>
    </row>
    <row r="9" spans="1:14" s="71" customFormat="1" ht="19.5" customHeight="1" x14ac:dyDescent="0.3">
      <c r="A9" s="278" t="s">
        <v>456</v>
      </c>
      <c r="B9" s="279"/>
      <c r="C9" s="279"/>
      <c r="D9" s="279"/>
      <c r="E9" s="279"/>
      <c r="F9" s="279"/>
      <c r="G9" s="279"/>
      <c r="H9" s="279"/>
      <c r="I9" s="279"/>
      <c r="J9" s="279"/>
      <c r="K9" s="279"/>
      <c r="L9" s="279"/>
      <c r="M9" s="279"/>
      <c r="N9" s="279"/>
    </row>
    <row r="10" spans="1:14" ht="35.4" customHeight="1" x14ac:dyDescent="0.3">
      <c r="A10" s="289" t="s">
        <v>457</v>
      </c>
      <c r="B10" s="114"/>
      <c r="C10" s="114"/>
      <c r="D10" s="114"/>
      <c r="E10" s="114"/>
      <c r="F10" s="114"/>
      <c r="G10" s="114"/>
      <c r="H10" s="289" t="s">
        <v>458</v>
      </c>
      <c r="I10" s="114"/>
      <c r="J10" s="114"/>
      <c r="K10" s="114"/>
      <c r="L10" s="114"/>
      <c r="M10" s="114"/>
      <c r="N10" s="114"/>
    </row>
    <row r="11" spans="1:14" s="73" customFormat="1" ht="19.5" customHeight="1" x14ac:dyDescent="0.3">
      <c r="A11" s="282" t="s">
        <v>459</v>
      </c>
      <c r="B11" s="283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83"/>
      <c r="N11" s="283"/>
    </row>
    <row r="12" spans="1:14" s="51" customFormat="1" ht="13.5" customHeight="1" x14ac:dyDescent="0.3">
      <c r="A12" s="294" t="s">
        <v>460</v>
      </c>
      <c r="B12" s="286"/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</row>
    <row r="13" spans="1:14" s="73" customFormat="1" ht="30" customHeight="1" x14ac:dyDescent="0.3">
      <c r="A13" s="70" t="s">
        <v>299</v>
      </c>
      <c r="B13" s="70" t="s">
        <v>373</v>
      </c>
      <c r="C13" s="291" t="s">
        <v>461</v>
      </c>
      <c r="D13" s="128"/>
      <c r="E13" s="121"/>
      <c r="F13" s="70" t="s">
        <v>462</v>
      </c>
      <c r="G13" s="70" t="s">
        <v>463</v>
      </c>
      <c r="H13" s="291" t="s">
        <v>464</v>
      </c>
      <c r="I13" s="128"/>
      <c r="J13" s="121"/>
      <c r="K13" s="291" t="s">
        <v>465</v>
      </c>
      <c r="L13" s="128"/>
      <c r="M13" s="128"/>
      <c r="N13" s="121"/>
    </row>
    <row r="14" spans="1:14" s="51" customFormat="1" ht="34.950000000000003" customHeight="1" x14ac:dyDescent="0.3">
      <c r="A14" s="66">
        <v>1</v>
      </c>
      <c r="B14" s="106" t="s">
        <v>26</v>
      </c>
      <c r="C14" s="261"/>
      <c r="D14" s="128"/>
      <c r="E14" s="121"/>
      <c r="F14" s="79"/>
      <c r="G14" s="79"/>
      <c r="H14" s="261"/>
      <c r="I14" s="128"/>
      <c r="J14" s="121"/>
      <c r="K14" s="261"/>
      <c r="L14" s="128"/>
      <c r="M14" s="128"/>
      <c r="N14" s="121"/>
    </row>
    <row r="15" spans="1:14" s="51" customFormat="1" ht="34.950000000000003" customHeight="1" x14ac:dyDescent="0.3">
      <c r="A15" s="66">
        <v>2</v>
      </c>
      <c r="B15" s="106" t="s">
        <v>26</v>
      </c>
      <c r="C15" s="261"/>
      <c r="D15" s="128"/>
      <c r="E15" s="121"/>
      <c r="F15" s="79"/>
      <c r="G15" s="79"/>
      <c r="H15" s="261"/>
      <c r="I15" s="128"/>
      <c r="J15" s="121"/>
      <c r="K15" s="261"/>
      <c r="L15" s="128"/>
      <c r="M15" s="128"/>
      <c r="N15" s="121"/>
    </row>
    <row r="16" spans="1:14" s="51" customFormat="1" ht="34.950000000000003" customHeight="1" x14ac:dyDescent="0.3">
      <c r="A16" s="66">
        <v>3</v>
      </c>
      <c r="B16" s="106" t="s">
        <v>26</v>
      </c>
      <c r="C16" s="261"/>
      <c r="D16" s="128"/>
      <c r="E16" s="121"/>
      <c r="F16" s="79"/>
      <c r="G16" s="79"/>
      <c r="H16" s="261"/>
      <c r="I16" s="128"/>
      <c r="J16" s="121"/>
      <c r="K16" s="261"/>
      <c r="L16" s="128"/>
      <c r="M16" s="128"/>
      <c r="N16" s="121"/>
    </row>
    <row r="17" spans="1:14" s="51" customFormat="1" ht="34.950000000000003" customHeight="1" x14ac:dyDescent="0.3">
      <c r="A17" s="66">
        <v>4</v>
      </c>
      <c r="B17" s="106" t="s">
        <v>26</v>
      </c>
      <c r="C17" s="261"/>
      <c r="D17" s="128"/>
      <c r="E17" s="121"/>
      <c r="F17" s="79"/>
      <c r="G17" s="79"/>
      <c r="H17" s="261"/>
      <c r="I17" s="128"/>
      <c r="J17" s="121"/>
      <c r="K17" s="261"/>
      <c r="L17" s="128"/>
      <c r="M17" s="128"/>
      <c r="N17" s="121"/>
    </row>
    <row r="18" spans="1:14" s="51" customFormat="1" ht="34.950000000000003" customHeight="1" x14ac:dyDescent="0.3">
      <c r="A18" s="66">
        <v>5</v>
      </c>
      <c r="B18" s="106" t="s">
        <v>26</v>
      </c>
      <c r="C18" s="261"/>
      <c r="D18" s="128"/>
      <c r="E18" s="121"/>
      <c r="F18" s="79"/>
      <c r="G18" s="79"/>
      <c r="H18" s="261"/>
      <c r="I18" s="128"/>
      <c r="J18" s="121"/>
      <c r="K18" s="261"/>
      <c r="L18" s="128"/>
      <c r="M18" s="128"/>
      <c r="N18" s="121"/>
    </row>
    <row r="19" spans="1:14" s="51" customFormat="1" ht="34.950000000000003" customHeight="1" x14ac:dyDescent="0.3">
      <c r="A19" s="66">
        <v>6</v>
      </c>
      <c r="B19" s="106" t="s">
        <v>26</v>
      </c>
      <c r="C19" s="261"/>
      <c r="D19" s="128"/>
      <c r="E19" s="121"/>
      <c r="F19" s="79"/>
      <c r="G19" s="79"/>
      <c r="H19" s="261"/>
      <c r="I19" s="128"/>
      <c r="J19" s="121"/>
      <c r="K19" s="261"/>
      <c r="L19" s="128"/>
      <c r="M19" s="128"/>
      <c r="N19" s="121"/>
    </row>
    <row r="20" spans="1:14" s="51" customFormat="1" ht="34.950000000000003" customHeight="1" x14ac:dyDescent="0.3">
      <c r="A20" s="66">
        <v>7</v>
      </c>
      <c r="B20" s="106" t="s">
        <v>26</v>
      </c>
      <c r="C20" s="261"/>
      <c r="D20" s="128"/>
      <c r="E20" s="121"/>
      <c r="F20" s="79"/>
      <c r="G20" s="79"/>
      <c r="H20" s="261"/>
      <c r="I20" s="128"/>
      <c r="J20" s="121"/>
      <c r="K20" s="261"/>
      <c r="L20" s="128"/>
      <c r="M20" s="128"/>
      <c r="N20" s="121"/>
    </row>
    <row r="21" spans="1:14" s="51" customFormat="1" ht="34.950000000000003" customHeight="1" x14ac:dyDescent="0.3">
      <c r="A21" s="66">
        <v>8</v>
      </c>
      <c r="B21" s="106" t="s">
        <v>26</v>
      </c>
      <c r="C21" s="261"/>
      <c r="D21" s="128"/>
      <c r="E21" s="121"/>
      <c r="F21" s="79"/>
      <c r="G21" s="79"/>
      <c r="H21" s="261"/>
      <c r="I21" s="128"/>
      <c r="J21" s="121"/>
      <c r="K21" s="261"/>
      <c r="L21" s="128"/>
      <c r="M21" s="128"/>
      <c r="N21" s="121"/>
    </row>
    <row r="22" spans="1:14" s="51" customFormat="1" ht="15.6" customHeight="1" x14ac:dyDescent="0.3"/>
    <row r="23" spans="1:14" s="51" customFormat="1" ht="19.5" customHeight="1" thickBot="1" x14ac:dyDescent="0.35">
      <c r="A23" s="285" t="s">
        <v>466</v>
      </c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</row>
    <row r="24" spans="1:14" s="51" customFormat="1" ht="24.6" customHeight="1" thickBot="1" x14ac:dyDescent="0.35">
      <c r="A24" s="237" t="s">
        <v>467</v>
      </c>
      <c r="B24" s="114"/>
      <c r="C24" s="114"/>
      <c r="D24" s="114"/>
      <c r="E24" s="114"/>
      <c r="F24" s="114"/>
      <c r="G24" s="114"/>
      <c r="H24" s="114"/>
      <c r="I24" s="74"/>
      <c r="J24" s="76" t="s">
        <v>24</v>
      </c>
      <c r="K24" s="74"/>
      <c r="L24" s="76" t="s">
        <v>25</v>
      </c>
      <c r="M24" s="74"/>
      <c r="N24" s="76" t="s">
        <v>212</v>
      </c>
    </row>
    <row r="25" spans="1:14" s="51" customFormat="1" ht="24.6" customHeight="1" thickBot="1" x14ac:dyDescent="0.35">
      <c r="A25" s="237" t="s">
        <v>468</v>
      </c>
      <c r="B25" s="114"/>
      <c r="C25" s="114"/>
      <c r="D25" s="114"/>
      <c r="E25" s="114"/>
      <c r="F25" s="114"/>
      <c r="G25" s="114"/>
      <c r="H25" s="114"/>
      <c r="I25" s="74"/>
      <c r="J25" s="76" t="s">
        <v>24</v>
      </c>
      <c r="K25" s="74"/>
      <c r="L25" s="76" t="s">
        <v>25</v>
      </c>
      <c r="M25" s="74"/>
      <c r="N25" s="76" t="s">
        <v>212</v>
      </c>
    </row>
    <row r="26" spans="1:14" s="51" customFormat="1" ht="24.6" customHeight="1" thickBot="1" x14ac:dyDescent="0.35">
      <c r="A26" s="237" t="s">
        <v>469</v>
      </c>
      <c r="B26" s="114"/>
      <c r="C26" s="114"/>
      <c r="D26" s="114"/>
      <c r="E26" s="114"/>
      <c r="F26" s="114"/>
      <c r="G26" s="114"/>
      <c r="H26" s="114"/>
      <c r="I26" s="74"/>
      <c r="J26" s="76" t="s">
        <v>24</v>
      </c>
      <c r="K26" s="74"/>
      <c r="L26" s="76" t="s">
        <v>25</v>
      </c>
      <c r="M26" s="74"/>
      <c r="N26" s="76" t="s">
        <v>212</v>
      </c>
    </row>
    <row r="27" spans="1:14" s="51" customFormat="1" ht="24.6" customHeight="1" thickBot="1" x14ac:dyDescent="0.35">
      <c r="A27" s="237" t="s">
        <v>470</v>
      </c>
      <c r="B27" s="114"/>
      <c r="C27" s="114"/>
      <c r="D27" s="114"/>
      <c r="E27" s="114"/>
      <c r="F27" s="114"/>
      <c r="G27" s="114"/>
      <c r="H27" s="114"/>
      <c r="I27" s="74"/>
      <c r="J27" s="76" t="s">
        <v>24</v>
      </c>
      <c r="K27" s="74"/>
      <c r="L27" s="76" t="s">
        <v>25</v>
      </c>
      <c r="M27" s="74"/>
      <c r="N27" s="76" t="s">
        <v>212</v>
      </c>
    </row>
    <row r="28" spans="1:14" s="51" customFormat="1" ht="24.6" customHeight="1" thickBot="1" x14ac:dyDescent="0.35">
      <c r="A28" s="237" t="s">
        <v>471</v>
      </c>
      <c r="B28" s="114"/>
      <c r="C28" s="114"/>
      <c r="D28" s="114"/>
      <c r="E28" s="114"/>
      <c r="F28" s="114"/>
      <c r="G28" s="114"/>
      <c r="H28" s="114"/>
      <c r="I28" s="81"/>
      <c r="J28" s="76" t="s">
        <v>24</v>
      </c>
      <c r="K28" s="81"/>
      <c r="L28" s="76" t="s">
        <v>25</v>
      </c>
      <c r="M28" s="81"/>
      <c r="N28" s="76" t="s">
        <v>212</v>
      </c>
    </row>
    <row r="29" spans="1:14" s="51" customFormat="1" ht="24.6" customHeight="1" thickBot="1" x14ac:dyDescent="0.35">
      <c r="A29" s="288" t="s">
        <v>472</v>
      </c>
      <c r="B29" s="114"/>
      <c r="C29" s="114"/>
      <c r="D29" s="114"/>
      <c r="E29" s="114"/>
      <c r="F29" s="114"/>
      <c r="G29" s="114"/>
      <c r="H29" s="114"/>
      <c r="I29" s="292"/>
      <c r="J29" s="159"/>
      <c r="K29" s="159"/>
      <c r="L29" s="159"/>
      <c r="M29" s="159"/>
      <c r="N29" s="167"/>
    </row>
    <row r="30" spans="1:14" s="51" customFormat="1" ht="24.6" customHeight="1" x14ac:dyDescent="0.3">
      <c r="A30" s="237" t="s">
        <v>473</v>
      </c>
      <c r="B30" s="114"/>
      <c r="C30" s="114"/>
      <c r="D30" s="114"/>
      <c r="E30" s="238"/>
      <c r="F30" s="114"/>
      <c r="G30" s="114"/>
      <c r="H30" s="114"/>
      <c r="I30" s="114"/>
      <c r="J30" s="114"/>
      <c r="K30" s="114"/>
      <c r="L30" s="114"/>
      <c r="M30" s="114"/>
      <c r="N30" s="114"/>
    </row>
    <row r="31" spans="1:14" s="51" customFormat="1" ht="30" customHeight="1" thickBot="1" x14ac:dyDescent="0.35">
      <c r="A31" s="237" t="s">
        <v>474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</row>
    <row r="32" spans="1:14" s="51" customFormat="1" ht="18" customHeight="1" thickBot="1" x14ac:dyDescent="0.35">
      <c r="A32" s="74"/>
      <c r="B32" s="263" t="s">
        <v>475</v>
      </c>
      <c r="C32" s="114"/>
      <c r="D32" s="114"/>
      <c r="E32" s="114"/>
      <c r="F32" s="74"/>
      <c r="G32" s="263" t="s">
        <v>476</v>
      </c>
      <c r="H32" s="114"/>
      <c r="I32" s="114"/>
      <c r="J32" s="114"/>
      <c r="K32" s="74"/>
      <c r="L32" s="263" t="s">
        <v>477</v>
      </c>
      <c r="M32" s="114"/>
      <c r="N32" s="114"/>
    </row>
    <row r="33" spans="1:14" s="51" customFormat="1" ht="18" customHeight="1" thickBot="1" x14ac:dyDescent="0.35">
      <c r="A33" s="74"/>
      <c r="B33" s="263" t="s">
        <v>478</v>
      </c>
      <c r="C33" s="114"/>
      <c r="D33" s="114"/>
      <c r="E33" s="114"/>
      <c r="F33" s="74"/>
      <c r="G33" s="263" t="s">
        <v>479</v>
      </c>
      <c r="H33" s="114"/>
      <c r="I33" s="114"/>
      <c r="J33" s="114"/>
      <c r="K33" s="75"/>
      <c r="L33" s="281"/>
      <c r="M33" s="114"/>
      <c r="N33" s="114"/>
    </row>
    <row r="34" spans="1:14" s="50" customFormat="1" ht="19.5" customHeight="1" x14ac:dyDescent="0.3">
      <c r="A34" s="244" t="s">
        <v>480</v>
      </c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</row>
    <row r="35" spans="1:14" s="50" customFormat="1" ht="27.75" customHeight="1" x14ac:dyDescent="0.3">
      <c r="A35" s="52" t="s">
        <v>299</v>
      </c>
      <c r="B35" s="280" t="s">
        <v>481</v>
      </c>
      <c r="C35" s="114"/>
      <c r="D35" s="114"/>
      <c r="E35" s="280" t="s">
        <v>482</v>
      </c>
      <c r="F35" s="114"/>
      <c r="G35" s="114"/>
      <c r="H35" s="280" t="s">
        <v>483</v>
      </c>
      <c r="I35" s="114"/>
      <c r="J35" s="52" t="s">
        <v>484</v>
      </c>
      <c r="K35" s="280" t="s">
        <v>485</v>
      </c>
      <c r="L35" s="114"/>
      <c r="M35" s="114"/>
      <c r="N35" s="114"/>
    </row>
    <row r="36" spans="1:14" s="51" customFormat="1" ht="21.75" customHeight="1" x14ac:dyDescent="0.3">
      <c r="A36" s="63">
        <v>1</v>
      </c>
      <c r="B36" s="238"/>
      <c r="C36" s="114"/>
      <c r="D36" s="114"/>
      <c r="E36" s="238"/>
      <c r="F36" s="114"/>
      <c r="G36" s="114"/>
      <c r="H36" s="238"/>
      <c r="I36" s="114"/>
      <c r="J36" s="78"/>
      <c r="K36" s="238"/>
      <c r="L36" s="114"/>
      <c r="M36" s="114"/>
      <c r="N36" s="114"/>
    </row>
    <row r="37" spans="1:14" s="51" customFormat="1" ht="21.75" customHeight="1" x14ac:dyDescent="0.3">
      <c r="A37" s="63">
        <v>2</v>
      </c>
      <c r="B37" s="238"/>
      <c r="C37" s="114"/>
      <c r="D37" s="114"/>
      <c r="E37" s="238"/>
      <c r="F37" s="114"/>
      <c r="G37" s="114"/>
      <c r="H37" s="238"/>
      <c r="I37" s="114"/>
      <c r="J37" s="78"/>
      <c r="K37" s="238"/>
      <c r="L37" s="114"/>
      <c r="M37" s="114"/>
      <c r="N37" s="114"/>
    </row>
    <row r="38" spans="1:14" s="51" customFormat="1" ht="21.75" customHeight="1" x14ac:dyDescent="0.3">
      <c r="A38" s="63">
        <v>3</v>
      </c>
      <c r="B38" s="238"/>
      <c r="C38" s="114"/>
      <c r="D38" s="114"/>
      <c r="E38" s="238"/>
      <c r="F38" s="114"/>
      <c r="G38" s="114"/>
      <c r="H38" s="238"/>
      <c r="I38" s="114"/>
      <c r="J38" s="78"/>
      <c r="K38" s="238"/>
      <c r="L38" s="114"/>
      <c r="M38" s="114"/>
      <c r="N38" s="114"/>
    </row>
    <row r="39" spans="1:14" s="51" customFormat="1" ht="21.75" customHeight="1" x14ac:dyDescent="0.3">
      <c r="A39" s="63">
        <v>4</v>
      </c>
      <c r="B39" s="238"/>
      <c r="C39" s="114"/>
      <c r="D39" s="114"/>
      <c r="E39" s="238"/>
      <c r="F39" s="114"/>
      <c r="G39" s="114"/>
      <c r="H39" s="238"/>
      <c r="I39" s="114"/>
      <c r="J39" s="78"/>
      <c r="K39" s="238"/>
      <c r="L39" s="114"/>
      <c r="M39" s="114"/>
      <c r="N39" s="114"/>
    </row>
    <row r="40" spans="1:14" s="51" customFormat="1" ht="21.75" customHeight="1" x14ac:dyDescent="0.3">
      <c r="A40" s="63">
        <v>5</v>
      </c>
      <c r="B40" s="238"/>
      <c r="C40" s="114"/>
      <c r="D40" s="114"/>
      <c r="E40" s="238"/>
      <c r="F40" s="114"/>
      <c r="G40" s="114"/>
      <c r="H40" s="238"/>
      <c r="I40" s="114"/>
      <c r="J40" s="78"/>
      <c r="K40" s="238"/>
      <c r="L40" s="114"/>
      <c r="M40" s="114"/>
      <c r="N40" s="114"/>
    </row>
    <row r="41" spans="1:14" s="51" customFormat="1" ht="21.75" customHeight="1" x14ac:dyDescent="0.3">
      <c r="A41" s="63">
        <v>6</v>
      </c>
      <c r="B41" s="238"/>
      <c r="C41" s="114"/>
      <c r="D41" s="114"/>
      <c r="E41" s="238"/>
      <c r="F41" s="114"/>
      <c r="G41" s="114"/>
      <c r="H41" s="238"/>
      <c r="I41" s="114"/>
      <c r="J41" s="78"/>
      <c r="K41" s="238"/>
      <c r="L41" s="114"/>
      <c r="M41" s="114"/>
      <c r="N41" s="114"/>
    </row>
    <row r="42" spans="1:14" s="51" customFormat="1" ht="21.75" customHeight="1" x14ac:dyDescent="0.3">
      <c r="A42" s="63">
        <v>7</v>
      </c>
      <c r="B42" s="238"/>
      <c r="C42" s="114"/>
      <c r="D42" s="114"/>
      <c r="E42" s="238"/>
      <c r="F42" s="114"/>
      <c r="G42" s="114"/>
      <c r="H42" s="238"/>
      <c r="I42" s="114"/>
      <c r="J42" s="78"/>
      <c r="K42" s="238"/>
      <c r="L42" s="114"/>
      <c r="M42" s="114"/>
      <c r="N42" s="114"/>
    </row>
    <row r="43" spans="1:14" s="51" customFormat="1" ht="21.75" customHeight="1" x14ac:dyDescent="0.3">
      <c r="A43" s="63">
        <v>8</v>
      </c>
      <c r="B43" s="238"/>
      <c r="C43" s="114"/>
      <c r="D43" s="114"/>
      <c r="E43" s="238"/>
      <c r="F43" s="114"/>
      <c r="G43" s="114"/>
      <c r="H43" s="238"/>
      <c r="I43" s="114"/>
      <c r="J43" s="78"/>
      <c r="K43" s="238"/>
      <c r="L43" s="114"/>
      <c r="M43" s="114"/>
      <c r="N43" s="114"/>
    </row>
    <row r="44" spans="1:14" s="51" customFormat="1" ht="21.75" customHeight="1" x14ac:dyDescent="0.3">
      <c r="A44" s="63">
        <v>9</v>
      </c>
      <c r="B44" s="238"/>
      <c r="C44" s="114"/>
      <c r="D44" s="114"/>
      <c r="E44" s="238"/>
      <c r="F44" s="114"/>
      <c r="G44" s="114"/>
      <c r="H44" s="238"/>
      <c r="I44" s="114"/>
      <c r="J44" s="78"/>
      <c r="K44" s="238"/>
      <c r="L44" s="114"/>
      <c r="M44" s="114"/>
      <c r="N44" s="114"/>
    </row>
    <row r="45" spans="1:14" s="51" customFormat="1" ht="21.75" customHeight="1" x14ac:dyDescent="0.3">
      <c r="A45" s="63">
        <v>10</v>
      </c>
      <c r="B45" s="238"/>
      <c r="C45" s="114"/>
      <c r="D45" s="114"/>
      <c r="E45" s="238"/>
      <c r="F45" s="114"/>
      <c r="G45" s="114"/>
      <c r="H45" s="238"/>
      <c r="I45" s="114"/>
      <c r="J45" s="78"/>
      <c r="K45" s="238"/>
      <c r="L45" s="114"/>
      <c r="M45" s="114"/>
      <c r="N45" s="114"/>
    </row>
    <row r="46" spans="1:14" s="51" customFormat="1" ht="15.6" customHeight="1" x14ac:dyDescent="0.3"/>
    <row r="47" spans="1:14" s="50" customFormat="1" ht="19.5" customHeight="1" x14ac:dyDescent="0.3">
      <c r="A47" s="244" t="s">
        <v>486</v>
      </c>
      <c r="B47" s="245"/>
      <c r="C47" s="245"/>
      <c r="D47" s="245"/>
      <c r="E47" s="245"/>
      <c r="F47" s="245"/>
      <c r="G47" s="245"/>
      <c r="H47" s="245"/>
      <c r="I47" s="245"/>
      <c r="J47" s="245"/>
      <c r="K47" s="245"/>
      <c r="L47" s="245"/>
      <c r="M47" s="245"/>
      <c r="N47" s="245"/>
    </row>
    <row r="48" spans="1:14" s="51" customFormat="1" ht="15" customHeight="1" thickBot="1" x14ac:dyDescent="0.35">
      <c r="A48" s="237" t="s">
        <v>487</v>
      </c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</row>
    <row r="49" spans="1:14" s="51" customFormat="1" ht="18" customHeight="1" thickBot="1" x14ac:dyDescent="0.35">
      <c r="A49" s="74"/>
      <c r="B49" s="263" t="s">
        <v>488</v>
      </c>
      <c r="C49" s="114"/>
      <c r="D49" s="114"/>
      <c r="E49" s="114"/>
      <c r="F49" s="74"/>
      <c r="G49" s="263" t="s">
        <v>478</v>
      </c>
      <c r="H49" s="114"/>
      <c r="I49" s="114"/>
      <c r="J49" s="114"/>
      <c r="K49" s="74"/>
      <c r="L49" s="263" t="s">
        <v>477</v>
      </c>
      <c r="M49" s="114"/>
      <c r="N49" s="114"/>
    </row>
    <row r="50" spans="1:14" s="51" customFormat="1" ht="18" customHeight="1" thickBot="1" x14ac:dyDescent="0.35">
      <c r="A50" s="74"/>
      <c r="B50" s="263" t="s">
        <v>476</v>
      </c>
      <c r="C50" s="114"/>
      <c r="D50" s="114"/>
      <c r="E50" s="114"/>
      <c r="F50" s="74"/>
      <c r="G50" s="263" t="s">
        <v>475</v>
      </c>
      <c r="H50" s="114"/>
      <c r="I50" s="114"/>
      <c r="J50" s="114"/>
      <c r="K50" s="75"/>
      <c r="L50" s="281"/>
      <c r="M50" s="114"/>
      <c r="N50" s="114"/>
    </row>
    <row r="51" spans="1:14" s="51" customFormat="1" ht="15" customHeight="1" thickBot="1" x14ac:dyDescent="0.35">
      <c r="A51" s="237" t="s">
        <v>489</v>
      </c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</row>
    <row r="52" spans="1:14" s="51" customFormat="1" ht="18" customHeight="1" thickBot="1" x14ac:dyDescent="0.35">
      <c r="A52" s="74"/>
      <c r="B52" s="263" t="s">
        <v>490</v>
      </c>
      <c r="C52" s="114"/>
      <c r="D52" s="114"/>
      <c r="E52" s="114"/>
      <c r="F52" s="114"/>
      <c r="G52" s="114"/>
      <c r="H52" s="74"/>
      <c r="I52" s="263" t="s">
        <v>491</v>
      </c>
      <c r="J52" s="114"/>
      <c r="K52" s="114"/>
      <c r="L52" s="114"/>
      <c r="M52" s="114"/>
      <c r="N52" s="114"/>
    </row>
    <row r="53" spans="1:14" s="51" customFormat="1" ht="18" customHeight="1" thickBot="1" x14ac:dyDescent="0.35">
      <c r="A53" s="74"/>
      <c r="B53" s="263" t="s">
        <v>492</v>
      </c>
      <c r="C53" s="114"/>
      <c r="D53" s="114"/>
      <c r="E53" s="114"/>
      <c r="F53" s="114"/>
      <c r="G53" s="114"/>
      <c r="H53" s="74"/>
      <c r="I53" s="263" t="s">
        <v>493</v>
      </c>
      <c r="J53" s="114"/>
      <c r="K53" s="114"/>
      <c r="L53" s="114"/>
      <c r="M53" s="114"/>
      <c r="N53" s="114"/>
    </row>
    <row r="54" spans="1:14" s="51" customFormat="1" ht="36" customHeight="1" thickBot="1" x14ac:dyDescent="0.35">
      <c r="A54" s="237" t="s">
        <v>494</v>
      </c>
      <c r="B54" s="114"/>
      <c r="C54" s="114"/>
      <c r="D54" s="114"/>
      <c r="E54" s="114"/>
      <c r="F54" s="238"/>
      <c r="G54" s="114"/>
      <c r="H54" s="114"/>
      <c r="I54" s="114"/>
      <c r="J54" s="114"/>
      <c r="K54" s="114"/>
      <c r="L54" s="114"/>
      <c r="M54" s="114"/>
      <c r="N54" s="114"/>
    </row>
    <row r="55" spans="1:14" s="51" customFormat="1" ht="15.75" customHeight="1" thickBot="1" x14ac:dyDescent="0.35">
      <c r="A55" s="237" t="s">
        <v>495</v>
      </c>
      <c r="B55" s="114"/>
      <c r="C55" s="114"/>
      <c r="D55" s="114"/>
      <c r="E55" s="114"/>
      <c r="F55" s="114"/>
      <c r="G55" s="114"/>
      <c r="H55" s="114"/>
      <c r="I55" s="74"/>
      <c r="J55" s="76" t="s">
        <v>24</v>
      </c>
      <c r="K55" s="74"/>
      <c r="L55" s="76" t="s">
        <v>25</v>
      </c>
    </row>
    <row r="56" spans="1:14" s="51" customFormat="1" ht="15" customHeight="1" thickBot="1" x14ac:dyDescent="0.35">
      <c r="A56" s="237" t="s">
        <v>496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7" spans="1:14" s="51" customFormat="1" ht="18" customHeight="1" thickBot="1" x14ac:dyDescent="0.35">
      <c r="A57" s="74"/>
      <c r="B57" s="263" t="s">
        <v>497</v>
      </c>
      <c r="C57" s="114"/>
      <c r="D57" s="114"/>
      <c r="E57" s="114"/>
      <c r="F57" s="74"/>
      <c r="G57" s="263" t="s">
        <v>498</v>
      </c>
      <c r="H57" s="114"/>
      <c r="I57" s="114"/>
      <c r="J57" s="114"/>
      <c r="K57" s="74"/>
      <c r="L57" s="263" t="s">
        <v>499</v>
      </c>
      <c r="M57" s="114"/>
      <c r="N57" s="114"/>
    </row>
    <row r="58" spans="1:14" s="51" customFormat="1" ht="18" customHeight="1" thickBot="1" x14ac:dyDescent="0.35">
      <c r="A58" s="74"/>
      <c r="B58" s="263" t="s">
        <v>500</v>
      </c>
      <c r="C58" s="114"/>
      <c r="D58" s="114"/>
      <c r="E58" s="114"/>
      <c r="F58" s="74"/>
      <c r="G58" s="263" t="s">
        <v>501</v>
      </c>
      <c r="H58" s="114"/>
      <c r="I58" s="114"/>
      <c r="J58" s="114"/>
      <c r="K58" s="75"/>
      <c r="L58" s="281"/>
      <c r="M58" s="114"/>
      <c r="N58" s="114"/>
    </row>
    <row r="59" spans="1:14" s="51" customFormat="1" ht="15.6" customHeight="1" x14ac:dyDescent="0.3"/>
    <row r="60" spans="1:14" s="50" customFormat="1" ht="19.5" customHeight="1" x14ac:dyDescent="0.3">
      <c r="A60" s="250" t="s">
        <v>357</v>
      </c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</row>
    <row r="61" spans="1:14" s="51" customFormat="1" ht="19.5" customHeight="1" x14ac:dyDescent="0.3">
      <c r="A61" s="284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</row>
    <row r="62" spans="1:14" s="51" customFormat="1" ht="19.5" customHeight="1" x14ac:dyDescent="0.3">
      <c r="A62" s="284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</row>
    <row r="63" spans="1:14" s="51" customFormat="1" ht="19.5" customHeight="1" x14ac:dyDescent="0.3">
      <c r="A63" s="284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</row>
    <row r="64" spans="1:14" s="51" customFormat="1" ht="19.5" customHeight="1" x14ac:dyDescent="0.3">
      <c r="A64" s="284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</row>
    <row r="66" spans="1:14" x14ac:dyDescent="0.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</row>
    <row r="67" spans="1:14" ht="15" customHeight="1" x14ac:dyDescent="0.3">
      <c r="A67" s="262" t="s">
        <v>56</v>
      </c>
      <c r="B67" s="118"/>
      <c r="C67" s="118"/>
      <c r="D67" s="118"/>
      <c r="E67" s="118"/>
      <c r="F67" s="118"/>
      <c r="G67" s="55"/>
      <c r="H67" s="262" t="s">
        <v>56</v>
      </c>
      <c r="I67" s="118"/>
      <c r="J67" s="118"/>
      <c r="K67" s="118"/>
      <c r="L67" s="118"/>
      <c r="M67" s="118"/>
      <c r="N67" s="118"/>
    </row>
    <row r="68" spans="1:14" ht="15" customHeight="1" x14ac:dyDescent="0.3">
      <c r="A68" s="267" t="s">
        <v>502</v>
      </c>
      <c r="B68" s="118"/>
      <c r="C68" s="118"/>
      <c r="D68" s="118"/>
      <c r="E68" s="118"/>
      <c r="F68" s="118"/>
      <c r="G68" s="55"/>
      <c r="H68" s="267" t="s">
        <v>397</v>
      </c>
      <c r="I68" s="118"/>
      <c r="J68" s="118"/>
      <c r="K68" s="118"/>
      <c r="L68" s="118"/>
      <c r="M68" s="118"/>
      <c r="N68" s="118"/>
    </row>
    <row r="69" spans="1:14" x14ac:dyDescent="0.3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</row>
    <row r="70" spans="1:14" x14ac:dyDescent="0.3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</row>
    <row r="71" spans="1:14" x14ac:dyDescent="0.3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</row>
    <row r="72" spans="1:14" x14ac:dyDescent="0.3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</row>
    <row r="73" spans="1:14" x14ac:dyDescent="0.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</row>
  </sheetData>
  <mergeCells count="142">
    <mergeCell ref="A2:N2"/>
    <mergeCell ref="B35:D35"/>
    <mergeCell ref="H8:J8"/>
    <mergeCell ref="A47:N47"/>
    <mergeCell ref="C14:E14"/>
    <mergeCell ref="K40:N40"/>
    <mergeCell ref="B57:E57"/>
    <mergeCell ref="L57:N57"/>
    <mergeCell ref="H42:I42"/>
    <mergeCell ref="B52:G52"/>
    <mergeCell ref="G7:I7"/>
    <mergeCell ref="A31:N31"/>
    <mergeCell ref="A51:N51"/>
    <mergeCell ref="H44:I44"/>
    <mergeCell ref="B53:G53"/>
    <mergeCell ref="B38:D38"/>
    <mergeCell ref="G50:J50"/>
    <mergeCell ref="K18:N18"/>
    <mergeCell ref="A54:E54"/>
    <mergeCell ref="A8:C8"/>
    <mergeCell ref="B40:D40"/>
    <mergeCell ref="K16:N16"/>
    <mergeCell ref="C17:E17"/>
    <mergeCell ref="H10:N10"/>
    <mergeCell ref="H67:N67"/>
    <mergeCell ref="F8:G8"/>
    <mergeCell ref="H15:J15"/>
    <mergeCell ref="K45:N45"/>
    <mergeCell ref="A26:H26"/>
    <mergeCell ref="H18:J18"/>
    <mergeCell ref="A68:F68"/>
    <mergeCell ref="K8:L8"/>
    <mergeCell ref="B41:D41"/>
    <mergeCell ref="E37:G37"/>
    <mergeCell ref="B58:E58"/>
    <mergeCell ref="A64:N64"/>
    <mergeCell ref="A56:N56"/>
    <mergeCell ref="K36:N36"/>
    <mergeCell ref="C19:E19"/>
    <mergeCell ref="H14:J14"/>
    <mergeCell ref="A67:F67"/>
    <mergeCell ref="K20:N20"/>
    <mergeCell ref="D8:E8"/>
    <mergeCell ref="K44:N44"/>
    <mergeCell ref="A62:N62"/>
    <mergeCell ref="E39:G39"/>
    <mergeCell ref="E38:G38"/>
    <mergeCell ref="A4:N4"/>
    <mergeCell ref="G49:J49"/>
    <mergeCell ref="A28:H28"/>
    <mergeCell ref="K43:N43"/>
    <mergeCell ref="G33:J33"/>
    <mergeCell ref="A7:C7"/>
    <mergeCell ref="B39:D39"/>
    <mergeCell ref="C16:E16"/>
    <mergeCell ref="K42:N42"/>
    <mergeCell ref="H38:I38"/>
    <mergeCell ref="K17:N17"/>
    <mergeCell ref="H43:I43"/>
    <mergeCell ref="D7:F7"/>
    <mergeCell ref="H40:I40"/>
    <mergeCell ref="K19:N19"/>
    <mergeCell ref="A6:N6"/>
    <mergeCell ref="E36:G36"/>
    <mergeCell ref="E45:G45"/>
    <mergeCell ref="H13:J13"/>
    <mergeCell ref="A1:N1"/>
    <mergeCell ref="B32:E32"/>
    <mergeCell ref="H16:J16"/>
    <mergeCell ref="K13:N13"/>
    <mergeCell ref="B50:E50"/>
    <mergeCell ref="L50:N50"/>
    <mergeCell ref="I52:N52"/>
    <mergeCell ref="A30:D30"/>
    <mergeCell ref="H36:I36"/>
    <mergeCell ref="K15:N15"/>
    <mergeCell ref="A27:H27"/>
    <mergeCell ref="I29:N29"/>
    <mergeCell ref="L49:N49"/>
    <mergeCell ref="A3:N3"/>
    <mergeCell ref="B36:D36"/>
    <mergeCell ref="E41:G41"/>
    <mergeCell ref="C13:E13"/>
    <mergeCell ref="A12:N12"/>
    <mergeCell ref="B45:D45"/>
    <mergeCell ref="K21:N21"/>
    <mergeCell ref="J7:N7"/>
    <mergeCell ref="A5:N5"/>
    <mergeCell ref="E43:G43"/>
    <mergeCell ref="C15:E15"/>
    <mergeCell ref="H68:N68"/>
    <mergeCell ref="H37:I37"/>
    <mergeCell ref="A23:N23"/>
    <mergeCell ref="G57:J57"/>
    <mergeCell ref="M8:N8"/>
    <mergeCell ref="E42:G42"/>
    <mergeCell ref="F54:N54"/>
    <mergeCell ref="L32:N32"/>
    <mergeCell ref="A29:H29"/>
    <mergeCell ref="E30:N30"/>
    <mergeCell ref="E35:G35"/>
    <mergeCell ref="A63:N63"/>
    <mergeCell ref="E44:G44"/>
    <mergeCell ref="B43:D43"/>
    <mergeCell ref="C20:E20"/>
    <mergeCell ref="G58:J58"/>
    <mergeCell ref="H21:J21"/>
    <mergeCell ref="B49:E49"/>
    <mergeCell ref="A34:N34"/>
    <mergeCell ref="A24:H24"/>
    <mergeCell ref="K39:N39"/>
    <mergeCell ref="B33:E33"/>
    <mergeCell ref="H41:I41"/>
    <mergeCell ref="I53:N53"/>
    <mergeCell ref="L58:N58"/>
    <mergeCell ref="G32:J32"/>
    <mergeCell ref="H39:I39"/>
    <mergeCell ref="A61:N61"/>
    <mergeCell ref="B37:D37"/>
    <mergeCell ref="A25:H25"/>
    <mergeCell ref="H19:J19"/>
    <mergeCell ref="A55:H55"/>
    <mergeCell ref="H45:I45"/>
    <mergeCell ref="K35:N35"/>
    <mergeCell ref="K37:N37"/>
    <mergeCell ref="K41:N41"/>
    <mergeCell ref="H20:J20"/>
    <mergeCell ref="A60:N60"/>
    <mergeCell ref="A9:N9"/>
    <mergeCell ref="B42:D42"/>
    <mergeCell ref="H35:I35"/>
    <mergeCell ref="L33:N33"/>
    <mergeCell ref="K14:N14"/>
    <mergeCell ref="A48:N48"/>
    <mergeCell ref="E40:G40"/>
    <mergeCell ref="A11:N11"/>
    <mergeCell ref="K38:N38"/>
    <mergeCell ref="B44:D44"/>
    <mergeCell ref="H17:J17"/>
    <mergeCell ref="C21:E21"/>
    <mergeCell ref="C18:E18"/>
    <mergeCell ref="A10:G10"/>
  </mergeCells>
  <printOptions horizontalCentered="1"/>
  <pageMargins left="0.15" right="0.15" top="0.25" bottom="0.25" header="0.511811023622047" footer="0.511811023622047"/>
  <pageSetup paperSize="9" scale="72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500-000000000000}">
          <x14:formula1>
            <xm:f>_Listas!$X$2:$X$13</xm:f>
          </x14:formula1>
          <xm:sqref>B14 B15 B16 B17 B18 B19 B20 B21</xm:sqref>
        </x14:dataValidation>
        <x14:dataValidation type="list" allowBlank="1" xr:uid="{00000000-0002-0000-0500-000001000000}">
          <x14:formula1>
            <xm:f>_Listas!$Y$2:$Y$6</xm:f>
          </x14:formula1>
          <xm:sqref>D14 D15 D16 D17 D18 D19 D20 D21</xm:sqref>
        </x14:dataValidation>
        <x14:dataValidation type="list" allowBlank="1" xr:uid="{00000000-0002-0000-0500-000002000000}">
          <x14:formula1>
            <xm:f>_Listas!$Z$2:$Z$7</xm:f>
          </x14:formula1>
          <xm:sqref>E14 E15 E16 E17 E18 E19 E20 E21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9"/>
  <sheetViews>
    <sheetView zoomScaleNormal="100" workbookViewId="0">
      <pane ySplit="6" topLeftCell="A10" activePane="bottomLeft" state="frozen"/>
      <selection pane="bottomLeft" activeCell="E15" sqref="E15"/>
    </sheetView>
  </sheetViews>
  <sheetFormatPr baseColWidth="10" defaultColWidth="8.6640625" defaultRowHeight="14.4" x14ac:dyDescent="0.3"/>
  <cols>
    <col min="1" max="1" width="4" customWidth="1"/>
    <col min="2" max="2" width="22" customWidth="1"/>
    <col min="3" max="3" width="8.109375" customWidth="1"/>
    <col min="4" max="4" width="7.77734375" customWidth="1"/>
    <col min="5" max="5" width="9.44140625" customWidth="1"/>
    <col min="6" max="6" width="10.6640625" customWidth="1"/>
    <col min="7" max="7" width="9.21875" customWidth="1"/>
    <col min="8" max="8" width="8.33203125" customWidth="1"/>
    <col min="9" max="9" width="8.6640625" customWidth="1"/>
    <col min="10" max="10" width="7.5546875" customWidth="1"/>
    <col min="11" max="11" width="11.33203125" customWidth="1"/>
    <col min="12" max="12" width="12.77734375" customWidth="1"/>
    <col min="13" max="13" width="10" customWidth="1"/>
    <col min="14" max="14" width="10.5546875" customWidth="1"/>
  </cols>
  <sheetData>
    <row r="1" spans="1:14" ht="19.5" customHeight="1" x14ac:dyDescent="0.3">
      <c r="A1" s="125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5" customHeight="1" x14ac:dyDescent="0.3">
      <c r="A2" s="308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33" customHeight="1" x14ac:dyDescent="0.3">
      <c r="A3" s="304" t="s">
        <v>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25.5" customHeight="1" x14ac:dyDescent="0.3">
      <c r="A4" s="132" t="s">
        <v>503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ht="24" customHeight="1" x14ac:dyDescent="0.3">
      <c r="A5" s="273" t="s">
        <v>504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14" s="6" customFormat="1" ht="19.5" customHeight="1" x14ac:dyDescent="0.3">
      <c r="A6" s="111" t="s">
        <v>5</v>
      </c>
      <c r="B6" s="112"/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</row>
    <row r="7" spans="1:14" s="51" customFormat="1" ht="27.6" customHeight="1" x14ac:dyDescent="0.3">
      <c r="A7" s="264" t="s">
        <v>6</v>
      </c>
      <c r="B7" s="114"/>
      <c r="C7" s="114"/>
      <c r="D7" s="238"/>
      <c r="E7" s="114"/>
      <c r="F7" s="114"/>
      <c r="G7" s="264" t="s">
        <v>7</v>
      </c>
      <c r="H7" s="114"/>
      <c r="I7" s="114"/>
      <c r="J7" s="238"/>
      <c r="K7" s="114"/>
      <c r="L7" s="114"/>
      <c r="M7" s="114"/>
      <c r="N7" s="114"/>
    </row>
    <row r="8" spans="1:14" s="51" customFormat="1" ht="22.35" customHeight="1" x14ac:dyDescent="0.3">
      <c r="A8" s="264" t="s">
        <v>8</v>
      </c>
      <c r="B8" s="114"/>
      <c r="C8" s="114"/>
      <c r="D8" s="275"/>
      <c r="E8" s="276"/>
      <c r="F8" s="237" t="s">
        <v>9</v>
      </c>
      <c r="G8" s="114"/>
      <c r="H8" s="271" t="str">
        <f>IFERROR(VLOOKUP($D$8,_Datos!$A$2:$H$128,2,FALSE()),"")</f>
        <v/>
      </c>
      <c r="I8" s="114"/>
      <c r="J8" s="114"/>
      <c r="K8" s="80" t="s">
        <v>10</v>
      </c>
      <c r="L8" s="303" t="str">
        <f>IFERROR(VLOOKUP($D$8,_Datos!$A$2:$H$128,4,FALSE()),"")</f>
        <v/>
      </c>
      <c r="M8" s="114"/>
      <c r="N8" s="114"/>
    </row>
    <row r="9" spans="1:14" s="51" customFormat="1" ht="34.200000000000003" customHeight="1" x14ac:dyDescent="0.3">
      <c r="A9" s="237" t="s">
        <v>505</v>
      </c>
      <c r="B9" s="114"/>
      <c r="C9" s="114"/>
      <c r="D9" s="238"/>
      <c r="E9" s="114"/>
      <c r="F9" s="114"/>
      <c r="G9" s="114"/>
      <c r="H9" s="114"/>
      <c r="I9" s="114"/>
      <c r="J9" s="114"/>
      <c r="K9" s="114"/>
      <c r="L9" s="114"/>
      <c r="M9" s="114"/>
      <c r="N9" s="114"/>
    </row>
    <row r="11" spans="1:14" s="71" customFormat="1" ht="19.5" customHeight="1" x14ac:dyDescent="0.3">
      <c r="A11" s="296" t="s">
        <v>506</v>
      </c>
      <c r="B11" s="279"/>
      <c r="C11" s="279"/>
      <c r="D11" s="279"/>
      <c r="E11" s="279"/>
      <c r="F11" s="279"/>
      <c r="G11" s="279"/>
      <c r="H11" s="279"/>
      <c r="I11" s="279"/>
      <c r="J11" s="279"/>
      <c r="K11" s="279"/>
      <c r="L11" s="279"/>
      <c r="M11" s="279"/>
      <c r="N11" s="279"/>
    </row>
    <row r="12" spans="1:14" ht="20.399999999999999" customHeight="1" x14ac:dyDescent="0.3">
      <c r="A12" s="307" t="s">
        <v>507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13" spans="1:14" s="50" customFormat="1" ht="21.75" customHeight="1" x14ac:dyDescent="0.3">
      <c r="A13" s="299" t="s">
        <v>299</v>
      </c>
      <c r="B13" s="299" t="s">
        <v>508</v>
      </c>
      <c r="C13" s="299" t="s">
        <v>509</v>
      </c>
      <c r="D13" s="121"/>
      <c r="E13" s="299" t="s">
        <v>510</v>
      </c>
      <c r="F13" s="121"/>
      <c r="G13" s="299" t="s">
        <v>511</v>
      </c>
      <c r="H13" s="121"/>
      <c r="I13" s="299" t="s">
        <v>512</v>
      </c>
      <c r="J13" s="121"/>
      <c r="K13" s="299" t="s">
        <v>513</v>
      </c>
      <c r="L13" s="299" t="s">
        <v>514</v>
      </c>
      <c r="M13" s="231"/>
      <c r="N13" s="309"/>
    </row>
    <row r="14" spans="1:14" s="51" customFormat="1" ht="21.75" customHeight="1" thickBot="1" x14ac:dyDescent="0.35">
      <c r="A14" s="300"/>
      <c r="B14" s="300"/>
      <c r="C14" s="85" t="s">
        <v>24</v>
      </c>
      <c r="D14" s="85" t="s">
        <v>25</v>
      </c>
      <c r="E14" s="85" t="s">
        <v>515</v>
      </c>
      <c r="F14" s="85" t="s">
        <v>516</v>
      </c>
      <c r="G14" s="85" t="s">
        <v>182</v>
      </c>
      <c r="H14" s="85" t="s">
        <v>184</v>
      </c>
      <c r="I14" s="85" t="s">
        <v>517</v>
      </c>
      <c r="J14" s="88" t="s">
        <v>184</v>
      </c>
      <c r="K14" s="300"/>
      <c r="L14" s="310"/>
      <c r="M14" s="311"/>
      <c r="N14" s="252"/>
    </row>
    <row r="15" spans="1:14" s="51" customFormat="1" ht="30" customHeight="1" thickBot="1" x14ac:dyDescent="0.35">
      <c r="A15" s="83">
        <v>1</v>
      </c>
      <c r="B15" s="84" t="s">
        <v>518</v>
      </c>
      <c r="C15" s="107" t="s">
        <v>26</v>
      </c>
      <c r="D15" s="87"/>
      <c r="E15" s="107" t="s">
        <v>26</v>
      </c>
      <c r="F15" s="87"/>
      <c r="G15" s="107" t="s">
        <v>26</v>
      </c>
      <c r="H15" s="87"/>
      <c r="I15" s="108" t="s">
        <v>26</v>
      </c>
      <c r="J15" s="89"/>
      <c r="K15" s="56"/>
      <c r="L15" s="261"/>
      <c r="M15" s="128"/>
      <c r="N15" s="121"/>
    </row>
    <row r="16" spans="1:14" s="51" customFormat="1" ht="30" customHeight="1" thickBot="1" x14ac:dyDescent="0.35">
      <c r="A16" s="63">
        <v>2</v>
      </c>
      <c r="B16" s="64" t="s">
        <v>519</v>
      </c>
      <c r="C16" s="109" t="s">
        <v>26</v>
      </c>
      <c r="D16" s="69"/>
      <c r="E16" s="109" t="s">
        <v>26</v>
      </c>
      <c r="F16" s="69"/>
      <c r="G16" s="109" t="s">
        <v>26</v>
      </c>
      <c r="H16" s="69"/>
      <c r="I16" s="110" t="s">
        <v>26</v>
      </c>
      <c r="J16" s="90"/>
      <c r="K16" s="56"/>
      <c r="L16" s="261"/>
      <c r="M16" s="128"/>
      <c r="N16" s="121"/>
    </row>
    <row r="17" spans="1:14" s="51" customFormat="1" ht="30" customHeight="1" thickBot="1" x14ac:dyDescent="0.35">
      <c r="A17" s="63">
        <v>3</v>
      </c>
      <c r="B17" s="64" t="s">
        <v>520</v>
      </c>
      <c r="C17" s="109" t="s">
        <v>26</v>
      </c>
      <c r="D17" s="69"/>
      <c r="E17" s="109" t="s">
        <v>26</v>
      </c>
      <c r="F17" s="69"/>
      <c r="G17" s="109" t="s">
        <v>26</v>
      </c>
      <c r="H17" s="69"/>
      <c r="I17" s="110" t="s">
        <v>26</v>
      </c>
      <c r="J17" s="90"/>
      <c r="K17" s="56"/>
      <c r="L17" s="261"/>
      <c r="M17" s="128"/>
      <c r="N17" s="121"/>
    </row>
    <row r="18" spans="1:14" s="51" customFormat="1" ht="30" customHeight="1" thickBot="1" x14ac:dyDescent="0.35">
      <c r="A18" s="63">
        <v>4</v>
      </c>
      <c r="B18" s="64" t="s">
        <v>521</v>
      </c>
      <c r="C18" s="109" t="s">
        <v>26</v>
      </c>
      <c r="D18" s="69"/>
      <c r="E18" s="109" t="s">
        <v>26</v>
      </c>
      <c r="F18" s="69"/>
      <c r="G18" s="109" t="s">
        <v>26</v>
      </c>
      <c r="H18" s="69"/>
      <c r="I18" s="110" t="s">
        <v>26</v>
      </c>
      <c r="J18" s="90"/>
      <c r="K18" s="56"/>
      <c r="L18" s="261"/>
      <c r="M18" s="128"/>
      <c r="N18" s="121"/>
    </row>
    <row r="19" spans="1:14" s="51" customFormat="1" ht="30" customHeight="1" thickBot="1" x14ac:dyDescent="0.35">
      <c r="A19" s="63">
        <v>5</v>
      </c>
      <c r="B19" s="64" t="s">
        <v>522</v>
      </c>
      <c r="C19" s="109" t="s">
        <v>26</v>
      </c>
      <c r="D19" s="69"/>
      <c r="E19" s="109" t="s">
        <v>26</v>
      </c>
      <c r="F19" s="69"/>
      <c r="G19" s="109" t="s">
        <v>26</v>
      </c>
      <c r="H19" s="69"/>
      <c r="I19" s="110" t="s">
        <v>26</v>
      </c>
      <c r="J19" s="90"/>
      <c r="K19" s="56"/>
      <c r="L19" s="261"/>
      <c r="M19" s="128"/>
      <c r="N19" s="121"/>
    </row>
    <row r="20" spans="1:14" s="51" customFormat="1" ht="30" customHeight="1" thickBot="1" x14ac:dyDescent="0.35">
      <c r="A20" s="63">
        <v>6</v>
      </c>
      <c r="B20" s="64" t="s">
        <v>523</v>
      </c>
      <c r="C20" s="109" t="s">
        <v>26</v>
      </c>
      <c r="D20" s="69"/>
      <c r="E20" s="109" t="s">
        <v>26</v>
      </c>
      <c r="F20" s="69"/>
      <c r="G20" s="109" t="s">
        <v>26</v>
      </c>
      <c r="H20" s="69"/>
      <c r="I20" s="110" t="s">
        <v>26</v>
      </c>
      <c r="J20" s="90"/>
      <c r="K20" s="56"/>
      <c r="L20" s="261"/>
      <c r="M20" s="128"/>
      <c r="N20" s="121"/>
    </row>
    <row r="21" spans="1:14" s="51" customFormat="1" ht="30" customHeight="1" thickBot="1" x14ac:dyDescent="0.35">
      <c r="A21" s="63">
        <v>7</v>
      </c>
      <c r="B21" s="64" t="s">
        <v>524</v>
      </c>
      <c r="C21" s="109" t="s">
        <v>26</v>
      </c>
      <c r="D21" s="69"/>
      <c r="E21" s="109" t="s">
        <v>26</v>
      </c>
      <c r="F21" s="69"/>
      <c r="G21" s="109" t="s">
        <v>26</v>
      </c>
      <c r="H21" s="69"/>
      <c r="I21" s="110" t="s">
        <v>26</v>
      </c>
      <c r="J21" s="90"/>
      <c r="K21" s="56"/>
      <c r="L21" s="261"/>
      <c r="M21" s="128"/>
      <c r="N21" s="121"/>
    </row>
    <row r="22" spans="1:14" s="51" customFormat="1" ht="30" customHeight="1" thickBot="1" x14ac:dyDescent="0.35">
      <c r="A22" s="63">
        <v>8</v>
      </c>
      <c r="B22" s="64" t="s">
        <v>525</v>
      </c>
      <c r="C22" s="109" t="s">
        <v>26</v>
      </c>
      <c r="D22" s="69"/>
      <c r="E22" s="109" t="s">
        <v>26</v>
      </c>
      <c r="F22" s="69"/>
      <c r="G22" s="109" t="s">
        <v>26</v>
      </c>
      <c r="H22" s="69"/>
      <c r="I22" s="110" t="s">
        <v>26</v>
      </c>
      <c r="J22" s="90"/>
      <c r="K22" s="56"/>
      <c r="L22" s="261"/>
      <c r="M22" s="128"/>
      <c r="N22" s="121"/>
    </row>
    <row r="23" spans="1:14" s="51" customFormat="1" ht="30" customHeight="1" thickBot="1" x14ac:dyDescent="0.35">
      <c r="A23" s="63">
        <v>9</v>
      </c>
      <c r="B23" s="64" t="s">
        <v>526</v>
      </c>
      <c r="C23" s="109" t="s">
        <v>26</v>
      </c>
      <c r="D23" s="69"/>
      <c r="E23" s="109" t="s">
        <v>26</v>
      </c>
      <c r="F23" s="69"/>
      <c r="G23" s="109" t="s">
        <v>26</v>
      </c>
      <c r="H23" s="69"/>
      <c r="I23" s="110" t="s">
        <v>26</v>
      </c>
      <c r="J23" s="90"/>
      <c r="K23" s="56"/>
      <c r="L23" s="261"/>
      <c r="M23" s="128"/>
      <c r="N23" s="121"/>
    </row>
    <row r="24" spans="1:14" s="51" customFormat="1" ht="30" customHeight="1" thickBot="1" x14ac:dyDescent="0.35">
      <c r="A24" s="63">
        <v>10</v>
      </c>
      <c r="B24" s="64" t="s">
        <v>527</v>
      </c>
      <c r="C24" s="109" t="s">
        <v>26</v>
      </c>
      <c r="D24" s="69"/>
      <c r="E24" s="109" t="s">
        <v>26</v>
      </c>
      <c r="F24" s="69"/>
      <c r="G24" s="109" t="s">
        <v>26</v>
      </c>
      <c r="H24" s="69"/>
      <c r="I24" s="110" t="s">
        <v>26</v>
      </c>
      <c r="J24" s="90"/>
      <c r="K24" s="56"/>
      <c r="L24" s="261"/>
      <c r="M24" s="128"/>
      <c r="N24" s="121"/>
    </row>
    <row r="25" spans="1:14" s="51" customFormat="1" ht="30" customHeight="1" thickBot="1" x14ac:dyDescent="0.35">
      <c r="A25" s="63">
        <v>11</v>
      </c>
      <c r="B25" s="64" t="s">
        <v>528</v>
      </c>
      <c r="C25" s="109" t="s">
        <v>26</v>
      </c>
      <c r="D25" s="69"/>
      <c r="E25" s="109" t="s">
        <v>26</v>
      </c>
      <c r="F25" s="69"/>
      <c r="G25" s="109" t="s">
        <v>26</v>
      </c>
      <c r="H25" s="69"/>
      <c r="I25" s="110" t="s">
        <v>26</v>
      </c>
      <c r="J25" s="90"/>
      <c r="K25" s="56"/>
      <c r="L25" s="261"/>
      <c r="M25" s="128"/>
      <c r="N25" s="121"/>
    </row>
    <row r="26" spans="1:14" s="51" customFormat="1" ht="30" customHeight="1" thickBot="1" x14ac:dyDescent="0.35">
      <c r="A26" s="63">
        <v>12</v>
      </c>
      <c r="B26" s="64" t="s">
        <v>529</v>
      </c>
      <c r="C26" s="109" t="s">
        <v>26</v>
      </c>
      <c r="D26" s="69"/>
      <c r="E26" s="109" t="s">
        <v>26</v>
      </c>
      <c r="F26" s="69"/>
      <c r="G26" s="109" t="s">
        <v>26</v>
      </c>
      <c r="H26" s="69"/>
      <c r="I26" s="110" t="s">
        <v>26</v>
      </c>
      <c r="J26" s="91"/>
      <c r="K26" s="56"/>
      <c r="L26" s="261"/>
      <c r="M26" s="128"/>
      <c r="N26" s="121"/>
    </row>
    <row r="27" spans="1:14" s="51" customFormat="1" ht="15.6" customHeight="1" x14ac:dyDescent="0.3"/>
    <row r="28" spans="1:14" s="51" customFormat="1" ht="36.6" customHeight="1" x14ac:dyDescent="0.3">
      <c r="A28" s="298" t="s">
        <v>530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</row>
    <row r="29" spans="1:14" s="51" customFormat="1" ht="36.6" customHeight="1" x14ac:dyDescent="0.3">
      <c r="A29" s="298" t="s">
        <v>531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</row>
    <row r="30" spans="1:14" s="51" customFormat="1" ht="36.6" customHeight="1" x14ac:dyDescent="0.3">
      <c r="A30" s="298" t="s">
        <v>532</v>
      </c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</row>
    <row r="31" spans="1:14" s="51" customFormat="1" ht="15.6" customHeight="1" x14ac:dyDescent="0.3"/>
    <row r="32" spans="1:14" s="50" customFormat="1" ht="19.5" customHeight="1" x14ac:dyDescent="0.3">
      <c r="A32" s="244" t="s">
        <v>533</v>
      </c>
      <c r="B32" s="245"/>
      <c r="C32" s="245"/>
      <c r="D32" s="245"/>
      <c r="E32" s="245"/>
      <c r="F32" s="245"/>
      <c r="G32" s="245"/>
      <c r="H32" s="245"/>
      <c r="I32" s="245"/>
      <c r="J32" s="245"/>
      <c r="K32" s="245"/>
      <c r="L32" s="245"/>
      <c r="M32" s="245"/>
      <c r="N32" s="245"/>
    </row>
    <row r="33" spans="1:15" s="50" customFormat="1" ht="21.75" customHeight="1" x14ac:dyDescent="0.3">
      <c r="A33" s="301" t="s">
        <v>299</v>
      </c>
      <c r="B33" s="305" t="s">
        <v>534</v>
      </c>
      <c r="C33" s="193"/>
      <c r="D33" s="193"/>
      <c r="E33" s="280" t="s">
        <v>535</v>
      </c>
      <c r="F33" s="114"/>
      <c r="G33" s="280" t="s">
        <v>536</v>
      </c>
      <c r="H33" s="114"/>
      <c r="I33" s="114"/>
      <c r="J33" s="305" t="s">
        <v>537</v>
      </c>
      <c r="K33" s="193"/>
      <c r="L33" s="305" t="s">
        <v>538</v>
      </c>
      <c r="M33" s="193"/>
      <c r="N33" s="193"/>
    </row>
    <row r="34" spans="1:15" s="50" customFormat="1" ht="21.75" customHeight="1" x14ac:dyDescent="0.3">
      <c r="A34" s="302"/>
      <c r="B34" s="306"/>
      <c r="C34" s="245"/>
      <c r="D34" s="245"/>
      <c r="E34" s="86" t="s">
        <v>24</v>
      </c>
      <c r="F34" s="86" t="s">
        <v>25</v>
      </c>
      <c r="G34" s="86" t="s">
        <v>182</v>
      </c>
      <c r="H34" s="86" t="s">
        <v>183</v>
      </c>
      <c r="I34" s="86" t="s">
        <v>184</v>
      </c>
      <c r="J34" s="306"/>
      <c r="K34" s="245"/>
      <c r="L34" s="306"/>
      <c r="M34" s="245"/>
      <c r="N34" s="245"/>
    </row>
    <row r="35" spans="1:15" s="51" customFormat="1" ht="30" customHeight="1" x14ac:dyDescent="0.3">
      <c r="A35" s="66">
        <v>1</v>
      </c>
      <c r="B35" s="261" t="s">
        <v>539</v>
      </c>
      <c r="C35" s="128"/>
      <c r="D35" s="121"/>
      <c r="E35" s="106" t="s">
        <v>26</v>
      </c>
      <c r="F35" s="82"/>
      <c r="G35" s="106" t="s">
        <v>26</v>
      </c>
      <c r="H35" s="82"/>
      <c r="I35" s="82"/>
      <c r="J35" s="240"/>
      <c r="K35" s="121"/>
      <c r="L35" s="261"/>
      <c r="M35" s="128"/>
      <c r="N35" s="121"/>
    </row>
    <row r="36" spans="1:15" s="51" customFormat="1" ht="30" customHeight="1" x14ac:dyDescent="0.3">
      <c r="A36" s="66">
        <v>2</v>
      </c>
      <c r="B36" s="261" t="s">
        <v>540</v>
      </c>
      <c r="C36" s="128"/>
      <c r="D36" s="121"/>
      <c r="E36" s="106" t="s">
        <v>26</v>
      </c>
      <c r="F36" s="82"/>
      <c r="G36" s="106" t="s">
        <v>26</v>
      </c>
      <c r="H36" s="82"/>
      <c r="I36" s="82"/>
      <c r="J36" s="240"/>
      <c r="K36" s="121"/>
      <c r="L36" s="261"/>
      <c r="M36" s="128"/>
      <c r="N36" s="121"/>
    </row>
    <row r="37" spans="1:15" s="51" customFormat="1" ht="30" customHeight="1" x14ac:dyDescent="0.3">
      <c r="A37" s="66">
        <v>3</v>
      </c>
      <c r="B37" s="261" t="s">
        <v>541</v>
      </c>
      <c r="C37" s="128"/>
      <c r="D37" s="121"/>
      <c r="E37" s="106" t="s">
        <v>26</v>
      </c>
      <c r="F37" s="82"/>
      <c r="G37" s="106" t="s">
        <v>26</v>
      </c>
      <c r="H37" s="82"/>
      <c r="I37" s="82"/>
      <c r="J37" s="240"/>
      <c r="K37" s="121"/>
      <c r="L37" s="261"/>
      <c r="M37" s="128"/>
      <c r="N37" s="121"/>
    </row>
    <row r="38" spans="1:15" s="51" customFormat="1" ht="30" customHeight="1" x14ac:dyDescent="0.3">
      <c r="A38" s="66">
        <v>4</v>
      </c>
      <c r="B38" s="261" t="s">
        <v>542</v>
      </c>
      <c r="C38" s="128"/>
      <c r="D38" s="121"/>
      <c r="E38" s="106" t="s">
        <v>26</v>
      </c>
      <c r="F38" s="82"/>
      <c r="G38" s="106" t="s">
        <v>26</v>
      </c>
      <c r="H38" s="82"/>
      <c r="I38" s="82"/>
      <c r="J38" s="240"/>
      <c r="K38" s="121"/>
      <c r="L38" s="261"/>
      <c r="M38" s="128"/>
      <c r="N38" s="121"/>
    </row>
    <row r="39" spans="1:15" s="51" customFormat="1" ht="30" customHeight="1" x14ac:dyDescent="0.3">
      <c r="A39" s="66">
        <v>5</v>
      </c>
      <c r="B39" s="261" t="s">
        <v>543</v>
      </c>
      <c r="C39" s="128"/>
      <c r="D39" s="121"/>
      <c r="E39" s="106" t="s">
        <v>26</v>
      </c>
      <c r="F39" s="82"/>
      <c r="G39" s="106" t="s">
        <v>26</v>
      </c>
      <c r="H39" s="82"/>
      <c r="I39" s="82"/>
      <c r="J39" s="240"/>
      <c r="K39" s="121"/>
      <c r="L39" s="261"/>
      <c r="M39" s="128"/>
      <c r="N39" s="121"/>
    </row>
    <row r="40" spans="1:15" s="51" customFormat="1" ht="30" customHeight="1" x14ac:dyDescent="0.3">
      <c r="A40" s="66">
        <v>6</v>
      </c>
      <c r="B40" s="261" t="s">
        <v>544</v>
      </c>
      <c r="C40" s="128"/>
      <c r="D40" s="121"/>
      <c r="E40" s="106" t="s">
        <v>26</v>
      </c>
      <c r="F40" s="82"/>
      <c r="G40" s="106" t="s">
        <v>26</v>
      </c>
      <c r="H40" s="82"/>
      <c r="I40" s="82"/>
      <c r="J40" s="240"/>
      <c r="K40" s="121"/>
      <c r="L40" s="261"/>
      <c r="M40" s="128"/>
      <c r="N40" s="121"/>
    </row>
    <row r="41" spans="1:15" s="51" customFormat="1" ht="30" customHeight="1" x14ac:dyDescent="0.3">
      <c r="A41" s="66">
        <v>7</v>
      </c>
      <c r="B41" s="261" t="s">
        <v>545</v>
      </c>
      <c r="C41" s="128"/>
      <c r="D41" s="121"/>
      <c r="E41" s="106" t="s">
        <v>26</v>
      </c>
      <c r="F41" s="82"/>
      <c r="G41" s="106" t="s">
        <v>26</v>
      </c>
      <c r="H41" s="82"/>
      <c r="I41" s="82"/>
      <c r="J41" s="240"/>
      <c r="K41" s="121"/>
      <c r="L41" s="261"/>
      <c r="M41" s="128"/>
      <c r="N41" s="121"/>
    </row>
    <row r="42" spans="1:15" s="51" customFormat="1" ht="30" customHeight="1" x14ac:dyDescent="0.3">
      <c r="A42" s="66">
        <v>8</v>
      </c>
      <c r="B42" s="261" t="s">
        <v>546</v>
      </c>
      <c r="C42" s="128"/>
      <c r="D42" s="121"/>
      <c r="E42" s="106" t="s">
        <v>26</v>
      </c>
      <c r="F42" s="82"/>
      <c r="G42" s="106" t="s">
        <v>26</v>
      </c>
      <c r="H42" s="82"/>
      <c r="I42" s="82"/>
      <c r="J42" s="240"/>
      <c r="K42" s="121"/>
      <c r="L42" s="261"/>
      <c r="M42" s="128"/>
      <c r="N42" s="121"/>
    </row>
    <row r="43" spans="1:15" s="51" customFormat="1" ht="15.6" customHeight="1" x14ac:dyDescent="0.3"/>
    <row r="44" spans="1:15" s="50" customFormat="1" ht="19.5" customHeight="1" x14ac:dyDescent="0.3">
      <c r="A44" s="244" t="s">
        <v>547</v>
      </c>
      <c r="B44" s="245"/>
      <c r="C44" s="245"/>
      <c r="D44" s="245"/>
      <c r="E44" s="245"/>
      <c r="F44" s="245"/>
      <c r="G44" s="245"/>
      <c r="H44" s="245"/>
      <c r="I44" s="245"/>
      <c r="J44" s="245"/>
      <c r="K44" s="245"/>
      <c r="L44" s="245"/>
      <c r="M44" s="245"/>
      <c r="N44" s="245"/>
    </row>
    <row r="45" spans="1:15" s="51" customFormat="1" ht="30" customHeight="1" x14ac:dyDescent="0.3">
      <c r="A45" s="237" t="s">
        <v>548</v>
      </c>
      <c r="B45" s="114"/>
      <c r="C45" s="114"/>
      <c r="D45" s="114"/>
      <c r="E45" s="114"/>
      <c r="F45" s="114"/>
      <c r="G45" s="114"/>
      <c r="H45" s="77"/>
      <c r="I45" s="76" t="s">
        <v>24</v>
      </c>
      <c r="J45" s="77"/>
      <c r="K45" s="76" t="s">
        <v>25</v>
      </c>
      <c r="O45" s="104" t="s">
        <v>26</v>
      </c>
    </row>
    <row r="46" spans="1:15" s="51" customFormat="1" ht="30" customHeight="1" x14ac:dyDescent="0.3">
      <c r="A46" s="237" t="s">
        <v>549</v>
      </c>
      <c r="B46" s="114"/>
      <c r="C46" s="114"/>
      <c r="D46" s="114"/>
      <c r="E46" s="114"/>
      <c r="F46" s="114"/>
      <c r="G46" s="114"/>
      <c r="H46" s="77"/>
      <c r="I46" s="76" t="s">
        <v>24</v>
      </c>
      <c r="J46" s="77"/>
      <c r="K46" s="76" t="s">
        <v>25</v>
      </c>
      <c r="O46" s="104" t="s">
        <v>26</v>
      </c>
    </row>
    <row r="47" spans="1:15" s="51" customFormat="1" ht="30" customHeight="1" x14ac:dyDescent="0.3">
      <c r="A47" s="237" t="s">
        <v>550</v>
      </c>
      <c r="B47" s="114"/>
      <c r="C47" s="114"/>
      <c r="D47" s="114"/>
      <c r="E47" s="114"/>
      <c r="F47" s="114"/>
      <c r="G47" s="114"/>
      <c r="H47" s="77"/>
      <c r="I47" s="76" t="s">
        <v>24</v>
      </c>
      <c r="J47" s="77"/>
      <c r="K47" s="76" t="s">
        <v>25</v>
      </c>
      <c r="O47" s="104" t="s">
        <v>26</v>
      </c>
    </row>
    <row r="48" spans="1:15" s="51" customFormat="1" ht="30" customHeight="1" x14ac:dyDescent="0.3">
      <c r="A48" s="237" t="s">
        <v>551</v>
      </c>
      <c r="B48" s="114"/>
      <c r="C48" s="114"/>
      <c r="D48" s="114"/>
      <c r="E48" s="114"/>
      <c r="F48" s="114"/>
      <c r="G48" s="114"/>
      <c r="H48" s="77"/>
      <c r="I48" s="76" t="s">
        <v>24</v>
      </c>
      <c r="J48" s="77"/>
      <c r="K48" s="76" t="s">
        <v>25</v>
      </c>
      <c r="O48" s="104" t="s">
        <v>26</v>
      </c>
    </row>
    <row r="49" spans="1:15" s="51" customFormat="1" ht="37.799999999999997" customHeight="1" x14ac:dyDescent="0.3">
      <c r="A49" s="237" t="s">
        <v>552</v>
      </c>
      <c r="B49" s="114"/>
      <c r="C49" s="114"/>
      <c r="D49" s="114"/>
      <c r="E49" s="114"/>
      <c r="F49" s="114"/>
      <c r="G49" s="114"/>
      <c r="H49" s="238"/>
      <c r="I49" s="114"/>
      <c r="J49" s="114"/>
      <c r="K49" s="114"/>
      <c r="L49" s="114"/>
      <c r="M49" s="114"/>
      <c r="N49" s="114"/>
    </row>
    <row r="50" spans="1:15" s="51" customFormat="1" ht="15.6" customHeight="1" x14ac:dyDescent="0.3"/>
    <row r="51" spans="1:15" s="50" customFormat="1" ht="19.5" customHeight="1" x14ac:dyDescent="0.3">
      <c r="A51" s="244" t="s">
        <v>553</v>
      </c>
      <c r="B51" s="245"/>
      <c r="C51" s="245"/>
      <c r="D51" s="245"/>
      <c r="E51" s="245"/>
      <c r="F51" s="245"/>
      <c r="G51" s="245"/>
      <c r="H51" s="245"/>
      <c r="I51" s="245"/>
      <c r="J51" s="245"/>
      <c r="K51" s="245"/>
      <c r="L51" s="245"/>
      <c r="M51" s="245"/>
      <c r="N51" s="245"/>
    </row>
    <row r="52" spans="1:15" s="51" customFormat="1" ht="30" customHeight="1" x14ac:dyDescent="0.3">
      <c r="A52" s="237" t="s">
        <v>554</v>
      </c>
      <c r="B52" s="114"/>
      <c r="C52" s="114"/>
      <c r="D52" s="114"/>
      <c r="E52" s="114"/>
      <c r="F52" s="238"/>
      <c r="G52" s="114"/>
      <c r="H52" s="114"/>
      <c r="I52" s="114"/>
      <c r="J52" s="114"/>
      <c r="K52" s="114"/>
      <c r="L52" s="114"/>
      <c r="M52" s="114"/>
      <c r="N52" s="114"/>
    </row>
    <row r="53" spans="1:15" s="51" customFormat="1" ht="30" customHeight="1" x14ac:dyDescent="0.3">
      <c r="A53" s="237" t="s">
        <v>555</v>
      </c>
      <c r="B53" s="114"/>
      <c r="C53" s="114"/>
      <c r="D53" s="114"/>
      <c r="E53" s="114"/>
      <c r="F53" s="238"/>
      <c r="G53" s="114"/>
      <c r="H53" s="114"/>
      <c r="I53" s="114"/>
      <c r="J53" s="114"/>
      <c r="K53" s="114"/>
      <c r="L53" s="114"/>
      <c r="M53" s="114"/>
      <c r="N53" s="114"/>
    </row>
    <row r="54" spans="1:15" s="51" customFormat="1" ht="30" customHeight="1" x14ac:dyDescent="0.3">
      <c r="A54" s="237" t="s">
        <v>556</v>
      </c>
      <c r="B54" s="114"/>
      <c r="C54" s="114"/>
      <c r="D54" s="114"/>
      <c r="E54" s="114"/>
      <c r="F54" s="238"/>
      <c r="G54" s="114"/>
      <c r="H54" s="114"/>
      <c r="I54" s="114"/>
      <c r="J54" s="114"/>
      <c r="K54" s="114"/>
      <c r="L54" s="114"/>
      <c r="M54" s="114"/>
      <c r="N54" s="114"/>
    </row>
    <row r="55" spans="1:15" s="51" customFormat="1" ht="30" customHeight="1" x14ac:dyDescent="0.3">
      <c r="A55" s="237" t="s">
        <v>557</v>
      </c>
      <c r="B55" s="114"/>
      <c r="C55" s="114"/>
      <c r="D55" s="114"/>
      <c r="E55" s="114"/>
      <c r="F55" s="114"/>
      <c r="G55" s="114"/>
      <c r="H55" s="77"/>
      <c r="I55" s="76" t="s">
        <v>24</v>
      </c>
      <c r="J55" s="77"/>
      <c r="K55" s="76" t="s">
        <v>25</v>
      </c>
      <c r="O55" s="104" t="s">
        <v>26</v>
      </c>
    </row>
    <row r="56" spans="1:15" s="51" customFormat="1" ht="30" customHeight="1" x14ac:dyDescent="0.3">
      <c r="A56" s="237" t="s">
        <v>558</v>
      </c>
      <c r="B56" s="114"/>
      <c r="C56" s="114"/>
      <c r="D56" s="114"/>
      <c r="E56" s="114"/>
      <c r="F56" s="238"/>
      <c r="G56" s="114"/>
      <c r="H56" s="114"/>
      <c r="I56" s="114"/>
      <c r="J56" s="114"/>
      <c r="K56" s="114"/>
      <c r="L56" s="114"/>
      <c r="M56" s="114"/>
      <c r="N56" s="114"/>
    </row>
    <row r="57" spans="1:15" s="51" customFormat="1" ht="15.6" customHeight="1" x14ac:dyDescent="0.3">
      <c r="A57" s="28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</row>
    <row r="58" spans="1:15" s="51" customFormat="1" ht="19.5" customHeight="1" x14ac:dyDescent="0.3">
      <c r="A58" s="28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</row>
    <row r="59" spans="1:15" s="51" customFormat="1" ht="15.6" customHeight="1" x14ac:dyDescent="0.3"/>
    <row r="60" spans="1:15" s="50" customFormat="1" ht="19.5" customHeight="1" x14ac:dyDescent="0.3">
      <c r="A60" s="244" t="s">
        <v>357</v>
      </c>
      <c r="B60" s="245"/>
      <c r="C60" s="245"/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</row>
    <row r="61" spans="1:15" ht="19.5" customHeight="1" x14ac:dyDescent="0.3">
      <c r="A61" s="116"/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</row>
    <row r="62" spans="1:15" ht="19.5" customHeight="1" x14ac:dyDescent="0.3">
      <c r="A62" s="116"/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</row>
    <row r="63" spans="1:15" ht="19.5" customHeight="1" x14ac:dyDescent="0.3">
      <c r="A63" s="116"/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4"/>
      <c r="N63" s="114"/>
    </row>
    <row r="64" spans="1:15" ht="19.5" customHeight="1" x14ac:dyDescent="0.3">
      <c r="A64" s="116"/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4"/>
      <c r="N64" s="114"/>
    </row>
    <row r="65" spans="1:14" ht="19.5" customHeight="1" x14ac:dyDescent="0.3">
      <c r="A65" s="116"/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4"/>
      <c r="N65" s="114"/>
    </row>
    <row r="66" spans="1:14" x14ac:dyDescent="0.3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</row>
    <row r="67" spans="1:14" x14ac:dyDescent="0.3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</row>
    <row r="68" spans="1:14" ht="28.35" customHeight="1" x14ac:dyDescent="0.3">
      <c r="A68" s="262" t="s">
        <v>56</v>
      </c>
      <c r="B68" s="118"/>
      <c r="C68" s="118"/>
      <c r="D68" s="118"/>
      <c r="E68" s="118"/>
      <c r="F68" s="118"/>
      <c r="G68" s="55"/>
      <c r="H68" s="262" t="s">
        <v>56</v>
      </c>
      <c r="I68" s="118"/>
      <c r="J68" s="118"/>
      <c r="K68" s="118"/>
      <c r="L68" s="118"/>
      <c r="M68" s="118"/>
      <c r="N68" s="118"/>
    </row>
    <row r="69" spans="1:14" ht="15" customHeight="1" x14ac:dyDescent="0.3">
      <c r="A69" s="267" t="s">
        <v>559</v>
      </c>
      <c r="B69" s="118"/>
      <c r="C69" s="118"/>
      <c r="D69" s="118"/>
      <c r="E69" s="118"/>
      <c r="F69" s="118"/>
      <c r="G69" s="55"/>
      <c r="H69" s="267" t="s">
        <v>397</v>
      </c>
      <c r="I69" s="118"/>
      <c r="J69" s="118"/>
      <c r="K69" s="118"/>
      <c r="L69" s="118"/>
      <c r="M69" s="118"/>
      <c r="N69" s="118"/>
    </row>
  </sheetData>
  <mergeCells count="102">
    <mergeCell ref="A2:N2"/>
    <mergeCell ref="B35:D35"/>
    <mergeCell ref="H8:J8"/>
    <mergeCell ref="L17:N17"/>
    <mergeCell ref="L19:N19"/>
    <mergeCell ref="A29:N29"/>
    <mergeCell ref="J42:K42"/>
    <mergeCell ref="G7:I7"/>
    <mergeCell ref="B33:D34"/>
    <mergeCell ref="J39:K39"/>
    <mergeCell ref="E33:F33"/>
    <mergeCell ref="L39:N39"/>
    <mergeCell ref="J37:K37"/>
    <mergeCell ref="L20:N20"/>
    <mergeCell ref="B38:D38"/>
    <mergeCell ref="G33:I33"/>
    <mergeCell ref="L38:N38"/>
    <mergeCell ref="A8:C8"/>
    <mergeCell ref="L22:N22"/>
    <mergeCell ref="B40:D40"/>
    <mergeCell ref="L13:N14"/>
    <mergeCell ref="L21:N21"/>
    <mergeCell ref="A9:C9"/>
    <mergeCell ref="K13:K14"/>
    <mergeCell ref="D7:F7"/>
    <mergeCell ref="J40:K40"/>
    <mergeCell ref="A6:N6"/>
    <mergeCell ref="L40:N40"/>
    <mergeCell ref="E13:F13"/>
    <mergeCell ref="G13:H13"/>
    <mergeCell ref="F8:G8"/>
    <mergeCell ref="J35:K35"/>
    <mergeCell ref="A68:F68"/>
    <mergeCell ref="A13:A14"/>
    <mergeCell ref="B41:D41"/>
    <mergeCell ref="A44:N44"/>
    <mergeCell ref="A47:G47"/>
    <mergeCell ref="A64:N64"/>
    <mergeCell ref="A51:N51"/>
    <mergeCell ref="A54:E54"/>
    <mergeCell ref="A56:E56"/>
    <mergeCell ref="J41:K41"/>
    <mergeCell ref="F53:N53"/>
    <mergeCell ref="D8:E8"/>
    <mergeCell ref="A53:E53"/>
    <mergeCell ref="L16:N16"/>
    <mergeCell ref="A62:N62"/>
    <mergeCell ref="C13:D13"/>
    <mergeCell ref="L8:N8"/>
    <mergeCell ref="L26:N26"/>
    <mergeCell ref="A1:N1"/>
    <mergeCell ref="L41:N41"/>
    <mergeCell ref="A65:N65"/>
    <mergeCell ref="J36:K36"/>
    <mergeCell ref="A49:G49"/>
    <mergeCell ref="A3:N3"/>
    <mergeCell ref="B36:D36"/>
    <mergeCell ref="J33:K34"/>
    <mergeCell ref="A12:N12"/>
    <mergeCell ref="L36:N36"/>
    <mergeCell ref="J7:N7"/>
    <mergeCell ref="A57:N57"/>
    <mergeCell ref="L33:N34"/>
    <mergeCell ref="A5:N5"/>
    <mergeCell ref="A32:N32"/>
    <mergeCell ref="D9:N9"/>
    <mergeCell ref="A4:N4"/>
    <mergeCell ref="A55:G55"/>
    <mergeCell ref="L37:N37"/>
    <mergeCell ref="A7:C7"/>
    <mergeCell ref="B39:D39"/>
    <mergeCell ref="A58:N58"/>
    <mergeCell ref="H68:N68"/>
    <mergeCell ref="A46:G46"/>
    <mergeCell ref="H49:N49"/>
    <mergeCell ref="F54:N54"/>
    <mergeCell ref="A52:E52"/>
    <mergeCell ref="H69:N69"/>
    <mergeCell ref="A63:N63"/>
    <mergeCell ref="I13:J13"/>
    <mergeCell ref="L15:N15"/>
    <mergeCell ref="L24:N24"/>
    <mergeCell ref="L18:N18"/>
    <mergeCell ref="J38:K38"/>
    <mergeCell ref="L23:N23"/>
    <mergeCell ref="A60:N60"/>
    <mergeCell ref="A28:N28"/>
    <mergeCell ref="A69:F69"/>
    <mergeCell ref="B42:D42"/>
    <mergeCell ref="L42:N42"/>
    <mergeCell ref="A30:N30"/>
    <mergeCell ref="A11:N11"/>
    <mergeCell ref="L35:N35"/>
    <mergeCell ref="L25:N25"/>
    <mergeCell ref="B37:D37"/>
    <mergeCell ref="A61:N61"/>
    <mergeCell ref="B13:B14"/>
    <mergeCell ref="A48:G48"/>
    <mergeCell ref="F56:N56"/>
    <mergeCell ref="A45:G45"/>
    <mergeCell ref="F52:N52"/>
    <mergeCell ref="A33:A34"/>
  </mergeCells>
  <dataValidations count="4">
    <dataValidation type="list" allowBlank="1" sqref="E15 E16 E17 E18 E19 E20 E21 E22 E23 E24 E25 E26" xr:uid="{00000000-0002-0000-0600-000001000000}">
      <formula1>"MF (Muy frecuente),F (Frecuente),O (Ocasional),R (Rara),SR (Sin registro)"</formula1>
    </dataValidation>
    <dataValidation type="list" allowBlank="1" sqref="G15 G16 G17 G18 G19 G20 G21 G22 G23 G24 G25 G26" xr:uid="{00000000-0002-0000-0600-000002000000}">
      <formula1>"A (Alta),M (Media),B (Baja)"</formula1>
    </dataValidation>
    <dataValidation type="list" allowBlank="1" sqref="I15 I16 I17 I18 I19 I20 I21 I22 I23 I24 I25 I26" xr:uid="{00000000-0002-0000-0600-000003000000}">
      <formula1>"Sube (Aumentando),Baja (Disminuyendo),E (Estable),I (Irregular),NS (No sabe)"</formula1>
    </dataValidation>
    <dataValidation type="list" allowBlank="1" sqref="G35 G36 G37 G38 G39 G40 G41 G42" xr:uid="{00000000-0002-0000-0600-000005000000}">
      <formula1>"Alta,Media,Baja"</formula1>
    </dataValidation>
  </dataValidations>
  <printOptions horizontalCentered="1"/>
  <pageMargins left="0.15" right="0.15" top="0.5" bottom="0.5" header="0.511811023622047" footer="0.511811023622047"/>
  <pageSetup scale="7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600-000000000000}">
          <x14:formula1>
            <xm:f>_Listas!$A$2:$A$3</xm:f>
          </x14:formula1>
          <xm:sqref>O55 O45:O48 C15:C26 E35:E42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9"/>
  <sheetViews>
    <sheetView zoomScaleNormal="100" workbookViewId="0">
      <pane ySplit="6" topLeftCell="A35" activePane="bottomLeft" state="frozen"/>
      <selection pane="bottomLeft" activeCell="O1" sqref="O1:O1048576"/>
    </sheetView>
  </sheetViews>
  <sheetFormatPr baseColWidth="10" defaultColWidth="8.6640625" defaultRowHeight="14.4" x14ac:dyDescent="0.3"/>
  <cols>
    <col min="1" max="1" width="10.109375" customWidth="1"/>
    <col min="2" max="2" width="24" customWidth="1"/>
    <col min="3" max="3" width="4" customWidth="1"/>
    <col min="4" max="4" width="14.21875" customWidth="1"/>
    <col min="5" max="5" width="9.44140625" customWidth="1"/>
    <col min="6" max="6" width="11.77734375" customWidth="1"/>
    <col min="7" max="7" width="6.6640625" customWidth="1"/>
    <col min="8" max="8" width="16.77734375" customWidth="1"/>
    <col min="9" max="9" width="11.44140625" customWidth="1"/>
    <col min="10" max="10" width="13.33203125" customWidth="1"/>
    <col min="11" max="11" width="10.44140625" customWidth="1"/>
    <col min="12" max="12" width="8.44140625" customWidth="1"/>
    <col min="13" max="13" width="10.5546875" customWidth="1"/>
    <col min="14" max="14" width="10.44140625" customWidth="1"/>
  </cols>
  <sheetData>
    <row r="1" spans="1:14" ht="19.5" customHeight="1" x14ac:dyDescent="0.3">
      <c r="A1" s="290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s="51" customFormat="1" ht="15" customHeight="1" x14ac:dyDescent="0.3">
      <c r="A2" s="326" t="s">
        <v>1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</row>
    <row r="3" spans="1:14" s="51" customFormat="1" ht="13.5" customHeight="1" x14ac:dyDescent="0.3">
      <c r="A3" s="318" t="s">
        <v>2</v>
      </c>
      <c r="B3" s="286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</row>
    <row r="4" spans="1:14" ht="18.600000000000001" customHeight="1" x14ac:dyDescent="0.3">
      <c r="A4" s="295" t="s">
        <v>560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ht="18.600000000000001" customHeight="1" x14ac:dyDescent="0.3">
      <c r="A5" s="273" t="s">
        <v>561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14" s="73" customFormat="1" ht="19.5" customHeight="1" x14ac:dyDescent="0.3">
      <c r="A6" s="282" t="s">
        <v>5</v>
      </c>
      <c r="B6" s="283"/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</row>
    <row r="7" spans="1:14" s="51" customFormat="1" ht="28.8" customHeight="1" x14ac:dyDescent="0.3">
      <c r="A7" s="322" t="s">
        <v>6</v>
      </c>
      <c r="B7" s="128"/>
      <c r="C7" s="121"/>
      <c r="D7" s="261"/>
      <c r="E7" s="128"/>
      <c r="F7" s="121"/>
      <c r="G7" s="322" t="s">
        <v>7</v>
      </c>
      <c r="H7" s="128"/>
      <c r="I7" s="121"/>
      <c r="J7" s="261"/>
      <c r="K7" s="128"/>
      <c r="L7" s="128"/>
      <c r="M7" s="128"/>
      <c r="N7" s="121"/>
    </row>
    <row r="8" spans="1:14" s="51" customFormat="1" ht="28.2" customHeight="1" x14ac:dyDescent="0.3">
      <c r="A8" s="322" t="s">
        <v>8</v>
      </c>
      <c r="B8" s="128"/>
      <c r="C8" s="121"/>
      <c r="D8" s="332"/>
      <c r="E8" s="121"/>
      <c r="F8" s="325" t="s">
        <v>9</v>
      </c>
      <c r="G8" s="121"/>
      <c r="H8" s="327" t="str">
        <f>IFERROR(VLOOKUP($D$8,_Datos!$A$2:$H$128,2,FALSE()),"")</f>
        <v/>
      </c>
      <c r="I8" s="128"/>
      <c r="J8" s="121"/>
      <c r="K8" s="329" t="s">
        <v>10</v>
      </c>
      <c r="L8" s="128"/>
      <c r="M8" s="128"/>
      <c r="N8" s="121"/>
    </row>
    <row r="9" spans="1:14" s="73" customFormat="1" ht="19.5" customHeight="1" x14ac:dyDescent="0.3">
      <c r="A9" s="282" t="s">
        <v>562</v>
      </c>
      <c r="B9" s="283"/>
      <c r="C9" s="283"/>
      <c r="D9" s="283"/>
      <c r="E9" s="283"/>
      <c r="F9" s="283"/>
      <c r="G9" s="283"/>
      <c r="H9" s="283"/>
      <c r="I9" s="283"/>
      <c r="J9" s="283"/>
      <c r="K9" s="283"/>
      <c r="L9" s="283"/>
      <c r="M9" s="283"/>
      <c r="N9" s="283"/>
    </row>
    <row r="10" spans="1:14" s="51" customFormat="1" ht="15" customHeight="1" thickBot="1" x14ac:dyDescent="0.35">
      <c r="A10" s="264" t="s">
        <v>563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</row>
    <row r="11" spans="1:14" s="51" customFormat="1" ht="26.4" customHeight="1" thickBot="1" x14ac:dyDescent="0.35">
      <c r="A11" s="99"/>
      <c r="B11" s="313" t="s">
        <v>564</v>
      </c>
      <c r="C11" s="159"/>
      <c r="D11" s="159"/>
      <c r="E11" s="159"/>
      <c r="F11" s="159"/>
      <c r="G11" s="167"/>
      <c r="H11" s="101"/>
      <c r="I11" s="313" t="s">
        <v>565</v>
      </c>
      <c r="J11" s="159"/>
      <c r="K11" s="159"/>
      <c r="L11" s="159"/>
      <c r="M11" s="159"/>
      <c r="N11" s="167"/>
    </row>
    <row r="12" spans="1:14" s="51" customFormat="1" ht="26.4" customHeight="1" thickBot="1" x14ac:dyDescent="0.35">
      <c r="A12" s="74"/>
      <c r="B12" s="313" t="s">
        <v>566</v>
      </c>
      <c r="C12" s="159"/>
      <c r="D12" s="159"/>
      <c r="E12" s="159"/>
      <c r="F12" s="159"/>
      <c r="G12" s="167"/>
      <c r="H12" s="74"/>
      <c r="I12" s="313" t="s">
        <v>567</v>
      </c>
      <c r="J12" s="159"/>
      <c r="K12" s="159"/>
      <c r="L12" s="159"/>
      <c r="M12" s="159"/>
      <c r="N12" s="167"/>
    </row>
    <row r="13" spans="1:14" s="51" customFormat="1" ht="26.4" customHeight="1" thickBot="1" x14ac:dyDescent="0.35">
      <c r="A13" s="99"/>
      <c r="B13" s="313" t="s">
        <v>568</v>
      </c>
      <c r="C13" s="159"/>
      <c r="D13" s="159"/>
      <c r="E13" s="159"/>
      <c r="F13" s="159"/>
      <c r="G13" s="167"/>
      <c r="H13" s="100"/>
      <c r="I13" s="313" t="s">
        <v>172</v>
      </c>
      <c r="J13" s="159"/>
      <c r="K13" s="159"/>
      <c r="L13" s="159"/>
      <c r="M13" s="159"/>
      <c r="N13" s="167"/>
    </row>
    <row r="14" spans="1:14" s="51" customFormat="1" ht="30" customHeight="1" thickBot="1" x14ac:dyDescent="0.35">
      <c r="A14" s="264" t="s">
        <v>12</v>
      </c>
      <c r="B14" s="114"/>
      <c r="C14" s="114"/>
      <c r="D14" s="319"/>
      <c r="E14" s="320"/>
      <c r="F14" s="320"/>
      <c r="G14" s="320"/>
      <c r="H14" s="321"/>
      <c r="I14" s="98" t="s">
        <v>569</v>
      </c>
      <c r="J14" s="292"/>
      <c r="K14" s="167"/>
      <c r="L14" s="102" t="s">
        <v>14</v>
      </c>
      <c r="M14" s="333"/>
      <c r="N14" s="334"/>
    </row>
    <row r="15" spans="1:14" s="51" customFormat="1" ht="25.2" customHeight="1" thickBot="1" x14ac:dyDescent="0.35">
      <c r="A15" s="237" t="s">
        <v>570</v>
      </c>
      <c r="B15" s="114"/>
      <c r="C15" s="114"/>
      <c r="D15" s="315" t="s">
        <v>571</v>
      </c>
      <c r="E15" s="167"/>
      <c r="F15" s="315" t="s">
        <v>572</v>
      </c>
      <c r="G15" s="167"/>
      <c r="H15" s="103" t="s">
        <v>573</v>
      </c>
      <c r="I15" s="331" t="s">
        <v>574</v>
      </c>
      <c r="J15" s="286"/>
      <c r="K15" s="335"/>
      <c r="L15" s="215"/>
      <c r="M15" s="215"/>
      <c r="N15" s="216"/>
    </row>
    <row r="16" spans="1:14" s="51" customFormat="1" ht="33.6" customHeight="1" thickBot="1" x14ac:dyDescent="0.35">
      <c r="A16" s="237" t="s">
        <v>575</v>
      </c>
      <c r="B16" s="114"/>
      <c r="C16" s="114"/>
      <c r="D16" s="292"/>
      <c r="E16" s="159"/>
      <c r="F16" s="159"/>
      <c r="G16" s="159"/>
      <c r="H16" s="167"/>
      <c r="I16" s="156"/>
      <c r="J16" s="156"/>
      <c r="K16" s="336"/>
      <c r="L16" s="320"/>
      <c r="M16" s="320"/>
      <c r="N16" s="321"/>
    </row>
    <row r="17" spans="1:14" s="51" customFormat="1" ht="31.8" customHeight="1" x14ac:dyDescent="0.3">
      <c r="A17" s="237" t="s">
        <v>576</v>
      </c>
      <c r="B17" s="114"/>
      <c r="C17" s="114"/>
      <c r="D17" s="238"/>
      <c r="E17" s="114"/>
      <c r="F17" s="114"/>
      <c r="G17" s="114"/>
      <c r="H17" s="114"/>
      <c r="I17" s="114"/>
      <c r="J17" s="114"/>
      <c r="K17" s="114"/>
      <c r="L17" s="114"/>
      <c r="M17" s="114"/>
      <c r="N17" s="114"/>
    </row>
    <row r="18" spans="1:14" s="51" customFormat="1" ht="27.6" customHeight="1" thickBot="1" x14ac:dyDescent="0.35">
      <c r="A18" s="237" t="s">
        <v>577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</row>
    <row r="19" spans="1:14" s="51" customFormat="1" ht="26.4" customHeight="1" thickBot="1" x14ac:dyDescent="0.35">
      <c r="A19" s="74"/>
      <c r="B19" s="263" t="s">
        <v>578</v>
      </c>
      <c r="C19" s="114"/>
      <c r="D19" s="114"/>
      <c r="E19" s="114"/>
      <c r="F19" s="114"/>
      <c r="G19" s="114"/>
      <c r="H19" s="74"/>
      <c r="I19" s="263" t="s">
        <v>579</v>
      </c>
      <c r="J19" s="114"/>
      <c r="K19" s="114"/>
      <c r="L19" s="114"/>
      <c r="M19" s="114"/>
      <c r="N19" s="114"/>
    </row>
    <row r="20" spans="1:14" s="51" customFormat="1" ht="26.4" customHeight="1" thickBot="1" x14ac:dyDescent="0.35">
      <c r="A20" s="74"/>
      <c r="B20" s="263" t="s">
        <v>580</v>
      </c>
      <c r="C20" s="114"/>
      <c r="D20" s="114"/>
      <c r="E20" s="114"/>
      <c r="F20" s="114"/>
      <c r="G20" s="114"/>
      <c r="H20" s="74"/>
      <c r="I20" s="263" t="s">
        <v>581</v>
      </c>
      <c r="J20" s="114"/>
      <c r="K20" s="114"/>
      <c r="L20" s="114"/>
      <c r="M20" s="114"/>
      <c r="N20" s="114"/>
    </row>
    <row r="21" spans="1:14" s="51" customFormat="1" ht="26.4" customHeight="1" thickBot="1" x14ac:dyDescent="0.35">
      <c r="A21" s="74"/>
      <c r="B21" s="263" t="s">
        <v>582</v>
      </c>
      <c r="C21" s="114"/>
      <c r="D21" s="114"/>
      <c r="E21" s="114"/>
      <c r="F21" s="114"/>
      <c r="G21" s="114"/>
      <c r="H21" s="74"/>
      <c r="I21" s="263" t="s">
        <v>583</v>
      </c>
      <c r="J21" s="114"/>
      <c r="K21" s="114"/>
      <c r="L21" s="114"/>
      <c r="M21" s="114"/>
      <c r="N21" s="114"/>
    </row>
    <row r="22" spans="1:14" s="51" customFormat="1" ht="27.6" customHeight="1" thickBot="1" x14ac:dyDescent="0.35">
      <c r="A22" s="237" t="s">
        <v>584</v>
      </c>
      <c r="B22" s="114"/>
      <c r="C22" s="114"/>
      <c r="D22" s="114"/>
      <c r="E22" s="114"/>
      <c r="F22" s="114"/>
      <c r="G22" s="114"/>
      <c r="H22" s="74"/>
      <c r="I22" s="76" t="s">
        <v>24</v>
      </c>
      <c r="J22" s="74"/>
      <c r="K22" s="76" t="s">
        <v>25</v>
      </c>
    </row>
    <row r="23" spans="1:14" s="51" customFormat="1" ht="27.6" customHeight="1" thickBot="1" x14ac:dyDescent="0.35">
      <c r="A23" s="237" t="s">
        <v>585</v>
      </c>
      <c r="B23" s="114"/>
      <c r="C23" s="114"/>
      <c r="D23" s="114"/>
      <c r="E23" s="114"/>
      <c r="F23" s="114"/>
      <c r="G23" s="114"/>
      <c r="H23" s="74"/>
      <c r="I23" s="76" t="s">
        <v>24</v>
      </c>
      <c r="J23" s="74"/>
      <c r="K23" s="76" t="s">
        <v>25</v>
      </c>
    </row>
    <row r="24" spans="1:14" s="73" customFormat="1" ht="19.5" customHeight="1" x14ac:dyDescent="0.3">
      <c r="A24" s="282" t="s">
        <v>586</v>
      </c>
      <c r="B24" s="283"/>
      <c r="C24" s="283"/>
      <c r="D24" s="283"/>
      <c r="E24" s="283"/>
      <c r="F24" s="283"/>
      <c r="G24" s="283"/>
      <c r="H24" s="283"/>
      <c r="I24" s="283"/>
      <c r="J24" s="283"/>
      <c r="K24" s="283"/>
      <c r="L24" s="283"/>
      <c r="M24" s="283"/>
      <c r="N24" s="283"/>
    </row>
    <row r="25" spans="1:14" s="51" customFormat="1" ht="13.5" customHeight="1" x14ac:dyDescent="0.3">
      <c r="A25" s="324" t="s">
        <v>587</v>
      </c>
      <c r="B25" s="286"/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</row>
    <row r="26" spans="1:14" s="73" customFormat="1" ht="21.75" customHeight="1" thickBot="1" x14ac:dyDescent="0.35">
      <c r="A26" s="72" t="s">
        <v>299</v>
      </c>
      <c r="B26" s="330" t="s">
        <v>588</v>
      </c>
      <c r="C26" s="114"/>
      <c r="D26" s="114"/>
      <c r="E26" s="114"/>
      <c r="F26" s="114"/>
      <c r="G26" s="114"/>
      <c r="H26" s="114"/>
      <c r="I26" s="114"/>
      <c r="J26" s="114"/>
      <c r="K26" s="114"/>
      <c r="L26" s="92"/>
      <c r="M26" s="72" t="s">
        <v>24</v>
      </c>
      <c r="N26" s="72" t="s">
        <v>25</v>
      </c>
    </row>
    <row r="27" spans="1:14" s="51" customFormat="1" ht="27.75" customHeight="1" thickBot="1" x14ac:dyDescent="0.35">
      <c r="A27" s="63" t="s">
        <v>589</v>
      </c>
      <c r="B27" s="238" t="s">
        <v>590</v>
      </c>
      <c r="C27" s="114"/>
      <c r="D27" s="114"/>
      <c r="E27" s="114"/>
      <c r="F27" s="114"/>
      <c r="G27" s="114"/>
      <c r="H27" s="114"/>
      <c r="I27" s="114"/>
      <c r="J27" s="114"/>
      <c r="K27" s="114"/>
      <c r="L27" s="93"/>
      <c r="M27" s="109" t="s">
        <v>26</v>
      </c>
      <c r="N27" s="74"/>
    </row>
    <row r="28" spans="1:14" s="51" customFormat="1" ht="27.75" customHeight="1" thickBot="1" x14ac:dyDescent="0.35">
      <c r="A28" s="63" t="s">
        <v>591</v>
      </c>
      <c r="B28" s="238" t="s">
        <v>592</v>
      </c>
      <c r="C28" s="114"/>
      <c r="D28" s="114"/>
      <c r="E28" s="114"/>
      <c r="F28" s="114"/>
      <c r="G28" s="114"/>
      <c r="H28" s="114"/>
      <c r="I28" s="114"/>
      <c r="J28" s="114"/>
      <c r="K28" s="114"/>
      <c r="L28" s="93"/>
      <c r="M28" s="109" t="s">
        <v>26</v>
      </c>
      <c r="N28" s="74"/>
    </row>
    <row r="29" spans="1:14" s="51" customFormat="1" ht="27.75" customHeight="1" thickBot="1" x14ac:dyDescent="0.35">
      <c r="A29" s="63" t="s">
        <v>593</v>
      </c>
      <c r="B29" s="238" t="s">
        <v>594</v>
      </c>
      <c r="C29" s="114"/>
      <c r="D29" s="114"/>
      <c r="E29" s="114"/>
      <c r="F29" s="114"/>
      <c r="G29" s="114"/>
      <c r="H29" s="114"/>
      <c r="I29" s="114"/>
      <c r="J29" s="114"/>
      <c r="K29" s="114"/>
      <c r="L29" s="93"/>
      <c r="M29" s="109" t="s">
        <v>26</v>
      </c>
      <c r="N29" s="74"/>
    </row>
    <row r="30" spans="1:14" s="51" customFormat="1" ht="27.75" customHeight="1" thickBot="1" x14ac:dyDescent="0.35">
      <c r="A30" s="63" t="s">
        <v>595</v>
      </c>
      <c r="B30" s="238" t="s">
        <v>596</v>
      </c>
      <c r="C30" s="114"/>
      <c r="D30" s="114"/>
      <c r="E30" s="114"/>
      <c r="F30" s="114"/>
      <c r="G30" s="114"/>
      <c r="H30" s="114"/>
      <c r="I30" s="114"/>
      <c r="J30" s="114"/>
      <c r="K30" s="114"/>
      <c r="L30" s="93"/>
      <c r="M30" s="109" t="s">
        <v>26</v>
      </c>
      <c r="N30" s="74"/>
    </row>
    <row r="31" spans="1:14" s="51" customFormat="1" ht="27.75" customHeight="1" thickBot="1" x14ac:dyDescent="0.35">
      <c r="A31" s="63" t="s">
        <v>597</v>
      </c>
      <c r="B31" s="238" t="s">
        <v>598</v>
      </c>
      <c r="C31" s="114"/>
      <c r="D31" s="114"/>
      <c r="E31" s="114"/>
      <c r="F31" s="114"/>
      <c r="G31" s="114"/>
      <c r="H31" s="114"/>
      <c r="I31" s="114"/>
      <c r="J31" s="114"/>
      <c r="K31" s="114"/>
      <c r="L31" s="93"/>
      <c r="M31" s="109" t="s">
        <v>26</v>
      </c>
      <c r="N31" s="74"/>
    </row>
    <row r="32" spans="1:14" s="51" customFormat="1" ht="27.75" customHeight="1" thickBot="1" x14ac:dyDescent="0.35">
      <c r="A32" s="63" t="s">
        <v>599</v>
      </c>
      <c r="B32" s="238" t="s">
        <v>600</v>
      </c>
      <c r="C32" s="114"/>
      <c r="D32" s="114"/>
      <c r="E32" s="114"/>
      <c r="F32" s="114"/>
      <c r="G32" s="114"/>
      <c r="H32" s="114"/>
      <c r="I32" s="114"/>
      <c r="J32" s="114"/>
      <c r="K32" s="114"/>
      <c r="L32" s="93"/>
      <c r="M32" s="109" t="s">
        <v>26</v>
      </c>
      <c r="N32" s="74"/>
    </row>
    <row r="33" spans="1:14" s="51" customFormat="1" ht="27.75" customHeight="1" thickBot="1" x14ac:dyDescent="0.35">
      <c r="A33" s="63" t="s">
        <v>601</v>
      </c>
      <c r="B33" s="238" t="s">
        <v>602</v>
      </c>
      <c r="C33" s="114"/>
      <c r="D33" s="114"/>
      <c r="E33" s="114"/>
      <c r="F33" s="114"/>
      <c r="G33" s="114"/>
      <c r="H33" s="114"/>
      <c r="I33" s="114"/>
      <c r="J33" s="114"/>
      <c r="K33" s="114"/>
      <c r="L33" s="93"/>
      <c r="M33" s="109" t="s">
        <v>26</v>
      </c>
      <c r="N33" s="74"/>
    </row>
    <row r="34" spans="1:14" s="51" customFormat="1" ht="27.75" customHeight="1" thickBot="1" x14ac:dyDescent="0.35">
      <c r="A34" s="63" t="s">
        <v>603</v>
      </c>
      <c r="B34" s="238" t="s">
        <v>604</v>
      </c>
      <c r="C34" s="114"/>
      <c r="D34" s="114"/>
      <c r="E34" s="114"/>
      <c r="F34" s="114"/>
      <c r="G34" s="114"/>
      <c r="H34" s="114"/>
      <c r="I34" s="114"/>
      <c r="J34" s="114"/>
      <c r="K34" s="114"/>
      <c r="L34" s="93"/>
      <c r="M34" s="109" t="s">
        <v>26</v>
      </c>
      <c r="N34" s="74"/>
    </row>
    <row r="35" spans="1:14" s="51" customFormat="1" ht="27.75" customHeight="1" thickBot="1" x14ac:dyDescent="0.35">
      <c r="A35" s="63" t="s">
        <v>605</v>
      </c>
      <c r="B35" s="238" t="s">
        <v>606</v>
      </c>
      <c r="C35" s="114"/>
      <c r="D35" s="114"/>
      <c r="E35" s="114"/>
      <c r="F35" s="114"/>
      <c r="G35" s="114"/>
      <c r="H35" s="114"/>
      <c r="I35" s="114"/>
      <c r="J35" s="114"/>
      <c r="K35" s="114"/>
      <c r="L35" s="93"/>
      <c r="M35" s="109" t="s">
        <v>26</v>
      </c>
      <c r="N35" s="74"/>
    </row>
    <row r="36" spans="1:14" s="51" customFormat="1" ht="27.75" customHeight="1" thickBot="1" x14ac:dyDescent="0.35">
      <c r="A36" s="63" t="s">
        <v>607</v>
      </c>
      <c r="B36" s="238" t="s">
        <v>608</v>
      </c>
      <c r="C36" s="114"/>
      <c r="D36" s="114"/>
      <c r="E36" s="114"/>
      <c r="F36" s="114"/>
      <c r="G36" s="114"/>
      <c r="H36" s="114"/>
      <c r="I36" s="114"/>
      <c r="J36" s="114"/>
      <c r="K36" s="114"/>
      <c r="L36" s="93"/>
      <c r="M36" s="109" t="s">
        <v>26</v>
      </c>
      <c r="N36" s="74"/>
    </row>
    <row r="37" spans="1:14" s="73" customFormat="1" ht="19.5" customHeight="1" x14ac:dyDescent="0.3">
      <c r="A37" s="282" t="s">
        <v>609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</row>
    <row r="38" spans="1:14" s="51" customFormat="1" ht="15" customHeight="1" thickBot="1" x14ac:dyDescent="0.35">
      <c r="A38" s="264" t="s">
        <v>610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</row>
    <row r="39" spans="1:14" s="51" customFormat="1" ht="19.5" customHeight="1" thickBot="1" x14ac:dyDescent="0.35">
      <c r="A39" s="74"/>
      <c r="B39" s="317" t="s">
        <v>611</v>
      </c>
      <c r="C39" s="114"/>
      <c r="D39" s="114"/>
      <c r="E39" s="114"/>
      <c r="F39" s="114"/>
      <c r="G39" s="114"/>
      <c r="H39" s="316" t="s">
        <v>612</v>
      </c>
      <c r="I39" s="114"/>
      <c r="J39" s="114"/>
      <c r="K39" s="114"/>
      <c r="L39" s="114"/>
      <c r="M39" s="114"/>
      <c r="N39" s="114"/>
    </row>
    <row r="40" spans="1:14" s="51" customFormat="1" ht="19.5" customHeight="1" thickBot="1" x14ac:dyDescent="0.35">
      <c r="A40" s="74"/>
      <c r="B40" s="317" t="s">
        <v>613</v>
      </c>
      <c r="C40" s="114"/>
      <c r="D40" s="114"/>
      <c r="E40" s="114"/>
      <c r="F40" s="114"/>
      <c r="G40" s="114"/>
      <c r="H40" s="316" t="s">
        <v>614</v>
      </c>
      <c r="I40" s="114"/>
      <c r="J40" s="114"/>
      <c r="K40" s="114"/>
      <c r="L40" s="114"/>
      <c r="M40" s="114"/>
      <c r="N40" s="114"/>
    </row>
    <row r="41" spans="1:14" s="51" customFormat="1" ht="19.5" customHeight="1" thickBot="1" x14ac:dyDescent="0.35">
      <c r="A41" s="74"/>
      <c r="B41" s="317" t="s">
        <v>615</v>
      </c>
      <c r="C41" s="114"/>
      <c r="D41" s="114"/>
      <c r="E41" s="114"/>
      <c r="F41" s="114"/>
      <c r="G41" s="114"/>
      <c r="H41" s="316" t="s">
        <v>616</v>
      </c>
      <c r="I41" s="114"/>
      <c r="J41" s="114"/>
      <c r="K41" s="114"/>
      <c r="L41" s="114"/>
      <c r="M41" s="114"/>
      <c r="N41" s="114"/>
    </row>
    <row r="42" spans="1:14" s="51" customFormat="1" ht="19.5" customHeight="1" thickBot="1" x14ac:dyDescent="0.35">
      <c r="A42" s="74"/>
      <c r="B42" s="317" t="s">
        <v>617</v>
      </c>
      <c r="C42" s="114"/>
      <c r="D42" s="114"/>
      <c r="E42" s="114"/>
      <c r="F42" s="114"/>
      <c r="G42" s="114"/>
      <c r="H42" s="316" t="s">
        <v>618</v>
      </c>
      <c r="I42" s="114"/>
      <c r="J42" s="114"/>
      <c r="K42" s="114"/>
      <c r="L42" s="114"/>
      <c r="M42" s="114"/>
      <c r="N42" s="114"/>
    </row>
    <row r="43" spans="1:14" s="51" customFormat="1" ht="19.5" customHeight="1" thickBot="1" x14ac:dyDescent="0.35">
      <c r="A43" s="74"/>
      <c r="B43" s="317" t="s">
        <v>619</v>
      </c>
      <c r="C43" s="114"/>
      <c r="D43" s="114"/>
      <c r="E43" s="114"/>
      <c r="F43" s="114"/>
      <c r="G43" s="114"/>
      <c r="H43" s="316" t="s">
        <v>620</v>
      </c>
      <c r="I43" s="114"/>
      <c r="J43" s="114"/>
      <c r="K43" s="114"/>
      <c r="L43" s="114"/>
      <c r="M43" s="114"/>
      <c r="N43" s="114"/>
    </row>
    <row r="44" spans="1:14" s="51" customFormat="1" ht="36" customHeight="1" thickBot="1" x14ac:dyDescent="0.35">
      <c r="A44" s="237" t="s">
        <v>621</v>
      </c>
      <c r="B44" s="114"/>
      <c r="C44" s="114"/>
      <c r="D44" s="114"/>
      <c r="E44" s="114"/>
      <c r="F44" s="238"/>
      <c r="G44" s="114"/>
      <c r="H44" s="114"/>
      <c r="I44" s="114"/>
      <c r="J44" s="114"/>
      <c r="K44" s="114"/>
      <c r="L44" s="114"/>
      <c r="M44" s="114"/>
      <c r="N44" s="114"/>
    </row>
    <row r="45" spans="1:14" s="51" customFormat="1" ht="15.75" customHeight="1" thickBot="1" x14ac:dyDescent="0.35">
      <c r="A45" s="237" t="s">
        <v>622</v>
      </c>
      <c r="B45" s="114"/>
      <c r="C45" s="114"/>
      <c r="D45" s="114"/>
      <c r="E45" s="114"/>
      <c r="F45" s="114"/>
      <c r="G45" s="114"/>
      <c r="H45" s="94"/>
      <c r="I45" s="95" t="s">
        <v>24</v>
      </c>
      <c r="J45" s="69"/>
      <c r="K45" s="95" t="s">
        <v>25</v>
      </c>
      <c r="L45" s="96"/>
      <c r="M45" s="96"/>
      <c r="N45" s="96"/>
    </row>
    <row r="46" spans="1:14" s="51" customFormat="1" ht="18" customHeight="1" thickBot="1" x14ac:dyDescent="0.35">
      <c r="A46" s="237" t="s">
        <v>623</v>
      </c>
      <c r="B46" s="114"/>
      <c r="C46" s="114"/>
      <c r="D46" s="114"/>
      <c r="E46" s="114"/>
      <c r="F46" s="114"/>
      <c r="G46" s="114"/>
      <c r="H46" s="328"/>
      <c r="I46" s="156"/>
      <c r="J46" s="156"/>
      <c r="K46" s="156"/>
      <c r="L46" s="156"/>
      <c r="M46" s="156"/>
      <c r="N46" s="156"/>
    </row>
    <row r="47" spans="1:14" s="51" customFormat="1" ht="15.75" customHeight="1" thickBot="1" x14ac:dyDescent="0.35">
      <c r="A47" s="237" t="s">
        <v>624</v>
      </c>
      <c r="B47" s="114"/>
      <c r="C47" s="114"/>
      <c r="D47" s="114"/>
      <c r="E47" s="114"/>
      <c r="F47" s="114"/>
      <c r="G47" s="114"/>
      <c r="H47" s="69"/>
      <c r="I47" s="95" t="s">
        <v>24</v>
      </c>
      <c r="J47" s="69"/>
      <c r="K47" s="95" t="s">
        <v>25</v>
      </c>
      <c r="L47" s="96"/>
      <c r="M47" s="96"/>
      <c r="N47" s="96"/>
    </row>
    <row r="48" spans="1:14" s="51" customFormat="1" ht="15.75" customHeight="1" thickBot="1" x14ac:dyDescent="0.35">
      <c r="A48" s="237" t="s">
        <v>625</v>
      </c>
      <c r="B48" s="114"/>
      <c r="C48" s="114"/>
      <c r="D48" s="114"/>
      <c r="E48" s="114"/>
      <c r="F48" s="114"/>
      <c r="G48" s="114"/>
      <c r="H48" s="69"/>
      <c r="I48" s="95" t="s">
        <v>24</v>
      </c>
      <c r="J48" s="69"/>
      <c r="K48" s="95" t="s">
        <v>25</v>
      </c>
      <c r="L48" s="96"/>
      <c r="M48" s="96"/>
      <c r="N48" s="96"/>
    </row>
    <row r="49" spans="1:14" s="51" customFormat="1" ht="15.75" customHeight="1" thickBot="1" x14ac:dyDescent="0.35">
      <c r="A49" s="237" t="s">
        <v>626</v>
      </c>
      <c r="B49" s="114"/>
      <c r="C49" s="114"/>
      <c r="D49" s="114"/>
      <c r="E49" s="114"/>
      <c r="F49" s="114"/>
      <c r="G49" s="114"/>
      <c r="H49" s="69"/>
      <c r="I49" s="95" t="s">
        <v>24</v>
      </c>
      <c r="J49" s="69"/>
      <c r="K49" s="95" t="s">
        <v>25</v>
      </c>
      <c r="L49" s="96"/>
      <c r="M49" s="96"/>
      <c r="N49" s="96"/>
    </row>
    <row r="50" spans="1:14" s="51" customFormat="1" ht="15.6" customHeight="1" x14ac:dyDescent="0.3"/>
    <row r="51" spans="1:14" s="73" customFormat="1" ht="19.5" customHeight="1" x14ac:dyDescent="0.3">
      <c r="A51" s="282" t="s">
        <v>627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</row>
    <row r="52" spans="1:14" s="51" customFormat="1" ht="15" customHeight="1" x14ac:dyDescent="0.3">
      <c r="A52" s="237" t="s">
        <v>628</v>
      </c>
      <c r="B52" s="114"/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</row>
    <row r="53" spans="1:14" s="51" customFormat="1" ht="19.5" customHeight="1" x14ac:dyDescent="0.3">
      <c r="A53" s="284"/>
      <c r="B53" s="114"/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</row>
    <row r="54" spans="1:14" s="51" customFormat="1" ht="19.5" customHeight="1" x14ac:dyDescent="0.3">
      <c r="A54" s="284"/>
      <c r="B54" s="114"/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</row>
    <row r="55" spans="1:14" s="51" customFormat="1" ht="19.5" customHeight="1" x14ac:dyDescent="0.3">
      <c r="A55" s="284"/>
      <c r="B55" s="114"/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</row>
    <row r="56" spans="1:14" s="51" customFormat="1" ht="15" customHeight="1" x14ac:dyDescent="0.3">
      <c r="A56" s="237" t="s">
        <v>629</v>
      </c>
      <c r="B56" s="114"/>
      <c r="C56" s="114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</row>
    <row r="57" spans="1:14" s="51" customFormat="1" ht="19.5" customHeight="1" x14ac:dyDescent="0.3">
      <c r="A57" s="284"/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</row>
    <row r="58" spans="1:14" s="51" customFormat="1" ht="19.5" customHeight="1" x14ac:dyDescent="0.3">
      <c r="A58" s="284"/>
      <c r="B58" s="114"/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4"/>
      <c r="N58" s="114"/>
    </row>
    <row r="59" spans="1:14" s="51" customFormat="1" ht="19.5" customHeight="1" x14ac:dyDescent="0.3">
      <c r="A59" s="284"/>
      <c r="B59" s="114"/>
      <c r="C59" s="114"/>
      <c r="D59" s="114"/>
      <c r="E59" s="114"/>
      <c r="F59" s="114"/>
      <c r="G59" s="114"/>
      <c r="H59" s="114"/>
      <c r="I59" s="114"/>
      <c r="J59" s="114"/>
      <c r="K59" s="114"/>
      <c r="L59" s="114"/>
      <c r="M59" s="114"/>
      <c r="N59" s="114"/>
    </row>
    <row r="60" spans="1:14" s="73" customFormat="1" ht="19.5" customHeight="1" x14ac:dyDescent="0.3">
      <c r="A60" s="282" t="s">
        <v>630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</row>
    <row r="61" spans="1:14" ht="30" customHeight="1" x14ac:dyDescent="0.3">
      <c r="A61" s="314" t="s">
        <v>631</v>
      </c>
      <c r="B61" s="114"/>
      <c r="C61" s="114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</row>
    <row r="62" spans="1:14" ht="30" customHeight="1" x14ac:dyDescent="0.3">
      <c r="A62" s="97"/>
      <c r="B62" s="97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</row>
    <row r="64" spans="1:14" ht="27.75" customHeight="1" x14ac:dyDescent="0.3">
      <c r="A64" s="267" t="s">
        <v>632</v>
      </c>
      <c r="B64" s="118"/>
      <c r="C64" s="118"/>
      <c r="D64" s="118"/>
      <c r="E64" s="118"/>
      <c r="F64" s="118"/>
      <c r="H64" s="267" t="s">
        <v>633</v>
      </c>
      <c r="I64" s="118"/>
      <c r="J64" s="118"/>
      <c r="K64" s="118"/>
      <c r="L64" s="118"/>
      <c r="M64" s="118"/>
      <c r="N64" s="118"/>
    </row>
    <row r="65" spans="1:14" ht="37.5" customHeight="1" x14ac:dyDescent="0.3">
      <c r="A65" s="312" t="s">
        <v>634</v>
      </c>
      <c r="B65" s="118"/>
      <c r="C65" s="118"/>
      <c r="D65" s="118"/>
      <c r="E65" s="118"/>
      <c r="F65" s="118"/>
      <c r="H65" s="312" t="s">
        <v>634</v>
      </c>
      <c r="I65" s="118"/>
      <c r="J65" s="118"/>
      <c r="K65" s="118"/>
      <c r="L65" s="118"/>
      <c r="M65" s="118"/>
      <c r="N65" s="118"/>
    </row>
    <row r="67" spans="1:14" s="5" customFormat="1" ht="21.75" customHeight="1" x14ac:dyDescent="0.3">
      <c r="A67" s="323" t="s">
        <v>635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</row>
    <row r="68" spans="1:14" ht="37.200000000000003" customHeight="1" x14ac:dyDescent="0.3">
      <c r="A68" s="122" t="s">
        <v>56</v>
      </c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</row>
    <row r="69" spans="1:14" ht="21.75" customHeight="1" x14ac:dyDescent="0.3">
      <c r="A69" s="117" t="s">
        <v>636</v>
      </c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</row>
  </sheetData>
  <mergeCells count="96">
    <mergeCell ref="A68:N68"/>
    <mergeCell ref="B34:K34"/>
    <mergeCell ref="K15:N16"/>
    <mergeCell ref="A2:N2"/>
    <mergeCell ref="H8:J8"/>
    <mergeCell ref="H46:N46"/>
    <mergeCell ref="H64:N64"/>
    <mergeCell ref="I11:N11"/>
    <mergeCell ref="B29:K29"/>
    <mergeCell ref="K8:N8"/>
    <mergeCell ref="B43:G43"/>
    <mergeCell ref="A44:E44"/>
    <mergeCell ref="G7:I7"/>
    <mergeCell ref="A47:G47"/>
    <mergeCell ref="B42:G42"/>
    <mergeCell ref="J14:K14"/>
    <mergeCell ref="A51:N51"/>
    <mergeCell ref="B33:K33"/>
    <mergeCell ref="B19:G19"/>
    <mergeCell ref="A6:N6"/>
    <mergeCell ref="A25:N25"/>
    <mergeCell ref="B40:G40"/>
    <mergeCell ref="F8:G8"/>
    <mergeCell ref="D17:N17"/>
    <mergeCell ref="A18:N18"/>
    <mergeCell ref="I19:N19"/>
    <mergeCell ref="D16:H16"/>
    <mergeCell ref="B32:K32"/>
    <mergeCell ref="B26:K26"/>
    <mergeCell ref="A8:C8"/>
    <mergeCell ref="B35:K35"/>
    <mergeCell ref="A17:C17"/>
    <mergeCell ref="B20:G20"/>
    <mergeCell ref="B27:K27"/>
    <mergeCell ref="I15:J16"/>
    <mergeCell ref="A7:C7"/>
    <mergeCell ref="A16:C16"/>
    <mergeCell ref="A58:N58"/>
    <mergeCell ref="B11:G11"/>
    <mergeCell ref="A67:N67"/>
    <mergeCell ref="A24:N24"/>
    <mergeCell ref="A60:N60"/>
    <mergeCell ref="D7:F7"/>
    <mergeCell ref="H42:N42"/>
    <mergeCell ref="A65:F65"/>
    <mergeCell ref="A54:N54"/>
    <mergeCell ref="A56:N56"/>
    <mergeCell ref="H39:N39"/>
    <mergeCell ref="F44:N44"/>
    <mergeCell ref="D8:E8"/>
    <mergeCell ref="A53:N53"/>
    <mergeCell ref="A1:N1"/>
    <mergeCell ref="A69:N69"/>
    <mergeCell ref="A14:C14"/>
    <mergeCell ref="A49:G49"/>
    <mergeCell ref="I20:N20"/>
    <mergeCell ref="B31:K31"/>
    <mergeCell ref="A3:N3"/>
    <mergeCell ref="A55:N55"/>
    <mergeCell ref="H40:N40"/>
    <mergeCell ref="J7:N7"/>
    <mergeCell ref="I13:N13"/>
    <mergeCell ref="B41:G41"/>
    <mergeCell ref="A57:N57"/>
    <mergeCell ref="A5:N5"/>
    <mergeCell ref="A15:C15"/>
    <mergeCell ref="A4:N4"/>
    <mergeCell ref="A52:N52"/>
    <mergeCell ref="B12:G12"/>
    <mergeCell ref="A10:N10"/>
    <mergeCell ref="B28:K28"/>
    <mergeCell ref="B21:G21"/>
    <mergeCell ref="B39:G39"/>
    <mergeCell ref="A23:G23"/>
    <mergeCell ref="B13:G13"/>
    <mergeCell ref="B36:K36"/>
    <mergeCell ref="D15:E15"/>
    <mergeCell ref="A38:N38"/>
    <mergeCell ref="D14:H14"/>
    <mergeCell ref="M14:N14"/>
    <mergeCell ref="A9:N9"/>
    <mergeCell ref="A22:G22"/>
    <mergeCell ref="H65:N65"/>
    <mergeCell ref="B30:K30"/>
    <mergeCell ref="A59:N59"/>
    <mergeCell ref="I12:N12"/>
    <mergeCell ref="I21:N21"/>
    <mergeCell ref="A61:N61"/>
    <mergeCell ref="F15:G15"/>
    <mergeCell ref="A48:G48"/>
    <mergeCell ref="H43:N43"/>
    <mergeCell ref="A37:N37"/>
    <mergeCell ref="A45:G45"/>
    <mergeCell ref="H41:N41"/>
    <mergeCell ref="A64:F64"/>
    <mergeCell ref="A46:G46"/>
  </mergeCells>
  <printOptions horizontalCentered="1"/>
  <pageMargins left="0.15" right="0.15" top="0.15" bottom="0.15" header="0.511811023622047" footer="0.511811023622047"/>
  <pageSetup scale="75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3000000}">
          <x14:formula1>
            <xm:f>_Listas!$A$2:$A$3</xm:f>
          </x14:formula1>
          <xm:sqref>M27:M36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4"/>
  <sheetViews>
    <sheetView tabSelected="1" zoomScaleNormal="100" workbookViewId="0">
      <pane ySplit="5" topLeftCell="A6" activePane="bottomLeft" state="frozen"/>
      <selection pane="bottomLeft" activeCell="H35" sqref="H35:J35"/>
    </sheetView>
  </sheetViews>
  <sheetFormatPr baseColWidth="10" defaultColWidth="8.6640625" defaultRowHeight="14.4" x14ac:dyDescent="0.3"/>
  <cols>
    <col min="1" max="1" width="5" customWidth="1"/>
    <col min="2" max="2" width="18.77734375" customWidth="1"/>
    <col min="3" max="3" width="4" customWidth="1"/>
    <col min="4" max="4" width="13.88671875" customWidth="1"/>
    <col min="5" max="5" width="4" customWidth="1"/>
    <col min="6" max="6" width="14.109375" customWidth="1"/>
    <col min="7" max="7" width="4" customWidth="1"/>
    <col min="8" max="8" width="12.88671875" customWidth="1"/>
    <col min="9" max="9" width="4" customWidth="1"/>
    <col min="10" max="10" width="10.6640625" customWidth="1"/>
    <col min="11" max="11" width="4" customWidth="1"/>
    <col min="12" max="12" width="13.21875" customWidth="1"/>
    <col min="13" max="13" width="4" customWidth="1"/>
    <col min="14" max="14" width="19" customWidth="1"/>
  </cols>
  <sheetData>
    <row r="1" spans="1:14" ht="19.5" customHeight="1" x14ac:dyDescent="0.3">
      <c r="A1" s="125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15" customHeight="1" x14ac:dyDescent="0.3">
      <c r="A2" s="344" t="s">
        <v>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13.5" customHeight="1" x14ac:dyDescent="0.3">
      <c r="A3" s="201" t="s">
        <v>2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19.8" customHeight="1" x14ac:dyDescent="0.3">
      <c r="A4" s="343" t="s">
        <v>637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ht="17.399999999999999" customHeight="1" x14ac:dyDescent="0.3">
      <c r="A5" s="341" t="s">
        <v>638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14" ht="19.5" customHeight="1" x14ac:dyDescent="0.3">
      <c r="A6" s="285" t="s">
        <v>639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</row>
    <row r="7" spans="1:14" ht="20.399999999999999" customHeight="1" x14ac:dyDescent="0.3">
      <c r="A7" s="237" t="s">
        <v>640</v>
      </c>
      <c r="B7" s="114"/>
      <c r="C7" s="316" t="s">
        <v>641</v>
      </c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</row>
    <row r="8" spans="1:14" ht="30" customHeight="1" x14ac:dyDescent="0.3">
      <c r="A8" s="337" t="s">
        <v>642</v>
      </c>
      <c r="B8" s="114"/>
      <c r="C8" s="238" t="s">
        <v>643</v>
      </c>
      <c r="D8" s="114"/>
      <c r="E8" s="114"/>
      <c r="F8" s="337" t="s">
        <v>644</v>
      </c>
      <c r="G8" s="114"/>
      <c r="H8" s="238" t="s">
        <v>645</v>
      </c>
      <c r="I8" s="114"/>
      <c r="J8" s="114"/>
      <c r="K8" s="337" t="s">
        <v>646</v>
      </c>
      <c r="L8" s="114"/>
      <c r="M8" s="238" t="s">
        <v>647</v>
      </c>
      <c r="N8" s="114"/>
    </row>
    <row r="9" spans="1:14" ht="30" customHeight="1" x14ac:dyDescent="0.3">
      <c r="A9" s="337" t="s">
        <v>648</v>
      </c>
      <c r="B9" s="114"/>
      <c r="C9" s="238" t="s">
        <v>649</v>
      </c>
      <c r="D9" s="114"/>
      <c r="E9" s="114"/>
      <c r="F9" s="337" t="s">
        <v>650</v>
      </c>
      <c r="G9" s="114"/>
      <c r="H9" s="238" t="s">
        <v>651</v>
      </c>
      <c r="I9" s="114"/>
      <c r="J9" s="114"/>
      <c r="K9" s="337" t="s">
        <v>652</v>
      </c>
      <c r="L9" s="114"/>
      <c r="M9" s="238" t="s">
        <v>653</v>
      </c>
      <c r="N9" s="114"/>
    </row>
    <row r="10" spans="1:14" ht="30" customHeight="1" x14ac:dyDescent="0.3">
      <c r="A10" s="337" t="s">
        <v>654</v>
      </c>
      <c r="B10" s="114"/>
      <c r="C10" s="238" t="s">
        <v>655</v>
      </c>
      <c r="D10" s="114"/>
      <c r="E10" s="114"/>
      <c r="F10" s="337" t="s">
        <v>656</v>
      </c>
      <c r="G10" s="114"/>
      <c r="H10" s="238" t="s">
        <v>657</v>
      </c>
      <c r="I10" s="114"/>
      <c r="J10" s="114"/>
      <c r="K10" s="337" t="s">
        <v>658</v>
      </c>
      <c r="L10" s="114"/>
      <c r="M10" s="238" t="s">
        <v>659</v>
      </c>
      <c r="N10" s="114"/>
    </row>
    <row r="11" spans="1:14" ht="30" customHeight="1" x14ac:dyDescent="0.3">
      <c r="A11" s="337" t="s">
        <v>660</v>
      </c>
      <c r="B11" s="114"/>
      <c r="C11" s="238" t="s">
        <v>661</v>
      </c>
      <c r="D11" s="114"/>
      <c r="E11" s="114"/>
      <c r="F11" s="337" t="s">
        <v>662</v>
      </c>
      <c r="G11" s="114"/>
      <c r="H11" s="238" t="s">
        <v>663</v>
      </c>
      <c r="I11" s="114"/>
      <c r="J11" s="114"/>
      <c r="K11" s="337" t="s">
        <v>664</v>
      </c>
      <c r="L11" s="114"/>
      <c r="M11" s="238" t="s">
        <v>665</v>
      </c>
      <c r="N11" s="114"/>
    </row>
    <row r="12" spans="1:14" ht="30" customHeight="1" x14ac:dyDescent="0.3">
      <c r="A12" s="337" t="s">
        <v>666</v>
      </c>
      <c r="B12" s="114"/>
      <c r="C12" s="238" t="s">
        <v>667</v>
      </c>
      <c r="D12" s="114"/>
      <c r="E12" s="114"/>
      <c r="F12" s="337" t="s">
        <v>668</v>
      </c>
      <c r="G12" s="114"/>
      <c r="H12" s="238" t="s">
        <v>669</v>
      </c>
      <c r="I12" s="114"/>
      <c r="J12" s="114"/>
      <c r="K12" s="337" t="s">
        <v>670</v>
      </c>
      <c r="L12" s="114"/>
      <c r="M12" s="238" t="s">
        <v>671</v>
      </c>
      <c r="N12" s="114"/>
    </row>
    <row r="13" spans="1:14" ht="18" customHeight="1" x14ac:dyDescent="0.3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</row>
    <row r="14" spans="1:14" ht="25.05" customHeight="1" x14ac:dyDescent="0.3">
      <c r="A14" s="237" t="s">
        <v>672</v>
      </c>
      <c r="B14" s="114"/>
      <c r="C14" s="316" t="s">
        <v>673</v>
      </c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</row>
    <row r="15" spans="1:14" ht="19.2" customHeight="1" x14ac:dyDescent="0.3">
      <c r="A15" s="337" t="s">
        <v>674</v>
      </c>
      <c r="B15" s="114"/>
      <c r="C15" s="238" t="s">
        <v>675</v>
      </c>
      <c r="D15" s="114"/>
      <c r="E15" s="114"/>
      <c r="F15" s="337" t="s">
        <v>676</v>
      </c>
      <c r="G15" s="114"/>
      <c r="H15" s="238" t="s">
        <v>677</v>
      </c>
      <c r="I15" s="114"/>
      <c r="J15" s="114"/>
      <c r="K15" s="337" t="s">
        <v>678</v>
      </c>
      <c r="L15" s="114"/>
      <c r="M15" s="238" t="s">
        <v>679</v>
      </c>
      <c r="N15" s="114"/>
    </row>
    <row r="16" spans="1:14" ht="20.399999999999999" customHeight="1" x14ac:dyDescent="0.3">
      <c r="A16" s="337" t="s">
        <v>680</v>
      </c>
      <c r="B16" s="114"/>
      <c r="C16" s="238" t="s">
        <v>681</v>
      </c>
      <c r="D16" s="114"/>
      <c r="E16" s="114"/>
      <c r="F16" s="337" t="s">
        <v>682</v>
      </c>
      <c r="G16" s="114"/>
      <c r="H16" s="238" t="s">
        <v>683</v>
      </c>
      <c r="I16" s="114"/>
      <c r="J16" s="114"/>
      <c r="K16" s="337" t="s">
        <v>684</v>
      </c>
      <c r="L16" s="114"/>
      <c r="M16" s="238" t="s">
        <v>685</v>
      </c>
      <c r="N16" s="114"/>
    </row>
    <row r="17" spans="1:14" ht="19.2" customHeight="1" x14ac:dyDescent="0.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ht="25.05" customHeight="1" x14ac:dyDescent="0.3">
      <c r="A18" s="346" t="s">
        <v>686</v>
      </c>
      <c r="B18" s="114"/>
      <c r="C18" s="316" t="s">
        <v>687</v>
      </c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</row>
    <row r="19" spans="1:14" ht="21.6" customHeight="1" x14ac:dyDescent="0.3">
      <c r="A19" s="337" t="s">
        <v>688</v>
      </c>
      <c r="B19" s="114"/>
      <c r="C19" s="238" t="s">
        <v>476</v>
      </c>
      <c r="D19" s="114"/>
      <c r="E19" s="114"/>
      <c r="F19" s="337" t="s">
        <v>689</v>
      </c>
      <c r="G19" s="114"/>
      <c r="H19" s="238" t="s">
        <v>477</v>
      </c>
      <c r="I19" s="114"/>
      <c r="J19" s="114"/>
      <c r="K19" s="337" t="s">
        <v>690</v>
      </c>
      <c r="L19" s="114"/>
      <c r="M19" s="238" t="s">
        <v>478</v>
      </c>
      <c r="N19" s="114"/>
    </row>
    <row r="20" spans="1:14" ht="19.8" customHeight="1" x14ac:dyDescent="0.3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spans="1:14" ht="33" customHeight="1" x14ac:dyDescent="0.3">
      <c r="A21" s="237" t="s">
        <v>691</v>
      </c>
      <c r="B21" s="114"/>
      <c r="C21" s="316" t="s">
        <v>692</v>
      </c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</row>
    <row r="22" spans="1:14" ht="25.05" customHeight="1" x14ac:dyDescent="0.3">
      <c r="A22" s="337" t="s">
        <v>684</v>
      </c>
      <c r="B22" s="114"/>
      <c r="C22" s="238" t="s">
        <v>693</v>
      </c>
      <c r="D22" s="114"/>
      <c r="E22" s="114"/>
      <c r="F22" s="337" t="s">
        <v>674</v>
      </c>
      <c r="G22" s="114"/>
      <c r="H22" s="238" t="s">
        <v>694</v>
      </c>
      <c r="I22" s="114"/>
      <c r="J22" s="114"/>
      <c r="K22" s="337" t="s">
        <v>676</v>
      </c>
      <c r="L22" s="114"/>
      <c r="M22" s="238" t="s">
        <v>695</v>
      </c>
      <c r="N22" s="114"/>
    </row>
    <row r="23" spans="1:14" ht="25.05" customHeight="1" x14ac:dyDescent="0.3">
      <c r="A23" s="337" t="s">
        <v>682</v>
      </c>
      <c r="B23" s="114"/>
      <c r="C23" s="238" t="s">
        <v>696</v>
      </c>
      <c r="D23" s="114"/>
      <c r="E23" s="114"/>
      <c r="F23" s="337" t="s">
        <v>697</v>
      </c>
      <c r="G23" s="114"/>
      <c r="H23" s="238" t="s">
        <v>698</v>
      </c>
      <c r="I23" s="114"/>
      <c r="J23" s="114"/>
      <c r="K23" s="281"/>
      <c r="L23" s="114"/>
      <c r="M23" s="281"/>
      <c r="N23" s="114"/>
    </row>
    <row r="24" spans="1:14" ht="14.4" customHeight="1" x14ac:dyDescent="0.3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spans="1:14" ht="17.399999999999999" customHeight="1" x14ac:dyDescent="0.3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ht="25.05" customHeight="1" x14ac:dyDescent="0.3">
      <c r="A26" s="285" t="s">
        <v>699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</row>
    <row r="27" spans="1:14" ht="28.2" customHeight="1" x14ac:dyDescent="0.3">
      <c r="A27" s="340" t="s">
        <v>700</v>
      </c>
      <c r="B27" s="193"/>
      <c r="C27" s="345" t="s">
        <v>701</v>
      </c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</row>
    <row r="28" spans="1:14" ht="30" customHeight="1" x14ac:dyDescent="0.3">
      <c r="A28" s="338" t="s">
        <v>702</v>
      </c>
      <c r="B28" s="121"/>
      <c r="C28" s="261" t="s">
        <v>703</v>
      </c>
      <c r="D28" s="128"/>
      <c r="E28" s="121"/>
      <c r="F28" s="338" t="s">
        <v>704</v>
      </c>
      <c r="G28" s="121"/>
      <c r="H28" s="261" t="s">
        <v>705</v>
      </c>
      <c r="I28" s="128"/>
      <c r="J28" s="121"/>
      <c r="K28" s="338" t="s">
        <v>706</v>
      </c>
      <c r="L28" s="121"/>
      <c r="M28" s="261" t="s">
        <v>707</v>
      </c>
      <c r="N28" s="121"/>
    </row>
    <row r="29" spans="1:14" ht="28.8" customHeight="1" x14ac:dyDescent="0.3">
      <c r="A29" s="338" t="s">
        <v>708</v>
      </c>
      <c r="B29" s="121"/>
      <c r="C29" s="261" t="s">
        <v>709</v>
      </c>
      <c r="D29" s="128"/>
      <c r="E29" s="121"/>
      <c r="F29" s="338" t="s">
        <v>710</v>
      </c>
      <c r="G29" s="121"/>
      <c r="H29" s="261" t="s">
        <v>711</v>
      </c>
      <c r="I29" s="128"/>
      <c r="J29" s="121"/>
      <c r="K29" s="338" t="s">
        <v>712</v>
      </c>
      <c r="L29" s="121"/>
      <c r="M29" s="261" t="s">
        <v>713</v>
      </c>
      <c r="N29" s="121"/>
    </row>
    <row r="30" spans="1:14" ht="30.6" customHeight="1" x14ac:dyDescent="0.3">
      <c r="A30" s="338" t="s">
        <v>714</v>
      </c>
      <c r="B30" s="121"/>
      <c r="C30" s="261" t="s">
        <v>715</v>
      </c>
      <c r="D30" s="128"/>
      <c r="E30" s="121"/>
      <c r="F30" s="338" t="s">
        <v>716</v>
      </c>
      <c r="G30" s="121"/>
      <c r="H30" s="261" t="s">
        <v>717</v>
      </c>
      <c r="I30" s="128"/>
      <c r="J30" s="121"/>
      <c r="K30" s="338" t="s">
        <v>718</v>
      </c>
      <c r="L30" s="121"/>
      <c r="M30" s="261" t="s">
        <v>719</v>
      </c>
      <c r="N30" s="121"/>
    </row>
    <row r="31" spans="1:14" ht="25.05" customHeight="1" x14ac:dyDescent="0.3">
      <c r="A31" s="338" t="s">
        <v>720</v>
      </c>
      <c r="B31" s="121"/>
      <c r="C31" s="261" t="s">
        <v>721</v>
      </c>
      <c r="D31" s="128"/>
      <c r="E31" s="121"/>
      <c r="F31" s="338" t="s">
        <v>722</v>
      </c>
      <c r="G31" s="121"/>
      <c r="H31" s="261" t="s">
        <v>723</v>
      </c>
      <c r="I31" s="128"/>
      <c r="J31" s="121"/>
      <c r="K31" s="338" t="s">
        <v>724</v>
      </c>
      <c r="L31" s="121"/>
      <c r="M31" s="261" t="s">
        <v>223</v>
      </c>
      <c r="N31" s="121"/>
    </row>
    <row r="32" spans="1:14" ht="18.600000000000001" customHeight="1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 ht="30" customHeight="1" x14ac:dyDescent="0.3">
      <c r="A33" s="237" t="s">
        <v>725</v>
      </c>
      <c r="B33" s="114"/>
      <c r="C33" s="342" t="s">
        <v>726</v>
      </c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1"/>
    </row>
    <row r="34" spans="1:14" ht="39.6" customHeight="1" x14ac:dyDescent="0.3">
      <c r="A34" s="337" t="s">
        <v>727</v>
      </c>
      <c r="B34" s="114"/>
      <c r="C34" s="261" t="s">
        <v>728</v>
      </c>
      <c r="D34" s="128"/>
      <c r="E34" s="121"/>
      <c r="F34" s="338" t="s">
        <v>729</v>
      </c>
      <c r="G34" s="121"/>
      <c r="H34" s="261" t="s">
        <v>730</v>
      </c>
      <c r="I34" s="128"/>
      <c r="J34" s="121"/>
      <c r="K34" s="338" t="s">
        <v>660</v>
      </c>
      <c r="L34" s="121"/>
      <c r="M34" s="261" t="s">
        <v>731</v>
      </c>
      <c r="N34" s="121"/>
    </row>
    <row r="35" spans="1:14" ht="31.8" customHeight="1" x14ac:dyDescent="0.3">
      <c r="A35" s="337" t="s">
        <v>732</v>
      </c>
      <c r="B35" s="114"/>
      <c r="C35" s="261" t="s">
        <v>733</v>
      </c>
      <c r="D35" s="128"/>
      <c r="E35" s="121"/>
      <c r="F35" s="338" t="s">
        <v>734</v>
      </c>
      <c r="G35" s="121"/>
      <c r="H35" s="261" t="s">
        <v>735</v>
      </c>
      <c r="I35" s="128"/>
      <c r="J35" s="121"/>
      <c r="K35" s="339"/>
      <c r="L35" s="121"/>
      <c r="M35" s="339"/>
      <c r="N35" s="121"/>
    </row>
    <row r="36" spans="1:14" ht="19.8" customHeight="1" x14ac:dyDescent="0.3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  <row r="37" spans="1:14" ht="25.05" customHeight="1" x14ac:dyDescent="0.3">
      <c r="A37" s="325" t="s">
        <v>736</v>
      </c>
      <c r="B37" s="121"/>
      <c r="C37" s="342" t="s">
        <v>737</v>
      </c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1"/>
    </row>
    <row r="38" spans="1:14" ht="25.05" customHeight="1" x14ac:dyDescent="0.3">
      <c r="A38" s="338" t="s">
        <v>738</v>
      </c>
      <c r="B38" s="121"/>
      <c r="C38" s="261" t="s">
        <v>739</v>
      </c>
      <c r="D38" s="128"/>
      <c r="E38" s="121"/>
      <c r="F38" s="338" t="s">
        <v>740</v>
      </c>
      <c r="G38" s="121"/>
      <c r="H38" s="261" t="s">
        <v>741</v>
      </c>
      <c r="I38" s="128"/>
      <c r="J38" s="121"/>
      <c r="K38" s="338" t="s">
        <v>742</v>
      </c>
      <c r="L38" s="121"/>
      <c r="M38" s="261" t="s">
        <v>743</v>
      </c>
      <c r="N38" s="121"/>
    </row>
    <row r="39" spans="1:14" ht="24.6" customHeight="1" x14ac:dyDescent="0.3">
      <c r="A39" s="338" t="s">
        <v>744</v>
      </c>
      <c r="B39" s="121"/>
      <c r="C39" s="261" t="s">
        <v>745</v>
      </c>
      <c r="D39" s="128"/>
      <c r="E39" s="121"/>
      <c r="F39" s="338" t="s">
        <v>746</v>
      </c>
      <c r="G39" s="121"/>
      <c r="H39" s="261" t="s">
        <v>747</v>
      </c>
      <c r="I39" s="128"/>
      <c r="J39" s="121"/>
      <c r="K39" s="338" t="s">
        <v>748</v>
      </c>
      <c r="L39" s="121"/>
      <c r="M39" s="261" t="s">
        <v>749</v>
      </c>
      <c r="N39" s="121"/>
    </row>
    <row r="40" spans="1:14" ht="18" customHeight="1" x14ac:dyDescent="0.3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</row>
    <row r="41" spans="1:14" ht="28.2" customHeight="1" x14ac:dyDescent="0.3">
      <c r="A41" s="325" t="s">
        <v>750</v>
      </c>
      <c r="B41" s="121"/>
      <c r="C41" s="342" t="s">
        <v>751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1"/>
    </row>
    <row r="42" spans="1:14" ht="25.05" customHeight="1" x14ac:dyDescent="0.3">
      <c r="A42" s="338" t="s">
        <v>688</v>
      </c>
      <c r="B42" s="121"/>
      <c r="C42" s="261" t="s">
        <v>476</v>
      </c>
      <c r="D42" s="128"/>
      <c r="E42" s="121"/>
      <c r="F42" s="338" t="s">
        <v>689</v>
      </c>
      <c r="G42" s="121"/>
      <c r="H42" s="261" t="s">
        <v>477</v>
      </c>
      <c r="I42" s="128"/>
      <c r="J42" s="121"/>
      <c r="K42" s="338" t="s">
        <v>690</v>
      </c>
      <c r="L42" s="121"/>
      <c r="M42" s="261" t="s">
        <v>478</v>
      </c>
      <c r="N42" s="121"/>
    </row>
    <row r="43" spans="1:14" x14ac:dyDescent="0.3">
      <c r="A43" s="307" t="s">
        <v>752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</row>
    <row r="44" spans="1:14" ht="13.5" customHeight="1" x14ac:dyDescent="0.3"/>
  </sheetData>
  <mergeCells count="138">
    <mergeCell ref="M42:N42"/>
    <mergeCell ref="K39:L39"/>
    <mergeCell ref="A29:B29"/>
    <mergeCell ref="K38:L38"/>
    <mergeCell ref="C14:N14"/>
    <mergeCell ref="C29:E29"/>
    <mergeCell ref="A31:B31"/>
    <mergeCell ref="A2:N2"/>
    <mergeCell ref="C37:N37"/>
    <mergeCell ref="H8:J8"/>
    <mergeCell ref="A14:B14"/>
    <mergeCell ref="F22:G22"/>
    <mergeCell ref="A23:B23"/>
    <mergeCell ref="K23:L23"/>
    <mergeCell ref="C30:E30"/>
    <mergeCell ref="A38:B38"/>
    <mergeCell ref="H10:J10"/>
    <mergeCell ref="M29:N29"/>
    <mergeCell ref="M23:N23"/>
    <mergeCell ref="M38:N38"/>
    <mergeCell ref="H34:J34"/>
    <mergeCell ref="H9:J9"/>
    <mergeCell ref="F11:G11"/>
    <mergeCell ref="K34:L34"/>
    <mergeCell ref="F12:G12"/>
    <mergeCell ref="A16:B16"/>
    <mergeCell ref="H28:J28"/>
    <mergeCell ref="C27:N27"/>
    <mergeCell ref="C8:E8"/>
    <mergeCell ref="H12:J12"/>
    <mergeCell ref="A18:B18"/>
    <mergeCell ref="A43:N43"/>
    <mergeCell ref="C35:E35"/>
    <mergeCell ref="A34:B34"/>
    <mergeCell ref="C10:E10"/>
    <mergeCell ref="C16:E16"/>
    <mergeCell ref="K16:L16"/>
    <mergeCell ref="M34:N34"/>
    <mergeCell ref="C9:E9"/>
    <mergeCell ref="K9:L9"/>
    <mergeCell ref="M9:N9"/>
    <mergeCell ref="M39:N39"/>
    <mergeCell ref="K29:L29"/>
    <mergeCell ref="C11:E11"/>
    <mergeCell ref="K11:L11"/>
    <mergeCell ref="M11:N11"/>
    <mergeCell ref="K31:L31"/>
    <mergeCell ref="M31:N31"/>
    <mergeCell ref="A12:B12"/>
    <mergeCell ref="H15:J15"/>
    <mergeCell ref="A21:B21"/>
    <mergeCell ref="C28:E28"/>
    <mergeCell ref="M15:N15"/>
    <mergeCell ref="M12:N12"/>
    <mergeCell ref="H39:J39"/>
    <mergeCell ref="A1:N1"/>
    <mergeCell ref="H16:J16"/>
    <mergeCell ref="F30:G30"/>
    <mergeCell ref="C39:E39"/>
    <mergeCell ref="A37:B37"/>
    <mergeCell ref="F42:G42"/>
    <mergeCell ref="C38:E38"/>
    <mergeCell ref="A3:N3"/>
    <mergeCell ref="H42:J42"/>
    <mergeCell ref="F31:G31"/>
    <mergeCell ref="F28:G28"/>
    <mergeCell ref="H35:J35"/>
    <mergeCell ref="A5:N5"/>
    <mergeCell ref="A8:B8"/>
    <mergeCell ref="C15:E15"/>
    <mergeCell ref="F9:G9"/>
    <mergeCell ref="F39:G39"/>
    <mergeCell ref="C33:N33"/>
    <mergeCell ref="A4:N4"/>
    <mergeCell ref="A10:B10"/>
    <mergeCell ref="K10:L10"/>
    <mergeCell ref="K19:L19"/>
    <mergeCell ref="A6:N6"/>
    <mergeCell ref="F8:G8"/>
    <mergeCell ref="A42:B42"/>
    <mergeCell ref="K42:L42"/>
    <mergeCell ref="C18:N18"/>
    <mergeCell ref="C34:E34"/>
    <mergeCell ref="M8:N8"/>
    <mergeCell ref="A22:B22"/>
    <mergeCell ref="H29:J29"/>
    <mergeCell ref="A35:B35"/>
    <mergeCell ref="H38:J38"/>
    <mergeCell ref="C42:E42"/>
    <mergeCell ref="A19:B19"/>
    <mergeCell ref="A28:B28"/>
    <mergeCell ref="K28:L28"/>
    <mergeCell ref="H31:J31"/>
    <mergeCell ref="M19:N19"/>
    <mergeCell ref="A9:B9"/>
    <mergeCell ref="A39:B39"/>
    <mergeCell ref="A30:B30"/>
    <mergeCell ref="K30:L30"/>
    <mergeCell ref="F10:G10"/>
    <mergeCell ref="A11:B11"/>
    <mergeCell ref="K15:L15"/>
    <mergeCell ref="F19:G19"/>
    <mergeCell ref="C22:E22"/>
    <mergeCell ref="A41:B41"/>
    <mergeCell ref="H19:J19"/>
    <mergeCell ref="M10:N10"/>
    <mergeCell ref="C23:E23"/>
    <mergeCell ref="A27:B27"/>
    <mergeCell ref="C7:N7"/>
    <mergeCell ref="M16:N16"/>
    <mergeCell ref="A26:N26"/>
    <mergeCell ref="A33:B33"/>
    <mergeCell ref="F23:G23"/>
    <mergeCell ref="H30:J30"/>
    <mergeCell ref="F34:G34"/>
    <mergeCell ref="C12:E12"/>
    <mergeCell ref="K8:L8"/>
    <mergeCell ref="C41:N41"/>
    <mergeCell ref="K22:L22"/>
    <mergeCell ref="M22:N22"/>
    <mergeCell ref="F35:G35"/>
    <mergeCell ref="M30:N30"/>
    <mergeCell ref="K12:L12"/>
    <mergeCell ref="C19:E19"/>
    <mergeCell ref="F38:G38"/>
    <mergeCell ref="H23:J23"/>
    <mergeCell ref="M28:N28"/>
    <mergeCell ref="A15:B15"/>
    <mergeCell ref="F29:G29"/>
    <mergeCell ref="F16:G16"/>
    <mergeCell ref="C31:E31"/>
    <mergeCell ref="H11:J11"/>
    <mergeCell ref="C21:N21"/>
    <mergeCell ref="K35:L35"/>
    <mergeCell ref="M35:N35"/>
    <mergeCell ref="A7:B7"/>
    <mergeCell ref="F15:G15"/>
    <mergeCell ref="H22:J22"/>
  </mergeCells>
  <printOptions horizontalCentered="1"/>
  <pageMargins left="0.15" right="0.15" top="0.1" bottom="0.1" header="0.511811023622047" footer="0.511811023622047"/>
  <pageSetup scale="74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28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22" customWidth="1"/>
    <col min="3" max="3" width="14" customWidth="1"/>
    <col min="4" max="4" width="26" customWidth="1"/>
    <col min="5" max="5" width="8" customWidth="1"/>
    <col min="6" max="6" width="12" customWidth="1"/>
    <col min="8" max="8" width="10" customWidth="1"/>
  </cols>
  <sheetData>
    <row r="1" spans="1:8" ht="15" customHeight="1" x14ac:dyDescent="0.3">
      <c r="A1" s="3" t="s">
        <v>753</v>
      </c>
      <c r="B1" s="3" t="s">
        <v>754</v>
      </c>
      <c r="C1" s="3" t="s">
        <v>755</v>
      </c>
      <c r="D1" s="3" t="s">
        <v>756</v>
      </c>
      <c r="E1" s="3" t="s">
        <v>757</v>
      </c>
      <c r="F1" s="3" t="s">
        <v>758</v>
      </c>
      <c r="G1" s="3" t="s">
        <v>759</v>
      </c>
      <c r="H1" s="3" t="s">
        <v>760</v>
      </c>
    </row>
    <row r="2" spans="1:8" ht="15" customHeight="1" x14ac:dyDescent="0.3">
      <c r="A2" t="s">
        <v>761</v>
      </c>
      <c r="B2" t="s">
        <v>762</v>
      </c>
      <c r="C2" t="s">
        <v>763</v>
      </c>
      <c r="D2" t="s">
        <v>764</v>
      </c>
      <c r="E2" t="s">
        <v>765</v>
      </c>
      <c r="F2">
        <v>595552</v>
      </c>
      <c r="G2">
        <v>9451222</v>
      </c>
      <c r="H2">
        <v>355.36</v>
      </c>
    </row>
    <row r="3" spans="1:8" ht="15" customHeight="1" x14ac:dyDescent="0.3">
      <c r="A3" t="s">
        <v>766</v>
      </c>
      <c r="B3" t="s">
        <v>767</v>
      </c>
      <c r="C3" t="s">
        <v>763</v>
      </c>
      <c r="D3" t="s">
        <v>764</v>
      </c>
      <c r="E3" t="s">
        <v>765</v>
      </c>
      <c r="F3">
        <v>596773</v>
      </c>
      <c r="G3">
        <v>9448273</v>
      </c>
      <c r="H3">
        <v>68.89</v>
      </c>
    </row>
    <row r="4" spans="1:8" ht="15" customHeight="1" x14ac:dyDescent="0.3">
      <c r="A4" t="s">
        <v>768</v>
      </c>
      <c r="B4" t="s">
        <v>767</v>
      </c>
      <c r="C4" t="s">
        <v>763</v>
      </c>
      <c r="D4" t="s">
        <v>764</v>
      </c>
      <c r="E4" t="s">
        <v>765</v>
      </c>
      <c r="F4">
        <v>596578</v>
      </c>
      <c r="G4">
        <v>9442453</v>
      </c>
      <c r="H4">
        <v>53.48</v>
      </c>
    </row>
    <row r="5" spans="1:8" ht="15" customHeight="1" x14ac:dyDescent="0.3">
      <c r="A5" t="s">
        <v>769</v>
      </c>
      <c r="B5" t="s">
        <v>770</v>
      </c>
      <c r="C5" t="s">
        <v>763</v>
      </c>
      <c r="D5" t="s">
        <v>764</v>
      </c>
      <c r="E5" t="s">
        <v>765</v>
      </c>
      <c r="F5">
        <v>599927</v>
      </c>
      <c r="G5">
        <v>9442604</v>
      </c>
      <c r="H5">
        <v>35.83</v>
      </c>
    </row>
    <row r="6" spans="1:8" ht="15" customHeight="1" x14ac:dyDescent="0.3">
      <c r="A6" t="s">
        <v>771</v>
      </c>
      <c r="B6" t="s">
        <v>770</v>
      </c>
      <c r="C6" t="s">
        <v>763</v>
      </c>
      <c r="D6" t="s">
        <v>764</v>
      </c>
      <c r="E6" t="s">
        <v>765</v>
      </c>
      <c r="F6">
        <v>601122</v>
      </c>
      <c r="G6">
        <v>9443651</v>
      </c>
      <c r="H6">
        <v>79.33</v>
      </c>
    </row>
    <row r="7" spans="1:8" ht="15" customHeight="1" x14ac:dyDescent="0.3">
      <c r="A7" t="s">
        <v>772</v>
      </c>
      <c r="B7" t="s">
        <v>770</v>
      </c>
      <c r="C7" t="s">
        <v>763</v>
      </c>
      <c r="D7" t="s">
        <v>764</v>
      </c>
      <c r="E7" t="s">
        <v>765</v>
      </c>
      <c r="F7">
        <v>600644</v>
      </c>
      <c r="G7">
        <v>9440436</v>
      </c>
      <c r="H7">
        <v>42.45</v>
      </c>
    </row>
    <row r="8" spans="1:8" ht="15" customHeight="1" x14ac:dyDescent="0.3">
      <c r="A8" t="s">
        <v>740</v>
      </c>
      <c r="B8" t="s">
        <v>773</v>
      </c>
      <c r="C8" t="s">
        <v>763</v>
      </c>
      <c r="D8" t="s">
        <v>764</v>
      </c>
      <c r="E8" t="s">
        <v>765</v>
      </c>
      <c r="F8">
        <v>603653</v>
      </c>
      <c r="G8">
        <v>9439351</v>
      </c>
      <c r="H8">
        <v>330.6</v>
      </c>
    </row>
    <row r="9" spans="1:8" ht="15" customHeight="1" x14ac:dyDescent="0.3">
      <c r="A9" t="s">
        <v>774</v>
      </c>
      <c r="B9" t="s">
        <v>770</v>
      </c>
      <c r="C9" t="s">
        <v>763</v>
      </c>
      <c r="D9" t="s">
        <v>764</v>
      </c>
      <c r="E9" t="s">
        <v>765</v>
      </c>
      <c r="F9">
        <v>604926</v>
      </c>
      <c r="G9">
        <v>9444327</v>
      </c>
      <c r="H9">
        <v>124.71</v>
      </c>
    </row>
    <row r="10" spans="1:8" ht="15" customHeight="1" x14ac:dyDescent="0.3">
      <c r="A10" t="s">
        <v>775</v>
      </c>
      <c r="B10" t="s">
        <v>776</v>
      </c>
      <c r="C10" t="s">
        <v>763</v>
      </c>
      <c r="D10" t="s">
        <v>764</v>
      </c>
      <c r="E10" t="s">
        <v>765</v>
      </c>
      <c r="F10">
        <v>593246</v>
      </c>
      <c r="G10">
        <v>9430139</v>
      </c>
      <c r="H10">
        <v>448.8</v>
      </c>
    </row>
    <row r="11" spans="1:8" ht="15" customHeight="1" x14ac:dyDescent="0.3">
      <c r="A11" t="s">
        <v>742</v>
      </c>
      <c r="B11" t="s">
        <v>762</v>
      </c>
      <c r="C11" t="s">
        <v>777</v>
      </c>
      <c r="D11" t="s">
        <v>778</v>
      </c>
      <c r="E11" t="s">
        <v>779</v>
      </c>
      <c r="F11">
        <v>606816</v>
      </c>
      <c r="G11">
        <v>9458469</v>
      </c>
      <c r="H11">
        <v>459.29</v>
      </c>
    </row>
    <row r="12" spans="1:8" ht="15" customHeight="1" x14ac:dyDescent="0.3">
      <c r="A12" t="s">
        <v>748</v>
      </c>
      <c r="B12" t="s">
        <v>767</v>
      </c>
      <c r="C12" t="s">
        <v>777</v>
      </c>
      <c r="D12" t="s">
        <v>778</v>
      </c>
      <c r="E12" t="s">
        <v>779</v>
      </c>
      <c r="F12">
        <v>605636</v>
      </c>
      <c r="G12">
        <v>9455269</v>
      </c>
      <c r="H12">
        <v>168.41</v>
      </c>
    </row>
    <row r="13" spans="1:8" ht="15" customHeight="1" x14ac:dyDescent="0.3">
      <c r="A13" t="s">
        <v>780</v>
      </c>
      <c r="B13" t="s">
        <v>767</v>
      </c>
      <c r="C13" t="s">
        <v>777</v>
      </c>
      <c r="D13" t="s">
        <v>778</v>
      </c>
      <c r="E13" t="s">
        <v>779</v>
      </c>
      <c r="F13">
        <v>606468</v>
      </c>
      <c r="G13">
        <v>9454689</v>
      </c>
      <c r="H13">
        <v>24.84</v>
      </c>
    </row>
    <row r="14" spans="1:8" ht="15" customHeight="1" x14ac:dyDescent="0.3">
      <c r="A14" t="s">
        <v>781</v>
      </c>
      <c r="B14" t="s">
        <v>770</v>
      </c>
      <c r="C14" t="s">
        <v>777</v>
      </c>
      <c r="D14" t="s">
        <v>778</v>
      </c>
      <c r="E14" t="s">
        <v>779</v>
      </c>
      <c r="F14">
        <v>608472</v>
      </c>
      <c r="G14">
        <v>9448056</v>
      </c>
      <c r="H14">
        <v>258.83999999999997</v>
      </c>
    </row>
    <row r="15" spans="1:8" ht="15" customHeight="1" x14ac:dyDescent="0.3">
      <c r="A15" t="s">
        <v>782</v>
      </c>
      <c r="B15" t="s">
        <v>770</v>
      </c>
      <c r="C15" t="s">
        <v>777</v>
      </c>
      <c r="D15" t="s">
        <v>778</v>
      </c>
      <c r="E15" t="s">
        <v>779</v>
      </c>
      <c r="F15">
        <v>607036</v>
      </c>
      <c r="G15">
        <v>9446211</v>
      </c>
      <c r="H15">
        <v>106.54</v>
      </c>
    </row>
    <row r="16" spans="1:8" ht="15" customHeight="1" x14ac:dyDescent="0.3">
      <c r="A16" t="s">
        <v>783</v>
      </c>
      <c r="B16" t="s">
        <v>770</v>
      </c>
      <c r="C16" t="s">
        <v>777</v>
      </c>
      <c r="D16" t="s">
        <v>778</v>
      </c>
      <c r="E16" t="s">
        <v>779</v>
      </c>
      <c r="F16">
        <v>606173</v>
      </c>
      <c r="G16">
        <v>9447361</v>
      </c>
      <c r="H16">
        <v>75.36</v>
      </c>
    </row>
    <row r="17" spans="1:8" ht="15" customHeight="1" x14ac:dyDescent="0.3">
      <c r="A17" t="s">
        <v>784</v>
      </c>
      <c r="B17" t="s">
        <v>770</v>
      </c>
      <c r="C17" t="s">
        <v>777</v>
      </c>
      <c r="D17" t="s">
        <v>778</v>
      </c>
      <c r="E17" t="s">
        <v>779</v>
      </c>
      <c r="F17">
        <v>608800</v>
      </c>
      <c r="G17">
        <v>9445585</v>
      </c>
      <c r="H17">
        <v>74.03</v>
      </c>
    </row>
    <row r="18" spans="1:8" ht="15" customHeight="1" x14ac:dyDescent="0.3">
      <c r="A18" t="s">
        <v>785</v>
      </c>
      <c r="B18" t="s">
        <v>770</v>
      </c>
      <c r="C18" t="s">
        <v>777</v>
      </c>
      <c r="D18" t="s">
        <v>778</v>
      </c>
      <c r="E18" t="s">
        <v>779</v>
      </c>
      <c r="F18">
        <v>613302</v>
      </c>
      <c r="G18">
        <v>9450231</v>
      </c>
      <c r="H18">
        <v>78.150000000000006</v>
      </c>
    </row>
    <row r="19" spans="1:8" ht="15" customHeight="1" x14ac:dyDescent="0.3">
      <c r="A19" t="s">
        <v>786</v>
      </c>
      <c r="B19" t="s">
        <v>787</v>
      </c>
      <c r="C19" t="s">
        <v>777</v>
      </c>
      <c r="D19" t="s">
        <v>778</v>
      </c>
      <c r="E19" t="s">
        <v>779</v>
      </c>
      <c r="F19">
        <v>618523</v>
      </c>
      <c r="G19">
        <v>9448918</v>
      </c>
      <c r="H19">
        <v>68.569999999999993</v>
      </c>
    </row>
    <row r="20" spans="1:8" ht="15" customHeight="1" x14ac:dyDescent="0.3">
      <c r="A20" t="s">
        <v>788</v>
      </c>
      <c r="B20" t="s">
        <v>787</v>
      </c>
      <c r="C20" t="s">
        <v>777</v>
      </c>
      <c r="D20" t="s">
        <v>778</v>
      </c>
      <c r="E20" t="s">
        <v>779</v>
      </c>
      <c r="F20">
        <v>631723</v>
      </c>
      <c r="G20">
        <v>9439702</v>
      </c>
      <c r="H20">
        <v>77.67</v>
      </c>
    </row>
    <row r="21" spans="1:8" ht="15" customHeight="1" x14ac:dyDescent="0.3">
      <c r="A21" t="s">
        <v>789</v>
      </c>
      <c r="B21" t="s">
        <v>790</v>
      </c>
      <c r="C21" t="s">
        <v>763</v>
      </c>
      <c r="D21" t="s">
        <v>791</v>
      </c>
      <c r="E21" t="s">
        <v>792</v>
      </c>
      <c r="F21">
        <v>625419</v>
      </c>
      <c r="G21">
        <v>9444932</v>
      </c>
      <c r="H21">
        <v>119.54</v>
      </c>
    </row>
    <row r="22" spans="1:8" ht="15" customHeight="1" x14ac:dyDescent="0.3">
      <c r="A22" t="s">
        <v>793</v>
      </c>
      <c r="B22" t="s">
        <v>790</v>
      </c>
      <c r="C22" t="s">
        <v>763</v>
      </c>
      <c r="D22" t="s">
        <v>791</v>
      </c>
      <c r="E22" t="s">
        <v>792</v>
      </c>
      <c r="F22">
        <v>621452</v>
      </c>
      <c r="G22">
        <v>9443855</v>
      </c>
      <c r="H22">
        <v>35.659999999999997</v>
      </c>
    </row>
    <row r="23" spans="1:8" ht="15" customHeight="1" x14ac:dyDescent="0.3">
      <c r="A23" t="s">
        <v>794</v>
      </c>
      <c r="B23" t="s">
        <v>787</v>
      </c>
      <c r="C23" t="s">
        <v>763</v>
      </c>
      <c r="D23" t="s">
        <v>791</v>
      </c>
      <c r="E23" t="s">
        <v>792</v>
      </c>
      <c r="F23">
        <v>620263</v>
      </c>
      <c r="G23">
        <v>9442343</v>
      </c>
      <c r="H23">
        <v>100.51</v>
      </c>
    </row>
    <row r="24" spans="1:8" ht="15" customHeight="1" x14ac:dyDescent="0.3">
      <c r="A24" t="s">
        <v>795</v>
      </c>
      <c r="B24" t="s">
        <v>790</v>
      </c>
      <c r="C24" t="s">
        <v>763</v>
      </c>
      <c r="D24" t="s">
        <v>791</v>
      </c>
      <c r="E24" t="s">
        <v>792</v>
      </c>
      <c r="F24">
        <v>619630</v>
      </c>
      <c r="G24">
        <v>9440043</v>
      </c>
      <c r="H24">
        <v>35.1</v>
      </c>
    </row>
    <row r="25" spans="1:8" ht="15" customHeight="1" x14ac:dyDescent="0.3">
      <c r="A25" t="s">
        <v>796</v>
      </c>
      <c r="B25" t="s">
        <v>790</v>
      </c>
      <c r="C25" t="s">
        <v>763</v>
      </c>
      <c r="D25" t="s">
        <v>791</v>
      </c>
      <c r="E25" t="s">
        <v>792</v>
      </c>
      <c r="F25">
        <v>620759</v>
      </c>
      <c r="G25">
        <v>9439988</v>
      </c>
      <c r="H25">
        <v>103.95</v>
      </c>
    </row>
    <row r="26" spans="1:8" ht="15" customHeight="1" x14ac:dyDescent="0.3">
      <c r="A26" t="s">
        <v>797</v>
      </c>
      <c r="B26" t="s">
        <v>790</v>
      </c>
      <c r="C26" t="s">
        <v>763</v>
      </c>
      <c r="D26" t="s">
        <v>791</v>
      </c>
      <c r="E26" t="s">
        <v>792</v>
      </c>
      <c r="F26">
        <v>619939</v>
      </c>
      <c r="G26">
        <v>9438544</v>
      </c>
      <c r="H26">
        <v>81.78</v>
      </c>
    </row>
    <row r="27" spans="1:8" ht="15" customHeight="1" x14ac:dyDescent="0.3">
      <c r="A27" t="s">
        <v>798</v>
      </c>
      <c r="B27" t="s">
        <v>790</v>
      </c>
      <c r="C27" t="s">
        <v>763</v>
      </c>
      <c r="D27" t="s">
        <v>791</v>
      </c>
      <c r="E27" t="s">
        <v>792</v>
      </c>
      <c r="F27">
        <v>620200</v>
      </c>
      <c r="G27">
        <v>9437862</v>
      </c>
      <c r="H27">
        <v>86.15</v>
      </c>
    </row>
    <row r="28" spans="1:8" ht="15" customHeight="1" x14ac:dyDescent="0.3">
      <c r="A28" t="s">
        <v>799</v>
      </c>
      <c r="B28" t="s">
        <v>790</v>
      </c>
      <c r="C28" t="s">
        <v>763</v>
      </c>
      <c r="D28" t="s">
        <v>791</v>
      </c>
      <c r="E28" t="s">
        <v>792</v>
      </c>
      <c r="F28">
        <v>620770</v>
      </c>
      <c r="G28">
        <v>9436562</v>
      </c>
      <c r="H28">
        <v>34.17</v>
      </c>
    </row>
    <row r="29" spans="1:8" ht="15" customHeight="1" x14ac:dyDescent="0.3">
      <c r="A29" t="s">
        <v>800</v>
      </c>
      <c r="B29" t="s">
        <v>790</v>
      </c>
      <c r="C29" t="s">
        <v>763</v>
      </c>
      <c r="D29" t="s">
        <v>791</v>
      </c>
      <c r="E29" t="s">
        <v>792</v>
      </c>
      <c r="F29">
        <v>618661</v>
      </c>
      <c r="G29">
        <v>9438267</v>
      </c>
      <c r="H29">
        <v>96.08</v>
      </c>
    </row>
    <row r="30" spans="1:8" ht="15" customHeight="1" x14ac:dyDescent="0.3">
      <c r="A30" t="s">
        <v>801</v>
      </c>
      <c r="B30" t="s">
        <v>773</v>
      </c>
      <c r="C30" t="s">
        <v>763</v>
      </c>
      <c r="D30" t="s">
        <v>791</v>
      </c>
      <c r="E30" t="s">
        <v>792</v>
      </c>
      <c r="F30">
        <v>617596</v>
      </c>
      <c r="G30">
        <v>9436227</v>
      </c>
      <c r="H30">
        <v>35.35</v>
      </c>
    </row>
    <row r="31" spans="1:8" ht="15" customHeight="1" x14ac:dyDescent="0.3">
      <c r="A31" t="s">
        <v>802</v>
      </c>
      <c r="B31" t="s">
        <v>803</v>
      </c>
      <c r="C31" t="s">
        <v>763</v>
      </c>
      <c r="D31" t="s">
        <v>804</v>
      </c>
      <c r="E31" t="s">
        <v>805</v>
      </c>
      <c r="F31">
        <v>631195</v>
      </c>
      <c r="G31">
        <v>9441777</v>
      </c>
      <c r="H31">
        <v>25.67</v>
      </c>
    </row>
    <row r="32" spans="1:8" ht="15" customHeight="1" x14ac:dyDescent="0.3">
      <c r="A32" t="s">
        <v>806</v>
      </c>
      <c r="B32" t="s">
        <v>790</v>
      </c>
      <c r="C32" t="s">
        <v>763</v>
      </c>
      <c r="D32" t="s">
        <v>804</v>
      </c>
      <c r="E32" t="s">
        <v>805</v>
      </c>
      <c r="F32">
        <v>631195</v>
      </c>
      <c r="G32">
        <v>9441777</v>
      </c>
      <c r="H32">
        <v>13.55</v>
      </c>
    </row>
    <row r="33" spans="1:8" ht="15" customHeight="1" x14ac:dyDescent="0.3">
      <c r="A33" t="s">
        <v>807</v>
      </c>
      <c r="B33" t="s">
        <v>803</v>
      </c>
      <c r="C33" t="s">
        <v>763</v>
      </c>
      <c r="D33" t="s">
        <v>808</v>
      </c>
      <c r="E33" t="s">
        <v>805</v>
      </c>
      <c r="F33">
        <v>626438</v>
      </c>
      <c r="G33">
        <v>9435060</v>
      </c>
      <c r="H33">
        <v>28.19</v>
      </c>
    </row>
    <row r="34" spans="1:8" ht="15" customHeight="1" x14ac:dyDescent="0.3">
      <c r="A34" t="s">
        <v>809</v>
      </c>
      <c r="B34" t="s">
        <v>790</v>
      </c>
      <c r="C34" t="s">
        <v>763</v>
      </c>
      <c r="D34" t="s">
        <v>808</v>
      </c>
      <c r="E34" t="s">
        <v>805</v>
      </c>
      <c r="F34">
        <v>625152</v>
      </c>
      <c r="G34">
        <v>9435011</v>
      </c>
      <c r="H34">
        <v>80.62</v>
      </c>
    </row>
    <row r="35" spans="1:8" ht="15" customHeight="1" x14ac:dyDescent="0.3">
      <c r="A35" t="s">
        <v>810</v>
      </c>
      <c r="B35" t="s">
        <v>790</v>
      </c>
      <c r="C35" t="s">
        <v>763</v>
      </c>
      <c r="D35" t="s">
        <v>808</v>
      </c>
      <c r="E35" t="s">
        <v>805</v>
      </c>
      <c r="F35">
        <v>624397</v>
      </c>
      <c r="G35">
        <v>9437085</v>
      </c>
      <c r="H35">
        <v>92.9</v>
      </c>
    </row>
    <row r="36" spans="1:8" ht="15" customHeight="1" x14ac:dyDescent="0.3">
      <c r="A36" t="s">
        <v>811</v>
      </c>
      <c r="B36" t="s">
        <v>812</v>
      </c>
      <c r="C36" t="s">
        <v>763</v>
      </c>
      <c r="D36" t="s">
        <v>808</v>
      </c>
      <c r="E36" t="s">
        <v>805</v>
      </c>
      <c r="F36">
        <v>619094</v>
      </c>
      <c r="G36">
        <v>9426406</v>
      </c>
      <c r="H36">
        <v>11.47</v>
      </c>
    </row>
    <row r="37" spans="1:8" ht="15" customHeight="1" x14ac:dyDescent="0.3">
      <c r="A37" t="s">
        <v>813</v>
      </c>
      <c r="B37" t="s">
        <v>790</v>
      </c>
      <c r="C37" t="s">
        <v>763</v>
      </c>
      <c r="D37" t="s">
        <v>763</v>
      </c>
      <c r="E37" t="s">
        <v>814</v>
      </c>
      <c r="F37">
        <v>617715</v>
      </c>
      <c r="G37">
        <v>9427284</v>
      </c>
      <c r="H37">
        <v>74.37</v>
      </c>
    </row>
    <row r="38" spans="1:8" ht="15" customHeight="1" x14ac:dyDescent="0.3">
      <c r="A38" t="s">
        <v>815</v>
      </c>
      <c r="B38" t="s">
        <v>812</v>
      </c>
      <c r="C38" t="s">
        <v>763</v>
      </c>
      <c r="D38" t="s">
        <v>763</v>
      </c>
      <c r="E38" t="s">
        <v>814</v>
      </c>
      <c r="F38">
        <v>618248</v>
      </c>
      <c r="G38">
        <v>9426493</v>
      </c>
      <c r="H38">
        <v>50.97</v>
      </c>
    </row>
    <row r="39" spans="1:8" ht="15" customHeight="1" x14ac:dyDescent="0.3">
      <c r="A39" t="s">
        <v>816</v>
      </c>
      <c r="B39" t="s">
        <v>817</v>
      </c>
      <c r="C39" t="s">
        <v>763</v>
      </c>
      <c r="D39" t="s">
        <v>818</v>
      </c>
      <c r="E39" t="s">
        <v>819</v>
      </c>
      <c r="F39">
        <v>618299</v>
      </c>
      <c r="G39">
        <v>9423119</v>
      </c>
      <c r="H39">
        <v>249.89</v>
      </c>
    </row>
    <row r="40" spans="1:8" ht="15" customHeight="1" x14ac:dyDescent="0.3">
      <c r="A40" t="s">
        <v>820</v>
      </c>
      <c r="B40" t="s">
        <v>817</v>
      </c>
      <c r="C40" t="s">
        <v>763</v>
      </c>
      <c r="D40" t="s">
        <v>818</v>
      </c>
      <c r="E40" t="s">
        <v>819</v>
      </c>
      <c r="F40">
        <v>611305</v>
      </c>
      <c r="G40">
        <v>9419274</v>
      </c>
      <c r="H40">
        <v>160.97999999999999</v>
      </c>
    </row>
    <row r="41" spans="1:8" ht="15" customHeight="1" x14ac:dyDescent="0.3">
      <c r="A41" t="s">
        <v>821</v>
      </c>
      <c r="B41" t="s">
        <v>817</v>
      </c>
      <c r="C41" t="s">
        <v>763</v>
      </c>
      <c r="D41" t="s">
        <v>818</v>
      </c>
      <c r="E41" t="s">
        <v>819</v>
      </c>
      <c r="F41">
        <v>611196</v>
      </c>
      <c r="G41">
        <v>9416725</v>
      </c>
      <c r="H41">
        <v>333.01</v>
      </c>
    </row>
    <row r="42" spans="1:8" ht="15" customHeight="1" x14ac:dyDescent="0.3">
      <c r="A42" t="s">
        <v>822</v>
      </c>
      <c r="B42" t="s">
        <v>817</v>
      </c>
      <c r="C42" t="s">
        <v>763</v>
      </c>
      <c r="D42" t="s">
        <v>818</v>
      </c>
      <c r="E42" t="s">
        <v>819</v>
      </c>
      <c r="F42">
        <v>612864</v>
      </c>
      <c r="G42">
        <v>9413345</v>
      </c>
      <c r="H42">
        <v>514.36</v>
      </c>
    </row>
    <row r="43" spans="1:8" ht="15" customHeight="1" x14ac:dyDescent="0.3">
      <c r="A43" t="s">
        <v>746</v>
      </c>
      <c r="B43" t="s">
        <v>817</v>
      </c>
      <c r="C43" t="s">
        <v>763</v>
      </c>
      <c r="D43" t="s">
        <v>818</v>
      </c>
      <c r="E43" t="s">
        <v>819</v>
      </c>
      <c r="F43">
        <v>617860</v>
      </c>
      <c r="G43">
        <v>9413182</v>
      </c>
      <c r="H43">
        <v>295.73</v>
      </c>
    </row>
    <row r="44" spans="1:8" ht="15" customHeight="1" x14ac:dyDescent="0.3">
      <c r="A44" t="s">
        <v>823</v>
      </c>
      <c r="B44" t="s">
        <v>824</v>
      </c>
      <c r="C44" t="s">
        <v>763</v>
      </c>
      <c r="D44" t="s">
        <v>818</v>
      </c>
      <c r="E44" t="s">
        <v>819</v>
      </c>
      <c r="F44">
        <v>617695</v>
      </c>
      <c r="G44">
        <v>9409136</v>
      </c>
      <c r="H44">
        <v>188.8</v>
      </c>
    </row>
    <row r="45" spans="1:8" ht="15" customHeight="1" x14ac:dyDescent="0.3">
      <c r="A45" t="s">
        <v>825</v>
      </c>
      <c r="B45" t="s">
        <v>826</v>
      </c>
      <c r="C45" t="s">
        <v>763</v>
      </c>
      <c r="D45" t="s">
        <v>818</v>
      </c>
      <c r="E45" t="s">
        <v>819</v>
      </c>
      <c r="F45">
        <v>621058</v>
      </c>
      <c r="G45">
        <v>9410427</v>
      </c>
      <c r="H45">
        <v>160.36000000000001</v>
      </c>
    </row>
    <row r="46" spans="1:8" ht="15" customHeight="1" x14ac:dyDescent="0.3">
      <c r="A46" t="s">
        <v>827</v>
      </c>
      <c r="B46" t="s">
        <v>828</v>
      </c>
      <c r="C46" t="s">
        <v>763</v>
      </c>
      <c r="D46" t="s">
        <v>829</v>
      </c>
      <c r="E46" t="s">
        <v>830</v>
      </c>
      <c r="F46">
        <v>629338</v>
      </c>
      <c r="G46">
        <v>9413305</v>
      </c>
      <c r="H46">
        <v>294.2</v>
      </c>
    </row>
    <row r="47" spans="1:8" ht="15" customHeight="1" x14ac:dyDescent="0.3">
      <c r="A47" t="s">
        <v>831</v>
      </c>
      <c r="B47" t="s">
        <v>828</v>
      </c>
      <c r="C47" t="s">
        <v>763</v>
      </c>
      <c r="D47" t="s">
        <v>829</v>
      </c>
      <c r="E47" t="s">
        <v>830</v>
      </c>
      <c r="F47">
        <v>630685</v>
      </c>
      <c r="G47">
        <v>9410800</v>
      </c>
      <c r="H47">
        <v>80.98</v>
      </c>
    </row>
    <row r="48" spans="1:8" ht="15" customHeight="1" x14ac:dyDescent="0.3">
      <c r="A48" t="s">
        <v>832</v>
      </c>
      <c r="B48" t="s">
        <v>833</v>
      </c>
      <c r="C48" t="s">
        <v>763</v>
      </c>
      <c r="D48" t="s">
        <v>829</v>
      </c>
      <c r="E48" t="s">
        <v>830</v>
      </c>
      <c r="F48">
        <v>629006</v>
      </c>
      <c r="G48">
        <v>9407536</v>
      </c>
      <c r="H48">
        <v>130.43</v>
      </c>
    </row>
    <row r="49" spans="1:8" ht="15" customHeight="1" x14ac:dyDescent="0.3">
      <c r="A49" t="s">
        <v>834</v>
      </c>
      <c r="B49" t="s">
        <v>833</v>
      </c>
      <c r="C49" t="s">
        <v>763</v>
      </c>
      <c r="D49" t="s">
        <v>829</v>
      </c>
      <c r="E49" t="s">
        <v>830</v>
      </c>
      <c r="F49">
        <v>631438</v>
      </c>
      <c r="G49">
        <v>9403547</v>
      </c>
      <c r="H49">
        <v>115.38</v>
      </c>
    </row>
    <row r="50" spans="1:8" ht="15" customHeight="1" x14ac:dyDescent="0.3">
      <c r="A50" t="s">
        <v>835</v>
      </c>
      <c r="B50" t="s">
        <v>833</v>
      </c>
      <c r="C50" t="s">
        <v>763</v>
      </c>
      <c r="D50" t="s">
        <v>829</v>
      </c>
      <c r="E50" t="s">
        <v>830</v>
      </c>
      <c r="F50">
        <v>633232</v>
      </c>
      <c r="G50">
        <v>9401227</v>
      </c>
      <c r="H50">
        <v>65.739999999999995</v>
      </c>
    </row>
    <row r="51" spans="1:8" ht="15" customHeight="1" x14ac:dyDescent="0.3">
      <c r="A51" t="s">
        <v>836</v>
      </c>
      <c r="B51" t="s">
        <v>833</v>
      </c>
      <c r="C51" t="s">
        <v>763</v>
      </c>
      <c r="D51" t="s">
        <v>829</v>
      </c>
      <c r="E51" t="s">
        <v>830</v>
      </c>
      <c r="F51">
        <v>635110</v>
      </c>
      <c r="G51">
        <v>9399092</v>
      </c>
      <c r="H51">
        <v>91.29</v>
      </c>
    </row>
    <row r="52" spans="1:8" ht="15" customHeight="1" x14ac:dyDescent="0.3">
      <c r="A52" t="s">
        <v>837</v>
      </c>
      <c r="B52" t="s">
        <v>838</v>
      </c>
      <c r="C52" t="s">
        <v>763</v>
      </c>
      <c r="D52" t="s">
        <v>829</v>
      </c>
      <c r="E52" t="s">
        <v>830</v>
      </c>
      <c r="F52">
        <v>635876</v>
      </c>
      <c r="G52">
        <v>9397941</v>
      </c>
      <c r="H52">
        <v>81.790000000000006</v>
      </c>
    </row>
    <row r="53" spans="1:8" ht="15" customHeight="1" x14ac:dyDescent="0.3">
      <c r="A53" t="s">
        <v>839</v>
      </c>
      <c r="B53" t="s">
        <v>838</v>
      </c>
      <c r="C53" t="s">
        <v>763</v>
      </c>
      <c r="D53" t="s">
        <v>829</v>
      </c>
      <c r="E53" t="s">
        <v>830</v>
      </c>
      <c r="F53">
        <v>639728</v>
      </c>
      <c r="G53">
        <v>9396836</v>
      </c>
      <c r="H53">
        <v>173.43</v>
      </c>
    </row>
    <row r="54" spans="1:8" ht="15" customHeight="1" x14ac:dyDescent="0.3">
      <c r="A54" t="s">
        <v>840</v>
      </c>
      <c r="B54" t="s">
        <v>838</v>
      </c>
      <c r="C54" t="s">
        <v>763</v>
      </c>
      <c r="D54" t="s">
        <v>829</v>
      </c>
      <c r="E54" t="s">
        <v>830</v>
      </c>
      <c r="F54">
        <v>639987</v>
      </c>
      <c r="G54">
        <v>9394392</v>
      </c>
      <c r="H54">
        <v>30.91</v>
      </c>
    </row>
    <row r="55" spans="1:8" ht="15" customHeight="1" x14ac:dyDescent="0.3">
      <c r="A55" t="s">
        <v>738</v>
      </c>
      <c r="B55" t="s">
        <v>838</v>
      </c>
      <c r="C55" t="s">
        <v>763</v>
      </c>
      <c r="D55" t="s">
        <v>829</v>
      </c>
      <c r="E55" t="s">
        <v>830</v>
      </c>
      <c r="F55">
        <v>645575</v>
      </c>
      <c r="G55">
        <v>9393500</v>
      </c>
      <c r="H55">
        <v>1370.96</v>
      </c>
    </row>
    <row r="56" spans="1:8" ht="15" customHeight="1" x14ac:dyDescent="0.3">
      <c r="A56" t="s">
        <v>841</v>
      </c>
      <c r="B56" t="s">
        <v>826</v>
      </c>
      <c r="C56" t="s">
        <v>763</v>
      </c>
      <c r="D56" t="s">
        <v>829</v>
      </c>
      <c r="E56" t="s">
        <v>830</v>
      </c>
      <c r="F56">
        <v>625311</v>
      </c>
      <c r="G56">
        <v>9412195</v>
      </c>
      <c r="H56">
        <v>373.81</v>
      </c>
    </row>
    <row r="57" spans="1:8" ht="15" customHeight="1" x14ac:dyDescent="0.3">
      <c r="A57" t="s">
        <v>842</v>
      </c>
      <c r="B57" t="s">
        <v>826</v>
      </c>
      <c r="C57" t="s">
        <v>763</v>
      </c>
      <c r="D57" t="s">
        <v>829</v>
      </c>
      <c r="E57" t="s">
        <v>830</v>
      </c>
      <c r="F57">
        <v>621551</v>
      </c>
      <c r="G57">
        <v>9412989</v>
      </c>
      <c r="H57">
        <v>197.35</v>
      </c>
    </row>
    <row r="58" spans="1:8" ht="15" customHeight="1" x14ac:dyDescent="0.3">
      <c r="A58" t="s">
        <v>843</v>
      </c>
      <c r="B58" t="s">
        <v>828</v>
      </c>
      <c r="C58" t="s">
        <v>763</v>
      </c>
      <c r="D58" t="s">
        <v>844</v>
      </c>
      <c r="E58" t="s">
        <v>845</v>
      </c>
      <c r="F58">
        <v>638309</v>
      </c>
      <c r="G58">
        <v>9415217</v>
      </c>
      <c r="H58">
        <v>122.95</v>
      </c>
    </row>
    <row r="59" spans="1:8" ht="15" customHeight="1" x14ac:dyDescent="0.3">
      <c r="A59" t="s">
        <v>846</v>
      </c>
      <c r="B59" t="s">
        <v>828</v>
      </c>
      <c r="C59" t="s">
        <v>763</v>
      </c>
      <c r="D59" t="s">
        <v>844</v>
      </c>
      <c r="E59" t="s">
        <v>845</v>
      </c>
      <c r="F59">
        <v>637918</v>
      </c>
      <c r="G59">
        <v>9412134</v>
      </c>
      <c r="H59">
        <v>60.35</v>
      </c>
    </row>
    <row r="60" spans="1:8" ht="15" customHeight="1" x14ac:dyDescent="0.3">
      <c r="A60" t="s">
        <v>847</v>
      </c>
      <c r="B60" t="s">
        <v>848</v>
      </c>
      <c r="C60" t="s">
        <v>763</v>
      </c>
      <c r="D60" t="s">
        <v>844</v>
      </c>
      <c r="E60" t="s">
        <v>845</v>
      </c>
      <c r="F60">
        <v>638648</v>
      </c>
      <c r="G60">
        <v>9411370</v>
      </c>
      <c r="H60">
        <v>17.82</v>
      </c>
    </row>
    <row r="61" spans="1:8" ht="15" customHeight="1" x14ac:dyDescent="0.3">
      <c r="A61" t="s">
        <v>849</v>
      </c>
      <c r="B61" t="s">
        <v>828</v>
      </c>
      <c r="C61" t="s">
        <v>763</v>
      </c>
      <c r="D61" t="s">
        <v>844</v>
      </c>
      <c r="E61" t="s">
        <v>845</v>
      </c>
      <c r="F61">
        <v>635887</v>
      </c>
      <c r="G61">
        <v>9411738</v>
      </c>
      <c r="H61">
        <v>52.74</v>
      </c>
    </row>
    <row r="62" spans="1:8" ht="15" customHeight="1" x14ac:dyDescent="0.3">
      <c r="A62" t="s">
        <v>850</v>
      </c>
      <c r="B62" t="s">
        <v>828</v>
      </c>
      <c r="C62" t="s">
        <v>763</v>
      </c>
      <c r="D62" t="s">
        <v>844</v>
      </c>
      <c r="E62" t="s">
        <v>845</v>
      </c>
      <c r="F62">
        <v>633015</v>
      </c>
      <c r="G62">
        <v>9411483</v>
      </c>
      <c r="H62">
        <v>84.82</v>
      </c>
    </row>
    <row r="63" spans="1:8" ht="15" customHeight="1" x14ac:dyDescent="0.3">
      <c r="A63" t="s">
        <v>851</v>
      </c>
      <c r="B63" t="s">
        <v>828</v>
      </c>
      <c r="C63" t="s">
        <v>763</v>
      </c>
      <c r="D63" t="s">
        <v>844</v>
      </c>
      <c r="E63" t="s">
        <v>845</v>
      </c>
      <c r="F63">
        <v>632119</v>
      </c>
      <c r="G63">
        <v>9415141</v>
      </c>
      <c r="H63">
        <v>565.58000000000004</v>
      </c>
    </row>
    <row r="64" spans="1:8" ht="15" customHeight="1" x14ac:dyDescent="0.3">
      <c r="A64" t="s">
        <v>852</v>
      </c>
      <c r="B64" t="s">
        <v>848</v>
      </c>
      <c r="C64" t="s">
        <v>763</v>
      </c>
      <c r="D64" t="s">
        <v>844</v>
      </c>
      <c r="E64" t="s">
        <v>845</v>
      </c>
      <c r="F64">
        <v>642079</v>
      </c>
      <c r="G64">
        <v>9413823</v>
      </c>
      <c r="H64">
        <v>106.03</v>
      </c>
    </row>
    <row r="65" spans="1:8" ht="15" customHeight="1" x14ac:dyDescent="0.3">
      <c r="A65" t="s">
        <v>853</v>
      </c>
      <c r="B65" t="s">
        <v>854</v>
      </c>
      <c r="C65" t="s">
        <v>763</v>
      </c>
      <c r="D65" t="s">
        <v>855</v>
      </c>
      <c r="E65" t="s">
        <v>856</v>
      </c>
      <c r="F65">
        <v>642690</v>
      </c>
      <c r="G65">
        <v>9438409</v>
      </c>
      <c r="H65">
        <v>0.86</v>
      </c>
    </row>
    <row r="66" spans="1:8" ht="15" customHeight="1" x14ac:dyDescent="0.3">
      <c r="A66" t="s">
        <v>857</v>
      </c>
      <c r="B66" t="s">
        <v>854</v>
      </c>
      <c r="C66" t="s">
        <v>763</v>
      </c>
      <c r="D66" t="s">
        <v>855</v>
      </c>
      <c r="E66" t="s">
        <v>856</v>
      </c>
      <c r="F66">
        <v>642334</v>
      </c>
      <c r="G66">
        <v>9438263</v>
      </c>
      <c r="H66">
        <v>15.84</v>
      </c>
    </row>
    <row r="67" spans="1:8" ht="15" customHeight="1" x14ac:dyDescent="0.3">
      <c r="A67" t="s">
        <v>858</v>
      </c>
      <c r="B67" t="s">
        <v>854</v>
      </c>
      <c r="C67" t="s">
        <v>763</v>
      </c>
      <c r="D67" t="s">
        <v>855</v>
      </c>
      <c r="E67" t="s">
        <v>856</v>
      </c>
      <c r="F67">
        <v>641522</v>
      </c>
      <c r="G67">
        <v>9438064</v>
      </c>
      <c r="H67">
        <v>11.06</v>
      </c>
    </row>
    <row r="68" spans="1:8" ht="15" customHeight="1" x14ac:dyDescent="0.3">
      <c r="A68" t="s">
        <v>859</v>
      </c>
      <c r="B68" t="s">
        <v>854</v>
      </c>
      <c r="C68" t="s">
        <v>763</v>
      </c>
      <c r="D68" t="s">
        <v>855</v>
      </c>
      <c r="E68" t="s">
        <v>856</v>
      </c>
      <c r="F68">
        <v>639496</v>
      </c>
      <c r="G68">
        <v>9433679</v>
      </c>
      <c r="H68">
        <v>5.75</v>
      </c>
    </row>
    <row r="69" spans="1:8" ht="15" customHeight="1" x14ac:dyDescent="0.3">
      <c r="A69" t="s">
        <v>860</v>
      </c>
      <c r="B69" t="s">
        <v>854</v>
      </c>
      <c r="C69" t="s">
        <v>763</v>
      </c>
      <c r="D69" t="s">
        <v>855</v>
      </c>
      <c r="E69" t="s">
        <v>856</v>
      </c>
      <c r="F69">
        <v>638751</v>
      </c>
      <c r="G69">
        <v>9433236</v>
      </c>
      <c r="H69">
        <v>18.87</v>
      </c>
    </row>
    <row r="70" spans="1:8" ht="15" customHeight="1" x14ac:dyDescent="0.3">
      <c r="A70" t="s">
        <v>861</v>
      </c>
      <c r="B70" t="s">
        <v>854</v>
      </c>
      <c r="C70" t="s">
        <v>763</v>
      </c>
      <c r="D70" t="s">
        <v>855</v>
      </c>
      <c r="E70" t="s">
        <v>856</v>
      </c>
      <c r="F70">
        <v>636249</v>
      </c>
      <c r="G70">
        <v>9425665</v>
      </c>
      <c r="H70">
        <v>90.2</v>
      </c>
    </row>
    <row r="71" spans="1:8" ht="15" customHeight="1" x14ac:dyDescent="0.3">
      <c r="A71" t="s">
        <v>862</v>
      </c>
      <c r="B71" t="s">
        <v>854</v>
      </c>
      <c r="C71" t="s">
        <v>763</v>
      </c>
      <c r="D71" t="s">
        <v>855</v>
      </c>
      <c r="E71" t="s">
        <v>856</v>
      </c>
      <c r="F71">
        <v>634061</v>
      </c>
      <c r="G71">
        <v>9426778</v>
      </c>
      <c r="H71">
        <v>58.29</v>
      </c>
    </row>
    <row r="72" spans="1:8" ht="15" customHeight="1" x14ac:dyDescent="0.3">
      <c r="A72" t="s">
        <v>863</v>
      </c>
      <c r="B72" t="s">
        <v>854</v>
      </c>
      <c r="C72" t="s">
        <v>763</v>
      </c>
      <c r="D72" t="s">
        <v>855</v>
      </c>
      <c r="E72" t="s">
        <v>856</v>
      </c>
      <c r="F72">
        <v>626078</v>
      </c>
      <c r="G72">
        <v>9427110</v>
      </c>
      <c r="H72">
        <v>283.43</v>
      </c>
    </row>
    <row r="73" spans="1:8" ht="15" customHeight="1" x14ac:dyDescent="0.3">
      <c r="A73" t="s">
        <v>864</v>
      </c>
      <c r="B73" t="s">
        <v>865</v>
      </c>
      <c r="C73" t="s">
        <v>866</v>
      </c>
      <c r="D73" t="s">
        <v>867</v>
      </c>
      <c r="E73" t="s">
        <v>868</v>
      </c>
      <c r="F73">
        <v>646466</v>
      </c>
      <c r="G73">
        <v>9431126</v>
      </c>
      <c r="H73">
        <v>29.68</v>
      </c>
    </row>
    <row r="74" spans="1:8" ht="15" customHeight="1" x14ac:dyDescent="0.3">
      <c r="A74" t="s">
        <v>869</v>
      </c>
      <c r="B74" t="s">
        <v>865</v>
      </c>
      <c r="C74" t="s">
        <v>866</v>
      </c>
      <c r="D74" t="s">
        <v>867</v>
      </c>
      <c r="E74" t="s">
        <v>868</v>
      </c>
      <c r="F74">
        <v>647123</v>
      </c>
      <c r="G74">
        <v>9427602</v>
      </c>
      <c r="H74">
        <v>44.2</v>
      </c>
    </row>
    <row r="75" spans="1:8" ht="15" customHeight="1" x14ac:dyDescent="0.3">
      <c r="A75" t="s">
        <v>870</v>
      </c>
      <c r="B75" t="s">
        <v>865</v>
      </c>
      <c r="C75" t="s">
        <v>866</v>
      </c>
      <c r="D75" t="s">
        <v>867</v>
      </c>
      <c r="E75" t="s">
        <v>868</v>
      </c>
      <c r="F75">
        <v>647350</v>
      </c>
      <c r="G75">
        <v>9427252</v>
      </c>
      <c r="H75">
        <v>19.27</v>
      </c>
    </row>
    <row r="76" spans="1:8" ht="15" customHeight="1" x14ac:dyDescent="0.3">
      <c r="A76" t="s">
        <v>871</v>
      </c>
      <c r="B76" t="s">
        <v>865</v>
      </c>
      <c r="C76" t="s">
        <v>866</v>
      </c>
      <c r="D76" t="s">
        <v>867</v>
      </c>
      <c r="E76" t="s">
        <v>868</v>
      </c>
      <c r="F76">
        <v>646483</v>
      </c>
      <c r="G76">
        <v>9426305</v>
      </c>
      <c r="H76">
        <v>28.45</v>
      </c>
    </row>
    <row r="77" spans="1:8" ht="15" customHeight="1" x14ac:dyDescent="0.3">
      <c r="A77" t="s">
        <v>872</v>
      </c>
      <c r="B77" t="s">
        <v>865</v>
      </c>
      <c r="C77" t="s">
        <v>866</v>
      </c>
      <c r="D77" t="s">
        <v>867</v>
      </c>
      <c r="E77" t="s">
        <v>868</v>
      </c>
      <c r="F77">
        <v>646236</v>
      </c>
      <c r="G77">
        <v>9425052</v>
      </c>
      <c r="H77">
        <v>26.83</v>
      </c>
    </row>
    <row r="78" spans="1:8" ht="15" customHeight="1" x14ac:dyDescent="0.3">
      <c r="A78" t="s">
        <v>873</v>
      </c>
      <c r="B78" t="s">
        <v>874</v>
      </c>
      <c r="C78" t="s">
        <v>866</v>
      </c>
      <c r="D78" t="s">
        <v>867</v>
      </c>
      <c r="E78" t="s">
        <v>868</v>
      </c>
      <c r="F78">
        <v>649081</v>
      </c>
      <c r="G78">
        <v>9424506</v>
      </c>
      <c r="H78">
        <v>35.49</v>
      </c>
    </row>
    <row r="79" spans="1:8" ht="15" customHeight="1" x14ac:dyDescent="0.3">
      <c r="A79" t="s">
        <v>875</v>
      </c>
      <c r="B79" t="s">
        <v>874</v>
      </c>
      <c r="C79" t="s">
        <v>866</v>
      </c>
      <c r="D79" t="s">
        <v>867</v>
      </c>
      <c r="E79" t="s">
        <v>868</v>
      </c>
      <c r="F79">
        <v>649472</v>
      </c>
      <c r="G79">
        <v>9425705</v>
      </c>
      <c r="H79">
        <v>46.96</v>
      </c>
    </row>
    <row r="80" spans="1:8" ht="15" customHeight="1" x14ac:dyDescent="0.3">
      <c r="A80" t="s">
        <v>876</v>
      </c>
      <c r="B80" t="s">
        <v>874</v>
      </c>
      <c r="C80" t="s">
        <v>866</v>
      </c>
      <c r="D80" t="s">
        <v>866</v>
      </c>
      <c r="E80" t="s">
        <v>877</v>
      </c>
      <c r="F80">
        <v>657819</v>
      </c>
      <c r="G80">
        <v>9428541</v>
      </c>
      <c r="H80">
        <v>35.770000000000003</v>
      </c>
    </row>
    <row r="81" spans="1:8" ht="15" customHeight="1" x14ac:dyDescent="0.3">
      <c r="A81" t="s">
        <v>878</v>
      </c>
      <c r="B81" t="s">
        <v>879</v>
      </c>
      <c r="C81" t="s">
        <v>866</v>
      </c>
      <c r="D81" t="s">
        <v>866</v>
      </c>
      <c r="E81" t="s">
        <v>877</v>
      </c>
      <c r="F81">
        <v>656897</v>
      </c>
      <c r="G81">
        <v>9426033</v>
      </c>
      <c r="H81">
        <v>40.26</v>
      </c>
    </row>
    <row r="82" spans="1:8" ht="15" customHeight="1" x14ac:dyDescent="0.3">
      <c r="A82" t="s">
        <v>880</v>
      </c>
      <c r="B82" t="s">
        <v>874</v>
      </c>
      <c r="C82" t="s">
        <v>866</v>
      </c>
      <c r="D82" t="s">
        <v>866</v>
      </c>
      <c r="E82" t="s">
        <v>877</v>
      </c>
      <c r="F82">
        <v>655263</v>
      </c>
      <c r="G82">
        <v>9427340</v>
      </c>
      <c r="H82">
        <v>90.9</v>
      </c>
    </row>
    <row r="83" spans="1:8" ht="15" customHeight="1" x14ac:dyDescent="0.3">
      <c r="A83" t="s">
        <v>881</v>
      </c>
      <c r="B83" t="s">
        <v>874</v>
      </c>
      <c r="C83" t="s">
        <v>866</v>
      </c>
      <c r="D83" t="s">
        <v>882</v>
      </c>
      <c r="E83" t="s">
        <v>877</v>
      </c>
      <c r="F83">
        <v>653850</v>
      </c>
      <c r="G83">
        <v>9426236</v>
      </c>
      <c r="H83">
        <v>40.130000000000003</v>
      </c>
    </row>
    <row r="84" spans="1:8" ht="15" customHeight="1" x14ac:dyDescent="0.3">
      <c r="A84" t="s">
        <v>883</v>
      </c>
      <c r="B84" t="s">
        <v>874</v>
      </c>
      <c r="C84" t="s">
        <v>866</v>
      </c>
      <c r="D84" t="s">
        <v>882</v>
      </c>
      <c r="E84" t="s">
        <v>877</v>
      </c>
      <c r="F84">
        <v>654137</v>
      </c>
      <c r="G84">
        <v>9424425</v>
      </c>
      <c r="H84">
        <v>28.52</v>
      </c>
    </row>
    <row r="85" spans="1:8" ht="15" customHeight="1" x14ac:dyDescent="0.3">
      <c r="A85" t="s">
        <v>884</v>
      </c>
      <c r="B85" t="s">
        <v>874</v>
      </c>
      <c r="C85" t="s">
        <v>866</v>
      </c>
      <c r="D85" t="s">
        <v>882</v>
      </c>
      <c r="E85" t="s">
        <v>877</v>
      </c>
      <c r="F85">
        <v>652758</v>
      </c>
      <c r="G85">
        <v>9424380</v>
      </c>
      <c r="H85">
        <v>34.869999999999997</v>
      </c>
    </row>
    <row r="86" spans="1:8" ht="15" customHeight="1" x14ac:dyDescent="0.3">
      <c r="A86" t="s">
        <v>885</v>
      </c>
      <c r="B86" t="s">
        <v>874</v>
      </c>
      <c r="C86" t="s">
        <v>866</v>
      </c>
      <c r="D86" t="s">
        <v>882</v>
      </c>
      <c r="E86" t="s">
        <v>877</v>
      </c>
      <c r="F86">
        <v>654188</v>
      </c>
      <c r="G86">
        <v>9422849</v>
      </c>
      <c r="H86">
        <v>52.97</v>
      </c>
    </row>
    <row r="87" spans="1:8" ht="15" customHeight="1" x14ac:dyDescent="0.3">
      <c r="A87" t="s">
        <v>886</v>
      </c>
      <c r="B87" t="s">
        <v>874</v>
      </c>
      <c r="C87" t="s">
        <v>866</v>
      </c>
      <c r="D87" t="s">
        <v>882</v>
      </c>
      <c r="E87" t="s">
        <v>877</v>
      </c>
      <c r="F87">
        <v>655046</v>
      </c>
      <c r="G87">
        <v>9420450</v>
      </c>
      <c r="H87">
        <v>73.819999999999993</v>
      </c>
    </row>
    <row r="88" spans="1:8" ht="15" customHeight="1" x14ac:dyDescent="0.3">
      <c r="A88" t="s">
        <v>887</v>
      </c>
      <c r="B88" t="s">
        <v>879</v>
      </c>
      <c r="C88" t="s">
        <v>866</v>
      </c>
      <c r="D88" t="s">
        <v>882</v>
      </c>
      <c r="E88" t="s">
        <v>877</v>
      </c>
      <c r="F88">
        <v>657541</v>
      </c>
      <c r="G88">
        <v>9421083</v>
      </c>
      <c r="H88">
        <v>53.93</v>
      </c>
    </row>
    <row r="89" spans="1:8" ht="15" customHeight="1" x14ac:dyDescent="0.3">
      <c r="A89" t="s">
        <v>888</v>
      </c>
      <c r="B89" t="s">
        <v>874</v>
      </c>
      <c r="C89" t="s">
        <v>866</v>
      </c>
      <c r="D89" t="s">
        <v>882</v>
      </c>
      <c r="E89" t="s">
        <v>877</v>
      </c>
      <c r="F89">
        <v>654604</v>
      </c>
      <c r="G89">
        <v>9417736</v>
      </c>
      <c r="H89">
        <v>84.23</v>
      </c>
    </row>
    <row r="90" spans="1:8" ht="15" customHeight="1" x14ac:dyDescent="0.3">
      <c r="A90" t="s">
        <v>889</v>
      </c>
      <c r="B90" t="s">
        <v>874</v>
      </c>
      <c r="C90" t="s">
        <v>866</v>
      </c>
      <c r="D90" t="s">
        <v>882</v>
      </c>
      <c r="E90" t="s">
        <v>877</v>
      </c>
      <c r="F90">
        <v>652566</v>
      </c>
      <c r="G90">
        <v>9417311</v>
      </c>
      <c r="H90">
        <v>102.34</v>
      </c>
    </row>
    <row r="91" spans="1:8" ht="15" customHeight="1" x14ac:dyDescent="0.3">
      <c r="A91" t="s">
        <v>890</v>
      </c>
      <c r="B91" t="s">
        <v>848</v>
      </c>
      <c r="C91" t="s">
        <v>866</v>
      </c>
      <c r="D91" t="s">
        <v>882</v>
      </c>
      <c r="E91" t="s">
        <v>877</v>
      </c>
      <c r="F91">
        <v>652191</v>
      </c>
      <c r="G91">
        <v>9414358</v>
      </c>
      <c r="H91">
        <v>90.16</v>
      </c>
    </row>
    <row r="92" spans="1:8" ht="15" customHeight="1" x14ac:dyDescent="0.3">
      <c r="A92" t="s">
        <v>891</v>
      </c>
      <c r="B92" t="s">
        <v>848</v>
      </c>
      <c r="C92" t="s">
        <v>866</v>
      </c>
      <c r="D92" t="s">
        <v>882</v>
      </c>
      <c r="E92" t="s">
        <v>877</v>
      </c>
      <c r="F92">
        <v>655059</v>
      </c>
      <c r="G92">
        <v>9413845</v>
      </c>
      <c r="H92">
        <v>50.46</v>
      </c>
    </row>
    <row r="93" spans="1:8" ht="15" customHeight="1" x14ac:dyDescent="0.3">
      <c r="A93" t="s">
        <v>892</v>
      </c>
      <c r="B93" t="s">
        <v>893</v>
      </c>
      <c r="C93" t="s">
        <v>866</v>
      </c>
      <c r="D93" t="s">
        <v>882</v>
      </c>
      <c r="E93" t="s">
        <v>877</v>
      </c>
      <c r="F93">
        <v>650305</v>
      </c>
      <c r="G93">
        <v>9402785</v>
      </c>
      <c r="H93">
        <v>94.81</v>
      </c>
    </row>
    <row r="94" spans="1:8" ht="15" customHeight="1" x14ac:dyDescent="0.3">
      <c r="A94" t="s">
        <v>894</v>
      </c>
      <c r="B94" t="s">
        <v>895</v>
      </c>
      <c r="C94" t="s">
        <v>866</v>
      </c>
      <c r="D94" t="s">
        <v>882</v>
      </c>
      <c r="E94" t="s">
        <v>877</v>
      </c>
      <c r="F94">
        <v>641538</v>
      </c>
      <c r="G94">
        <v>9401360</v>
      </c>
      <c r="H94">
        <v>8.93</v>
      </c>
    </row>
    <row r="95" spans="1:8" ht="15" customHeight="1" x14ac:dyDescent="0.3">
      <c r="A95" t="s">
        <v>896</v>
      </c>
      <c r="B95" t="s">
        <v>897</v>
      </c>
      <c r="C95" t="s">
        <v>866</v>
      </c>
      <c r="D95" t="s">
        <v>898</v>
      </c>
      <c r="E95" t="s">
        <v>899</v>
      </c>
      <c r="F95">
        <v>664082</v>
      </c>
      <c r="G95">
        <v>9404172</v>
      </c>
      <c r="H95">
        <v>55.17</v>
      </c>
    </row>
    <row r="96" spans="1:8" ht="15" customHeight="1" x14ac:dyDescent="0.3">
      <c r="A96" t="s">
        <v>900</v>
      </c>
      <c r="B96" t="s">
        <v>897</v>
      </c>
      <c r="C96" t="s">
        <v>866</v>
      </c>
      <c r="D96" t="s">
        <v>898</v>
      </c>
      <c r="E96" t="s">
        <v>899</v>
      </c>
      <c r="F96">
        <v>663637</v>
      </c>
      <c r="G96">
        <v>9400618</v>
      </c>
      <c r="H96">
        <v>28.23</v>
      </c>
    </row>
    <row r="97" spans="1:8" ht="15" customHeight="1" x14ac:dyDescent="0.3">
      <c r="A97" t="s">
        <v>901</v>
      </c>
      <c r="B97" t="s">
        <v>897</v>
      </c>
      <c r="C97" t="s">
        <v>866</v>
      </c>
      <c r="D97" t="s">
        <v>898</v>
      </c>
      <c r="E97" t="s">
        <v>899</v>
      </c>
      <c r="F97">
        <v>659649</v>
      </c>
      <c r="G97">
        <v>9401436</v>
      </c>
      <c r="H97">
        <v>13.55</v>
      </c>
    </row>
    <row r="98" spans="1:8" ht="15" customHeight="1" x14ac:dyDescent="0.3">
      <c r="A98" t="s">
        <v>902</v>
      </c>
      <c r="B98" t="s">
        <v>893</v>
      </c>
      <c r="C98" t="s">
        <v>866</v>
      </c>
      <c r="D98" t="s">
        <v>898</v>
      </c>
      <c r="E98" t="s">
        <v>899</v>
      </c>
      <c r="F98">
        <v>657722</v>
      </c>
      <c r="G98">
        <v>9401669</v>
      </c>
      <c r="H98">
        <v>15.18</v>
      </c>
    </row>
    <row r="99" spans="1:8" ht="15" customHeight="1" x14ac:dyDescent="0.3">
      <c r="A99" t="s">
        <v>903</v>
      </c>
      <c r="B99" t="s">
        <v>897</v>
      </c>
      <c r="C99" t="s">
        <v>866</v>
      </c>
      <c r="D99" t="s">
        <v>898</v>
      </c>
      <c r="E99" t="s">
        <v>899</v>
      </c>
      <c r="F99">
        <v>656578</v>
      </c>
      <c r="G99">
        <v>9397762</v>
      </c>
      <c r="H99">
        <v>109.86</v>
      </c>
    </row>
    <row r="100" spans="1:8" ht="15" customHeight="1" x14ac:dyDescent="0.3">
      <c r="A100" t="s">
        <v>904</v>
      </c>
      <c r="B100" t="s">
        <v>897</v>
      </c>
      <c r="C100" t="s">
        <v>866</v>
      </c>
      <c r="D100" t="s">
        <v>898</v>
      </c>
      <c r="E100" t="s">
        <v>899</v>
      </c>
      <c r="F100">
        <v>656489</v>
      </c>
      <c r="G100">
        <v>9395403</v>
      </c>
      <c r="H100">
        <v>23.17</v>
      </c>
    </row>
    <row r="101" spans="1:8" ht="15" customHeight="1" x14ac:dyDescent="0.3">
      <c r="A101" t="s">
        <v>905</v>
      </c>
      <c r="B101" t="s">
        <v>897</v>
      </c>
      <c r="C101" t="s">
        <v>866</v>
      </c>
      <c r="D101" t="s">
        <v>898</v>
      </c>
      <c r="E101" t="s">
        <v>899</v>
      </c>
      <c r="F101">
        <v>654607</v>
      </c>
      <c r="G101">
        <v>9395038</v>
      </c>
      <c r="H101">
        <v>30.8</v>
      </c>
    </row>
    <row r="102" spans="1:8" ht="15" customHeight="1" x14ac:dyDescent="0.3">
      <c r="A102" t="s">
        <v>906</v>
      </c>
      <c r="B102" t="s">
        <v>897</v>
      </c>
      <c r="C102" t="s">
        <v>866</v>
      </c>
      <c r="D102" t="s">
        <v>898</v>
      </c>
      <c r="E102" t="s">
        <v>899</v>
      </c>
      <c r="F102">
        <v>654207</v>
      </c>
      <c r="G102">
        <v>9394210</v>
      </c>
      <c r="H102">
        <v>13.18</v>
      </c>
    </row>
    <row r="103" spans="1:8" ht="15" customHeight="1" x14ac:dyDescent="0.3">
      <c r="A103" t="s">
        <v>907</v>
      </c>
      <c r="B103" t="s">
        <v>895</v>
      </c>
      <c r="C103" t="s">
        <v>866</v>
      </c>
      <c r="D103" t="s">
        <v>898</v>
      </c>
      <c r="E103" t="s">
        <v>899</v>
      </c>
      <c r="F103">
        <v>641196</v>
      </c>
      <c r="G103">
        <v>9398710</v>
      </c>
      <c r="H103">
        <v>279.68</v>
      </c>
    </row>
    <row r="104" spans="1:8" ht="15" customHeight="1" x14ac:dyDescent="0.3">
      <c r="A104" t="s">
        <v>908</v>
      </c>
      <c r="B104" t="s">
        <v>838</v>
      </c>
      <c r="C104" t="s">
        <v>866</v>
      </c>
      <c r="D104" t="s">
        <v>898</v>
      </c>
      <c r="E104" t="s">
        <v>899</v>
      </c>
      <c r="F104">
        <v>639059</v>
      </c>
      <c r="G104">
        <v>9398295</v>
      </c>
      <c r="H104">
        <v>116.1</v>
      </c>
    </row>
    <row r="105" spans="1:8" ht="15" customHeight="1" x14ac:dyDescent="0.3">
      <c r="A105" t="s">
        <v>909</v>
      </c>
      <c r="B105" t="s">
        <v>910</v>
      </c>
      <c r="C105" t="s">
        <v>866</v>
      </c>
      <c r="D105" t="s">
        <v>911</v>
      </c>
      <c r="E105" t="s">
        <v>912</v>
      </c>
      <c r="F105">
        <v>662123</v>
      </c>
      <c r="G105">
        <v>9397575</v>
      </c>
      <c r="H105">
        <v>40.1</v>
      </c>
    </row>
    <row r="106" spans="1:8" ht="15" customHeight="1" x14ac:dyDescent="0.3">
      <c r="A106" t="s">
        <v>913</v>
      </c>
      <c r="B106" t="s">
        <v>910</v>
      </c>
      <c r="C106" t="s">
        <v>866</v>
      </c>
      <c r="D106" t="s">
        <v>911</v>
      </c>
      <c r="E106" t="s">
        <v>912</v>
      </c>
      <c r="F106">
        <v>664225</v>
      </c>
      <c r="G106">
        <v>9396339</v>
      </c>
      <c r="H106">
        <v>21.29</v>
      </c>
    </row>
    <row r="107" spans="1:8" ht="15" customHeight="1" x14ac:dyDescent="0.3">
      <c r="A107" t="s">
        <v>914</v>
      </c>
      <c r="B107" t="s">
        <v>910</v>
      </c>
      <c r="C107" t="s">
        <v>866</v>
      </c>
      <c r="D107" t="s">
        <v>911</v>
      </c>
      <c r="E107" t="s">
        <v>912</v>
      </c>
      <c r="F107">
        <v>666537</v>
      </c>
      <c r="G107">
        <v>9395918</v>
      </c>
      <c r="H107">
        <v>13.06</v>
      </c>
    </row>
    <row r="108" spans="1:8" ht="15" customHeight="1" x14ac:dyDescent="0.3">
      <c r="A108" t="s">
        <v>915</v>
      </c>
      <c r="B108" t="s">
        <v>910</v>
      </c>
      <c r="C108" t="s">
        <v>866</v>
      </c>
      <c r="D108" t="s">
        <v>911</v>
      </c>
      <c r="E108" t="s">
        <v>912</v>
      </c>
      <c r="F108">
        <v>666781</v>
      </c>
      <c r="G108">
        <v>9395573</v>
      </c>
      <c r="H108">
        <v>22.39</v>
      </c>
    </row>
    <row r="109" spans="1:8" ht="15" customHeight="1" x14ac:dyDescent="0.3">
      <c r="A109" t="s">
        <v>916</v>
      </c>
      <c r="B109" t="s">
        <v>910</v>
      </c>
      <c r="C109" t="s">
        <v>866</v>
      </c>
      <c r="D109" t="s">
        <v>911</v>
      </c>
      <c r="E109" t="s">
        <v>912</v>
      </c>
      <c r="F109">
        <v>663334</v>
      </c>
      <c r="G109">
        <v>9392820</v>
      </c>
      <c r="H109">
        <v>47.58</v>
      </c>
    </row>
    <row r="110" spans="1:8" ht="15" customHeight="1" x14ac:dyDescent="0.3">
      <c r="A110" t="s">
        <v>917</v>
      </c>
      <c r="B110" t="s">
        <v>910</v>
      </c>
      <c r="C110" t="s">
        <v>866</v>
      </c>
      <c r="D110" t="s">
        <v>911</v>
      </c>
      <c r="E110" t="s">
        <v>912</v>
      </c>
      <c r="F110">
        <v>663291</v>
      </c>
      <c r="G110">
        <v>9392332</v>
      </c>
      <c r="H110">
        <v>19.43</v>
      </c>
    </row>
    <row r="111" spans="1:8" ht="15" customHeight="1" x14ac:dyDescent="0.3">
      <c r="A111" t="s">
        <v>918</v>
      </c>
      <c r="B111" t="s">
        <v>910</v>
      </c>
      <c r="C111" t="s">
        <v>866</v>
      </c>
      <c r="D111" t="s">
        <v>911</v>
      </c>
      <c r="E111" t="s">
        <v>912</v>
      </c>
      <c r="F111">
        <v>662236</v>
      </c>
      <c r="G111">
        <v>9391211</v>
      </c>
      <c r="H111">
        <v>12.4</v>
      </c>
    </row>
    <row r="112" spans="1:8" ht="15" customHeight="1" x14ac:dyDescent="0.3">
      <c r="A112" t="s">
        <v>919</v>
      </c>
      <c r="B112" t="s">
        <v>910</v>
      </c>
      <c r="C112" t="s">
        <v>866</v>
      </c>
      <c r="D112" t="s">
        <v>911</v>
      </c>
      <c r="E112" t="s">
        <v>912</v>
      </c>
      <c r="F112">
        <v>660525</v>
      </c>
      <c r="G112">
        <v>9394327</v>
      </c>
      <c r="H112">
        <v>64.92</v>
      </c>
    </row>
    <row r="113" spans="1:8" ht="15" customHeight="1" x14ac:dyDescent="0.3">
      <c r="A113" t="s">
        <v>920</v>
      </c>
      <c r="B113" t="s">
        <v>910</v>
      </c>
      <c r="C113" t="s">
        <v>866</v>
      </c>
      <c r="D113" t="s">
        <v>911</v>
      </c>
      <c r="E113" t="s">
        <v>912</v>
      </c>
      <c r="F113">
        <v>658547</v>
      </c>
      <c r="G113">
        <v>9395594</v>
      </c>
      <c r="H113">
        <v>54.29</v>
      </c>
    </row>
    <row r="114" spans="1:8" ht="15" customHeight="1" x14ac:dyDescent="0.3">
      <c r="A114" t="s">
        <v>921</v>
      </c>
      <c r="B114" t="s">
        <v>910</v>
      </c>
      <c r="C114" t="s">
        <v>866</v>
      </c>
      <c r="D114" t="s">
        <v>911</v>
      </c>
      <c r="E114" t="s">
        <v>912</v>
      </c>
      <c r="F114">
        <v>656445</v>
      </c>
      <c r="G114">
        <v>9393180</v>
      </c>
      <c r="H114">
        <v>103.62</v>
      </c>
    </row>
    <row r="115" spans="1:8" ht="15" customHeight="1" x14ac:dyDescent="0.3">
      <c r="A115" t="s">
        <v>922</v>
      </c>
      <c r="B115" t="s">
        <v>923</v>
      </c>
      <c r="C115" t="s">
        <v>866</v>
      </c>
      <c r="D115" t="s">
        <v>911</v>
      </c>
      <c r="E115" t="s">
        <v>912</v>
      </c>
      <c r="F115">
        <v>652449</v>
      </c>
      <c r="G115">
        <v>9389179</v>
      </c>
      <c r="H115">
        <v>29.23</v>
      </c>
    </row>
    <row r="116" spans="1:8" ht="15" customHeight="1" x14ac:dyDescent="0.3">
      <c r="A116" t="s">
        <v>924</v>
      </c>
      <c r="B116" t="s">
        <v>923</v>
      </c>
      <c r="C116" t="s">
        <v>866</v>
      </c>
      <c r="D116" t="s">
        <v>911</v>
      </c>
      <c r="E116" t="s">
        <v>912</v>
      </c>
      <c r="F116">
        <v>644546</v>
      </c>
      <c r="G116">
        <v>9389106</v>
      </c>
      <c r="H116">
        <v>268.39</v>
      </c>
    </row>
    <row r="117" spans="1:8" ht="15" customHeight="1" x14ac:dyDescent="0.3">
      <c r="A117" t="s">
        <v>925</v>
      </c>
      <c r="B117" t="s">
        <v>910</v>
      </c>
      <c r="C117" t="s">
        <v>866</v>
      </c>
      <c r="D117" t="s">
        <v>911</v>
      </c>
      <c r="E117" t="s">
        <v>912</v>
      </c>
      <c r="F117">
        <v>665942</v>
      </c>
      <c r="G117">
        <v>9391144</v>
      </c>
      <c r="H117">
        <v>82.09</v>
      </c>
    </row>
    <row r="118" spans="1:8" ht="15" customHeight="1" x14ac:dyDescent="0.3">
      <c r="A118" t="s">
        <v>926</v>
      </c>
      <c r="B118" t="s">
        <v>927</v>
      </c>
      <c r="C118" t="s">
        <v>866</v>
      </c>
      <c r="D118" t="s">
        <v>911</v>
      </c>
      <c r="E118" t="s">
        <v>928</v>
      </c>
      <c r="F118">
        <v>642775</v>
      </c>
      <c r="G118">
        <v>9388574</v>
      </c>
      <c r="H118">
        <v>289.91000000000003</v>
      </c>
    </row>
    <row r="119" spans="1:8" ht="15" customHeight="1" x14ac:dyDescent="0.3">
      <c r="A119" t="s">
        <v>929</v>
      </c>
      <c r="B119" t="s">
        <v>927</v>
      </c>
      <c r="C119" t="s">
        <v>866</v>
      </c>
      <c r="D119" t="s">
        <v>911</v>
      </c>
      <c r="E119" t="s">
        <v>928</v>
      </c>
      <c r="F119">
        <v>643474</v>
      </c>
      <c r="G119">
        <v>9385620</v>
      </c>
      <c r="H119">
        <v>234.07</v>
      </c>
    </row>
    <row r="120" spans="1:8" ht="15" customHeight="1" x14ac:dyDescent="0.3">
      <c r="A120" t="s">
        <v>930</v>
      </c>
      <c r="B120" t="s">
        <v>931</v>
      </c>
      <c r="C120" t="s">
        <v>866</v>
      </c>
      <c r="D120" t="s">
        <v>911</v>
      </c>
      <c r="E120" t="s">
        <v>928</v>
      </c>
      <c r="F120">
        <v>650830</v>
      </c>
      <c r="G120">
        <v>9382303</v>
      </c>
      <c r="H120">
        <v>150.21</v>
      </c>
    </row>
    <row r="121" spans="1:8" ht="15" customHeight="1" x14ac:dyDescent="0.3">
      <c r="A121" t="s">
        <v>932</v>
      </c>
      <c r="B121" t="s">
        <v>931</v>
      </c>
      <c r="C121" t="s">
        <v>866</v>
      </c>
      <c r="D121" t="s">
        <v>911</v>
      </c>
      <c r="E121" t="s">
        <v>928</v>
      </c>
      <c r="F121">
        <v>652939</v>
      </c>
      <c r="G121">
        <v>9382105</v>
      </c>
      <c r="H121">
        <v>83.33</v>
      </c>
    </row>
    <row r="122" spans="1:8" ht="15" customHeight="1" x14ac:dyDescent="0.3">
      <c r="A122" t="s">
        <v>744</v>
      </c>
      <c r="B122" t="s">
        <v>923</v>
      </c>
      <c r="C122" t="s">
        <v>866</v>
      </c>
      <c r="D122" t="s">
        <v>911</v>
      </c>
      <c r="E122" t="s">
        <v>928</v>
      </c>
      <c r="F122">
        <v>656549</v>
      </c>
      <c r="G122">
        <v>9382009</v>
      </c>
      <c r="H122">
        <v>230.1</v>
      </c>
    </row>
    <row r="123" spans="1:8" ht="15" customHeight="1" x14ac:dyDescent="0.3">
      <c r="A123" t="s">
        <v>933</v>
      </c>
      <c r="B123" t="s">
        <v>931</v>
      </c>
      <c r="C123" t="s">
        <v>866</v>
      </c>
      <c r="D123" t="s">
        <v>911</v>
      </c>
      <c r="E123" t="s">
        <v>928</v>
      </c>
      <c r="F123">
        <v>656291</v>
      </c>
      <c r="G123">
        <v>9379096</v>
      </c>
      <c r="H123">
        <v>22.93</v>
      </c>
    </row>
    <row r="124" spans="1:8" ht="15" customHeight="1" x14ac:dyDescent="0.3">
      <c r="A124" t="s">
        <v>934</v>
      </c>
      <c r="B124" t="s">
        <v>931</v>
      </c>
      <c r="C124" t="s">
        <v>866</v>
      </c>
      <c r="D124" t="s">
        <v>911</v>
      </c>
      <c r="E124" t="s">
        <v>928</v>
      </c>
      <c r="F124">
        <v>657922</v>
      </c>
      <c r="G124">
        <v>9377477</v>
      </c>
      <c r="H124">
        <v>19.62</v>
      </c>
    </row>
    <row r="125" spans="1:8" ht="15" customHeight="1" x14ac:dyDescent="0.3">
      <c r="A125" t="s">
        <v>935</v>
      </c>
      <c r="B125" t="s">
        <v>931</v>
      </c>
      <c r="C125" t="s">
        <v>866</v>
      </c>
      <c r="D125" t="s">
        <v>911</v>
      </c>
      <c r="E125" t="s">
        <v>928</v>
      </c>
      <c r="F125">
        <v>657160</v>
      </c>
      <c r="G125">
        <v>9373050</v>
      </c>
      <c r="H125">
        <v>28.83</v>
      </c>
    </row>
    <row r="126" spans="1:8" ht="15" customHeight="1" x14ac:dyDescent="0.3">
      <c r="A126" t="s">
        <v>936</v>
      </c>
      <c r="B126" t="s">
        <v>931</v>
      </c>
      <c r="C126" t="s">
        <v>866</v>
      </c>
      <c r="D126" t="s">
        <v>911</v>
      </c>
      <c r="E126" t="s">
        <v>928</v>
      </c>
      <c r="F126">
        <v>652104</v>
      </c>
      <c r="G126">
        <v>9373045</v>
      </c>
      <c r="H126">
        <v>10.67</v>
      </c>
    </row>
    <row r="127" spans="1:8" ht="15" customHeight="1" x14ac:dyDescent="0.3">
      <c r="A127" t="s">
        <v>937</v>
      </c>
      <c r="B127" t="s">
        <v>931</v>
      </c>
      <c r="C127" t="s">
        <v>866</v>
      </c>
      <c r="D127" t="s">
        <v>911</v>
      </c>
      <c r="E127" t="s">
        <v>928</v>
      </c>
      <c r="F127">
        <v>651673</v>
      </c>
      <c r="G127">
        <v>9373383</v>
      </c>
      <c r="H127">
        <v>126.95</v>
      </c>
    </row>
    <row r="128" spans="1:8" ht="15" customHeight="1" x14ac:dyDescent="0.3">
      <c r="A128" t="s">
        <v>938</v>
      </c>
      <c r="B128" t="s">
        <v>931</v>
      </c>
      <c r="C128" t="s">
        <v>866</v>
      </c>
      <c r="D128" t="s">
        <v>911</v>
      </c>
      <c r="E128" t="s">
        <v>928</v>
      </c>
      <c r="F128">
        <v>649847</v>
      </c>
      <c r="G128">
        <v>9376260</v>
      </c>
      <c r="H128">
        <v>81.33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18"/>
  <sheetViews>
    <sheetView zoomScaleNormal="100" workbookViewId="0"/>
  </sheetViews>
  <sheetFormatPr baseColWidth="10" defaultColWidth="8.6640625" defaultRowHeight="14.4" x14ac:dyDescent="0.3"/>
  <cols>
    <col min="1" max="1" width="45" customWidth="1"/>
  </cols>
  <sheetData>
    <row r="1" spans="1:34" ht="15" customHeight="1" x14ac:dyDescent="0.3">
      <c r="A1" s="4" t="s">
        <v>939</v>
      </c>
      <c r="B1" s="4" t="s">
        <v>940</v>
      </c>
      <c r="C1" s="4" t="s">
        <v>941</v>
      </c>
      <c r="D1" s="4" t="s">
        <v>942</v>
      </c>
      <c r="E1" s="4" t="s">
        <v>943</v>
      </c>
      <c r="F1" s="4" t="s">
        <v>944</v>
      </c>
      <c r="G1" s="4" t="s">
        <v>945</v>
      </c>
      <c r="H1" s="4" t="s">
        <v>946</v>
      </c>
      <c r="I1" s="4" t="s">
        <v>947</v>
      </c>
      <c r="J1" s="4" t="s">
        <v>948</v>
      </c>
      <c r="K1" s="4" t="s">
        <v>949</v>
      </c>
      <c r="L1" s="4" t="s">
        <v>950</v>
      </c>
      <c r="M1" s="4" t="s">
        <v>951</v>
      </c>
      <c r="N1" s="4" t="s">
        <v>952</v>
      </c>
      <c r="O1" s="4" t="s">
        <v>953</v>
      </c>
      <c r="P1" s="4" t="s">
        <v>954</v>
      </c>
      <c r="Q1" s="4" t="s">
        <v>955</v>
      </c>
      <c r="R1" s="4" t="s">
        <v>956</v>
      </c>
      <c r="S1" s="4" t="s">
        <v>957</v>
      </c>
      <c r="T1" s="4" t="s">
        <v>958</v>
      </c>
      <c r="U1" s="4" t="s">
        <v>959</v>
      </c>
      <c r="V1" s="4" t="s">
        <v>960</v>
      </c>
      <c r="W1" s="4" t="s">
        <v>961</v>
      </c>
      <c r="X1" s="4" t="s">
        <v>962</v>
      </c>
      <c r="Y1" s="4" t="s">
        <v>963</v>
      </c>
      <c r="Z1" s="4" t="s">
        <v>964</v>
      </c>
      <c r="AA1" s="4" t="s">
        <v>965</v>
      </c>
      <c r="AB1" s="4" t="s">
        <v>966</v>
      </c>
      <c r="AC1" s="4" t="s">
        <v>967</v>
      </c>
      <c r="AD1" s="4" t="s">
        <v>968</v>
      </c>
      <c r="AE1" s="4" t="s">
        <v>969</v>
      </c>
      <c r="AF1" s="4" t="s">
        <v>970</v>
      </c>
      <c r="AG1" s="4" t="s">
        <v>971</v>
      </c>
      <c r="AH1" s="4" t="s">
        <v>972</v>
      </c>
    </row>
    <row r="2" spans="1:34" ht="15" customHeight="1" x14ac:dyDescent="0.3">
      <c r="A2" t="s">
        <v>24</v>
      </c>
      <c r="B2" t="s">
        <v>24</v>
      </c>
      <c r="C2" t="s">
        <v>24</v>
      </c>
      <c r="D2" t="s">
        <v>476</v>
      </c>
      <c r="E2" t="s">
        <v>294</v>
      </c>
      <c r="F2" t="s">
        <v>149</v>
      </c>
      <c r="G2" t="s">
        <v>168</v>
      </c>
      <c r="H2" t="s">
        <v>174</v>
      </c>
      <c r="I2" t="s">
        <v>186</v>
      </c>
      <c r="J2" t="s">
        <v>204</v>
      </c>
      <c r="K2" t="s">
        <v>217</v>
      </c>
      <c r="L2" t="s">
        <v>229</v>
      </c>
      <c r="M2" t="s">
        <v>236</v>
      </c>
      <c r="N2" t="s">
        <v>247</v>
      </c>
      <c r="O2" t="s">
        <v>254</v>
      </c>
      <c r="P2" t="s">
        <v>261</v>
      </c>
      <c r="Q2" t="s">
        <v>282</v>
      </c>
      <c r="R2" t="s">
        <v>272</v>
      </c>
      <c r="S2" t="s">
        <v>312</v>
      </c>
      <c r="T2" t="s">
        <v>973</v>
      </c>
      <c r="U2" t="s">
        <v>643</v>
      </c>
      <c r="V2" t="s">
        <v>675</v>
      </c>
      <c r="W2" t="s">
        <v>693</v>
      </c>
      <c r="X2" t="s">
        <v>703</v>
      </c>
      <c r="Y2" t="s">
        <v>728</v>
      </c>
      <c r="Z2" t="s">
        <v>739</v>
      </c>
      <c r="AA2" t="s">
        <v>518</v>
      </c>
      <c r="AB2" t="s">
        <v>974</v>
      </c>
      <c r="AC2" t="s">
        <v>975</v>
      </c>
      <c r="AD2" t="s">
        <v>539</v>
      </c>
      <c r="AE2" t="s">
        <v>611</v>
      </c>
      <c r="AF2" t="s">
        <v>564</v>
      </c>
      <c r="AG2" t="s">
        <v>976</v>
      </c>
      <c r="AH2" t="s">
        <v>977</v>
      </c>
    </row>
    <row r="3" spans="1:34" ht="15" customHeight="1" x14ac:dyDescent="0.3">
      <c r="A3" t="s">
        <v>25</v>
      </c>
      <c r="B3" t="s">
        <v>25</v>
      </c>
      <c r="C3" t="s">
        <v>978</v>
      </c>
      <c r="D3" t="s">
        <v>477</v>
      </c>
      <c r="E3" t="s">
        <v>295</v>
      </c>
      <c r="F3" t="s">
        <v>150</v>
      </c>
      <c r="G3" t="s">
        <v>979</v>
      </c>
      <c r="H3" t="s">
        <v>175</v>
      </c>
      <c r="I3" t="s">
        <v>187</v>
      </c>
      <c r="J3" t="s">
        <v>205</v>
      </c>
      <c r="K3" t="s">
        <v>218</v>
      </c>
      <c r="L3" t="s">
        <v>230</v>
      </c>
      <c r="M3" t="s">
        <v>237</v>
      </c>
      <c r="N3" t="s">
        <v>248</v>
      </c>
      <c r="O3" t="s">
        <v>255</v>
      </c>
      <c r="P3" t="s">
        <v>262</v>
      </c>
      <c r="Q3" t="s">
        <v>283</v>
      </c>
      <c r="R3" t="s">
        <v>273</v>
      </c>
      <c r="S3" t="s">
        <v>314</v>
      </c>
      <c r="T3" t="s">
        <v>980</v>
      </c>
      <c r="U3" t="s">
        <v>645</v>
      </c>
      <c r="V3" t="s">
        <v>677</v>
      </c>
      <c r="W3" t="s">
        <v>694</v>
      </c>
      <c r="X3" t="s">
        <v>705</v>
      </c>
      <c r="Y3" t="s">
        <v>730</v>
      </c>
      <c r="Z3" t="s">
        <v>741</v>
      </c>
      <c r="AA3" t="s">
        <v>519</v>
      </c>
      <c r="AB3" t="s">
        <v>981</v>
      </c>
      <c r="AC3" t="s">
        <v>982</v>
      </c>
      <c r="AD3" t="s">
        <v>540</v>
      </c>
      <c r="AE3" t="s">
        <v>613</v>
      </c>
      <c r="AF3" t="s">
        <v>565</v>
      </c>
      <c r="AG3" t="s">
        <v>983</v>
      </c>
      <c r="AH3" t="s">
        <v>984</v>
      </c>
    </row>
    <row r="4" spans="1:34" ht="15" customHeight="1" x14ac:dyDescent="0.3">
      <c r="B4" t="s">
        <v>985</v>
      </c>
      <c r="C4" t="s">
        <v>25</v>
      </c>
      <c r="D4" t="s">
        <v>478</v>
      </c>
      <c r="E4" t="s">
        <v>296</v>
      </c>
      <c r="F4" t="s">
        <v>151</v>
      </c>
      <c r="G4" t="s">
        <v>986</v>
      </c>
      <c r="H4" t="s">
        <v>176</v>
      </c>
      <c r="I4" t="s">
        <v>987</v>
      </c>
      <c r="J4" t="s">
        <v>206</v>
      </c>
      <c r="K4" t="s">
        <v>219</v>
      </c>
      <c r="L4" t="s">
        <v>231</v>
      </c>
      <c r="M4" t="s">
        <v>238</v>
      </c>
      <c r="N4" t="s">
        <v>249</v>
      </c>
      <c r="O4" t="s">
        <v>256</v>
      </c>
      <c r="P4" t="s">
        <v>263</v>
      </c>
      <c r="Q4" t="s">
        <v>284</v>
      </c>
      <c r="R4" t="s">
        <v>274</v>
      </c>
      <c r="S4" t="s">
        <v>316</v>
      </c>
      <c r="T4" t="s">
        <v>988</v>
      </c>
      <c r="U4" t="s">
        <v>647</v>
      </c>
      <c r="V4" t="s">
        <v>679</v>
      </c>
      <c r="W4" t="s">
        <v>695</v>
      </c>
      <c r="X4" t="s">
        <v>707</v>
      </c>
      <c r="Y4" t="s">
        <v>731</v>
      </c>
      <c r="Z4" t="s">
        <v>743</v>
      </c>
      <c r="AA4" t="s">
        <v>520</v>
      </c>
      <c r="AB4" t="s">
        <v>989</v>
      </c>
      <c r="AC4" t="s">
        <v>990</v>
      </c>
      <c r="AD4" t="s">
        <v>541</v>
      </c>
      <c r="AE4" t="s">
        <v>615</v>
      </c>
      <c r="AF4" t="s">
        <v>566</v>
      </c>
      <c r="AG4" t="s">
        <v>991</v>
      </c>
      <c r="AH4" t="s">
        <v>992</v>
      </c>
    </row>
    <row r="5" spans="1:34" ht="15" customHeight="1" x14ac:dyDescent="0.3">
      <c r="F5" t="s">
        <v>152</v>
      </c>
      <c r="G5" t="s">
        <v>171</v>
      </c>
      <c r="H5" t="s">
        <v>177</v>
      </c>
      <c r="I5" t="s">
        <v>189</v>
      </c>
      <c r="J5" t="s">
        <v>207</v>
      </c>
      <c r="K5" t="s">
        <v>220</v>
      </c>
      <c r="L5" t="s">
        <v>232</v>
      </c>
      <c r="M5" t="s">
        <v>239</v>
      </c>
      <c r="N5" t="s">
        <v>250</v>
      </c>
      <c r="O5" t="s">
        <v>257</v>
      </c>
      <c r="P5" t="s">
        <v>264</v>
      </c>
      <c r="Q5" t="s">
        <v>285</v>
      </c>
      <c r="R5" t="s">
        <v>275</v>
      </c>
      <c r="S5" t="s">
        <v>318</v>
      </c>
      <c r="T5" t="s">
        <v>993</v>
      </c>
      <c r="U5" t="s">
        <v>649</v>
      </c>
      <c r="V5" t="s">
        <v>681</v>
      </c>
      <c r="W5" t="s">
        <v>696</v>
      </c>
      <c r="X5" t="s">
        <v>709</v>
      </c>
      <c r="Y5" t="s">
        <v>733</v>
      </c>
      <c r="Z5" t="s">
        <v>745</v>
      </c>
      <c r="AA5" t="s">
        <v>521</v>
      </c>
      <c r="AB5" t="s">
        <v>994</v>
      </c>
      <c r="AC5" t="s">
        <v>995</v>
      </c>
      <c r="AD5" t="s">
        <v>542</v>
      </c>
      <c r="AE5" t="s">
        <v>617</v>
      </c>
      <c r="AF5" t="s">
        <v>567</v>
      </c>
      <c r="AG5" t="s">
        <v>996</v>
      </c>
      <c r="AH5" t="s">
        <v>997</v>
      </c>
    </row>
    <row r="6" spans="1:34" ht="15" customHeight="1" x14ac:dyDescent="0.3">
      <c r="F6" t="s">
        <v>153</v>
      </c>
      <c r="G6" t="s">
        <v>998</v>
      </c>
      <c r="H6" t="s">
        <v>178</v>
      </c>
      <c r="I6" t="s">
        <v>190</v>
      </c>
      <c r="J6" t="s">
        <v>208</v>
      </c>
      <c r="K6" t="s">
        <v>221</v>
      </c>
      <c r="L6" t="s">
        <v>223</v>
      </c>
      <c r="M6" t="s">
        <v>240</v>
      </c>
      <c r="N6" t="s">
        <v>251</v>
      </c>
      <c r="O6" t="s">
        <v>258</v>
      </c>
      <c r="Q6" t="s">
        <v>286</v>
      </c>
      <c r="R6" t="s">
        <v>276</v>
      </c>
      <c r="S6" t="s">
        <v>320</v>
      </c>
      <c r="T6" t="s">
        <v>999</v>
      </c>
      <c r="U6" t="s">
        <v>651</v>
      </c>
      <c r="V6" t="s">
        <v>683</v>
      </c>
      <c r="W6" t="s">
        <v>698</v>
      </c>
      <c r="X6" t="s">
        <v>711</v>
      </c>
      <c r="Y6" t="s">
        <v>735</v>
      </c>
      <c r="Z6" t="s">
        <v>747</v>
      </c>
      <c r="AA6" t="s">
        <v>522</v>
      </c>
      <c r="AB6" t="s">
        <v>1000</v>
      </c>
      <c r="AC6" t="s">
        <v>1001</v>
      </c>
      <c r="AD6" t="s">
        <v>543</v>
      </c>
      <c r="AE6" t="s">
        <v>619</v>
      </c>
      <c r="AF6" t="s">
        <v>568</v>
      </c>
      <c r="AG6" t="s">
        <v>1002</v>
      </c>
      <c r="AH6" t="s">
        <v>1003</v>
      </c>
    </row>
    <row r="7" spans="1:34" ht="15" customHeight="1" x14ac:dyDescent="0.3">
      <c r="F7" t="s">
        <v>154</v>
      </c>
      <c r="H7" t="s">
        <v>179</v>
      </c>
      <c r="I7" t="s">
        <v>191</v>
      </c>
      <c r="J7" t="s">
        <v>209</v>
      </c>
      <c r="K7" t="s">
        <v>222</v>
      </c>
      <c r="L7" t="s">
        <v>233</v>
      </c>
      <c r="M7" t="s">
        <v>1004</v>
      </c>
      <c r="N7" t="s">
        <v>252</v>
      </c>
      <c r="O7" t="s">
        <v>223</v>
      </c>
      <c r="Q7" t="s">
        <v>287</v>
      </c>
      <c r="R7" t="s">
        <v>277</v>
      </c>
      <c r="S7" t="s">
        <v>322</v>
      </c>
      <c r="U7" t="s">
        <v>653</v>
      </c>
      <c r="V7" t="s">
        <v>685</v>
      </c>
      <c r="X7" t="s">
        <v>713</v>
      </c>
      <c r="Z7" t="s">
        <v>749</v>
      </c>
      <c r="AA7" t="s">
        <v>523</v>
      </c>
      <c r="AD7" t="s">
        <v>544</v>
      </c>
      <c r="AF7" t="s">
        <v>223</v>
      </c>
      <c r="AG7" t="s">
        <v>1005</v>
      </c>
    </row>
    <row r="8" spans="1:34" ht="15" customHeight="1" x14ac:dyDescent="0.3">
      <c r="F8" t="s">
        <v>155</v>
      </c>
      <c r="H8" t="s">
        <v>180</v>
      </c>
      <c r="I8" t="s">
        <v>192</v>
      </c>
      <c r="J8" t="s">
        <v>210</v>
      </c>
      <c r="K8" t="s">
        <v>223</v>
      </c>
      <c r="M8" t="s">
        <v>242</v>
      </c>
      <c r="Q8" t="s">
        <v>288</v>
      </c>
      <c r="R8" t="s">
        <v>278</v>
      </c>
      <c r="S8" t="s">
        <v>324</v>
      </c>
      <c r="U8" t="s">
        <v>655</v>
      </c>
      <c r="X8" t="s">
        <v>715</v>
      </c>
      <c r="AA8" t="s">
        <v>524</v>
      </c>
      <c r="AD8" t="s">
        <v>545</v>
      </c>
      <c r="AG8" t="s">
        <v>1006</v>
      </c>
    </row>
    <row r="9" spans="1:34" ht="15" customHeight="1" x14ac:dyDescent="0.3">
      <c r="F9" t="s">
        <v>156</v>
      </c>
      <c r="I9" t="s">
        <v>193</v>
      </c>
      <c r="M9" t="s">
        <v>223</v>
      </c>
      <c r="Q9" t="s">
        <v>289</v>
      </c>
      <c r="S9" t="s">
        <v>326</v>
      </c>
      <c r="U9" t="s">
        <v>657</v>
      </c>
      <c r="X9" t="s">
        <v>717</v>
      </c>
      <c r="AA9" t="s">
        <v>525</v>
      </c>
      <c r="AD9" t="s">
        <v>223</v>
      </c>
      <c r="AG9" t="s">
        <v>1007</v>
      </c>
    </row>
    <row r="10" spans="1:34" ht="15" customHeight="1" x14ac:dyDescent="0.3">
      <c r="I10" t="s">
        <v>1008</v>
      </c>
      <c r="S10" t="s">
        <v>328</v>
      </c>
      <c r="U10" t="s">
        <v>659</v>
      </c>
      <c r="X10" t="s">
        <v>719</v>
      </c>
      <c r="AA10" t="s">
        <v>526</v>
      </c>
      <c r="AG10" t="s">
        <v>1009</v>
      </c>
    </row>
    <row r="11" spans="1:34" ht="15" customHeight="1" x14ac:dyDescent="0.3">
      <c r="I11" t="s">
        <v>223</v>
      </c>
      <c r="S11" t="s">
        <v>330</v>
      </c>
      <c r="U11" t="s">
        <v>661</v>
      </c>
      <c r="X11" t="s">
        <v>721</v>
      </c>
      <c r="AA11" t="s">
        <v>527</v>
      </c>
      <c r="AG11" t="s">
        <v>1010</v>
      </c>
    </row>
    <row r="12" spans="1:34" ht="15" customHeight="1" x14ac:dyDescent="0.3">
      <c r="S12" t="s">
        <v>332</v>
      </c>
      <c r="U12" t="s">
        <v>663</v>
      </c>
      <c r="X12" t="s">
        <v>723</v>
      </c>
      <c r="AA12" t="s">
        <v>528</v>
      </c>
      <c r="AG12" t="s">
        <v>223</v>
      </c>
    </row>
    <row r="13" spans="1:34" ht="15" customHeight="1" x14ac:dyDescent="0.3">
      <c r="S13" t="s">
        <v>334</v>
      </c>
      <c r="U13" t="s">
        <v>665</v>
      </c>
      <c r="X13" t="s">
        <v>223</v>
      </c>
      <c r="AA13" t="s">
        <v>223</v>
      </c>
    </row>
    <row r="14" spans="1:34" ht="15" customHeight="1" x14ac:dyDescent="0.3">
      <c r="S14" t="s">
        <v>336</v>
      </c>
      <c r="U14" t="s">
        <v>667</v>
      </c>
    </row>
    <row r="15" spans="1:34" ht="15" customHeight="1" x14ac:dyDescent="0.3">
      <c r="S15" t="s">
        <v>338</v>
      </c>
      <c r="U15" t="s">
        <v>669</v>
      </c>
    </row>
    <row r="16" spans="1:34" ht="15" customHeight="1" x14ac:dyDescent="0.3">
      <c r="S16" t="s">
        <v>340</v>
      </c>
      <c r="U16" t="s">
        <v>671</v>
      </c>
    </row>
    <row r="17" spans="19:19" ht="15" customHeight="1" x14ac:dyDescent="0.3">
      <c r="S17" t="s">
        <v>342</v>
      </c>
    </row>
    <row r="18" spans="19:19" ht="15" customHeight="1" x14ac:dyDescent="0.3">
      <c r="S18" t="s">
        <v>223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9</vt:i4>
      </vt:variant>
    </vt:vector>
  </HeadingPairs>
  <TitlesOfParts>
    <vt:vector size="20" baseType="lpstr">
      <vt:lpstr>0. PORTADA</vt:lpstr>
      <vt:lpstr>F-DS-01</vt:lpstr>
      <vt:lpstr>F-DS-02</vt:lpstr>
      <vt:lpstr>F-DS-03</vt:lpstr>
      <vt:lpstr>F-DS-04</vt:lpstr>
      <vt:lpstr>F-DS-05</vt:lpstr>
      <vt:lpstr>F-DS-06</vt:lpstr>
      <vt:lpstr>F-DS-07</vt:lpstr>
      <vt:lpstr>_Codigos</vt:lpstr>
      <vt:lpstr>_Datos</vt:lpstr>
      <vt:lpstr>_Listas</vt:lpstr>
      <vt:lpstr>_Codigos!Área_de_impresión</vt:lpstr>
      <vt:lpstr>'F-DS-01'!Área_de_impresión</vt:lpstr>
      <vt:lpstr>'F-DS-03'!Área_de_impresión</vt:lpstr>
      <vt:lpstr>'F-DS-06'!Área_de_impresión</vt:lpstr>
      <vt:lpstr>'F-DS-07'!Área_de_impresión</vt:lpstr>
      <vt:lpstr>'F-DS-02'!Títulos_a_imprimir</vt:lpstr>
      <vt:lpstr>'F-DS-04'!Títulos_a_imprimir</vt:lpstr>
      <vt:lpstr>'F-DS-06'!Títulos_a_imprimir</vt:lpstr>
      <vt:lpstr>'F-DS-07'!Títulos_a_imprimir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revision>0</cp:revision>
  <cp:lastPrinted>2026-04-23T22:52:25Z</cp:lastPrinted>
  <dcterms:created xsi:type="dcterms:W3CDTF">2026-04-21T17:29:03Z</dcterms:created>
  <dcterms:modified xsi:type="dcterms:W3CDTF">2026-05-30T18:55:44Z</dcterms:modified>
  <dc:language>en-US</dc:language>
</cp:coreProperties>
</file>